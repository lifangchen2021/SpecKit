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761" activeTab="2"/>
  </bookViews>
  <sheets>
    <sheet name="experimental material design " sheetId="1" r:id="rId1"/>
    <sheet name="activity_Ami" sheetId="2" r:id="rId2"/>
    <sheet name="60groups_prior" sheetId="5" r:id="rId3"/>
    <sheet name="60groups_result" sheetId="3" r:id="rId4"/>
    <sheet name="113groups_prior" sheetId="6" r:id="rId5"/>
    <sheet name="113groups_result" sheetId="4" r:id="rId6"/>
    <sheet name="240groups_prior" sheetId="7" r:id="rId7"/>
    <sheet name="240groups_unfolding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1" i="5" l="1"/>
  <c r="AU77" i="5"/>
  <c r="AP77" i="5"/>
  <c r="AK77" i="5"/>
  <c r="AF77" i="5"/>
  <c r="AA77" i="5"/>
  <c r="V77" i="5"/>
  <c r="Q77" i="5"/>
  <c r="L77" i="5"/>
  <c r="G77" i="5"/>
  <c r="B77" i="5"/>
  <c r="B91" i="3"/>
  <c r="AU77" i="3"/>
  <c r="AP77" i="3"/>
  <c r="AK77" i="3"/>
  <c r="AF77" i="3"/>
  <c r="AA77" i="3"/>
  <c r="V77" i="3"/>
  <c r="Q77" i="3"/>
  <c r="L77" i="3"/>
  <c r="G77" i="3"/>
  <c r="B77" i="3"/>
  <c r="AU130" i="6"/>
  <c r="AP130" i="6"/>
  <c r="AK130" i="6"/>
  <c r="AF130" i="6"/>
  <c r="AA130" i="6"/>
  <c r="V130" i="6"/>
  <c r="Q130" i="6"/>
  <c r="L130" i="6"/>
  <c r="G130" i="6"/>
  <c r="B130" i="6"/>
  <c r="B144" i="4"/>
  <c r="B272" i="7"/>
  <c r="B272" i="8"/>
  <c r="AU130" i="4"/>
  <c r="AP130" i="4"/>
  <c r="AK130" i="4"/>
  <c r="AF130" i="4"/>
  <c r="AA130" i="4"/>
  <c r="V130" i="4"/>
  <c r="Q130" i="4"/>
  <c r="AU258" i="7"/>
  <c r="AP258" i="7"/>
  <c r="L130" i="4"/>
  <c r="G130" i="4"/>
  <c r="B130" i="4"/>
  <c r="AK258" i="7"/>
  <c r="AF258" i="7"/>
  <c r="AA258" i="7"/>
  <c r="V258" i="7"/>
  <c r="Q258" i="7"/>
  <c r="L258" i="7"/>
  <c r="G258" i="7"/>
  <c r="B258" i="7"/>
  <c r="AU258" i="8"/>
  <c r="AP258" i="8"/>
  <c r="AK258" i="8"/>
  <c r="AF258" i="8"/>
  <c r="AA258" i="8"/>
  <c r="V258" i="8"/>
  <c r="Q258" i="8"/>
  <c r="L258" i="8"/>
  <c r="G258" i="8"/>
  <c r="B258" i="8"/>
  <c r="B252" i="8"/>
  <c r="B144" i="6" l="1"/>
  <c r="AW241" i="8"/>
  <c r="AR241" i="8"/>
  <c r="AM241" i="8"/>
  <c r="AH241" i="8"/>
  <c r="AC241" i="8"/>
  <c r="X241" i="8"/>
  <c r="S241" i="8"/>
  <c r="N241" i="8"/>
  <c r="I241" i="8"/>
  <c r="D241" i="8"/>
  <c r="AW240" i="8"/>
  <c r="AR240" i="8"/>
  <c r="AM240" i="8"/>
  <c r="AH240" i="8"/>
  <c r="AC240" i="8"/>
  <c r="X240" i="8"/>
  <c r="S240" i="8"/>
  <c r="N240" i="8"/>
  <c r="I240" i="8"/>
  <c r="D240" i="8"/>
  <c r="AW239" i="8"/>
  <c r="AR239" i="8"/>
  <c r="AM239" i="8"/>
  <c r="AH239" i="8"/>
  <c r="AC239" i="8"/>
  <c r="X239" i="8"/>
  <c r="S239" i="8"/>
  <c r="N239" i="8"/>
  <c r="I239" i="8"/>
  <c r="D239" i="8"/>
  <c r="AW238" i="8"/>
  <c r="AR238" i="8"/>
  <c r="AM238" i="8"/>
  <c r="AH238" i="8"/>
  <c r="AC238" i="8"/>
  <c r="X238" i="8"/>
  <c r="S238" i="8"/>
  <c r="N238" i="8"/>
  <c r="I238" i="8"/>
  <c r="D238" i="8"/>
  <c r="AW237" i="8"/>
  <c r="AR237" i="8"/>
  <c r="AM237" i="8"/>
  <c r="AH237" i="8"/>
  <c r="AC237" i="8"/>
  <c r="X237" i="8"/>
  <c r="S237" i="8"/>
  <c r="N237" i="8"/>
  <c r="I237" i="8"/>
  <c r="D237" i="8"/>
  <c r="AW236" i="8"/>
  <c r="AR236" i="8"/>
  <c r="AM236" i="8"/>
  <c r="AH236" i="8"/>
  <c r="AC236" i="8"/>
  <c r="X236" i="8"/>
  <c r="S236" i="8"/>
  <c r="N236" i="8"/>
  <c r="I236" i="8"/>
  <c r="D236" i="8"/>
  <c r="AW235" i="8"/>
  <c r="AR235" i="8"/>
  <c r="AM235" i="8"/>
  <c r="AH235" i="8"/>
  <c r="AC235" i="8"/>
  <c r="X235" i="8"/>
  <c r="S235" i="8"/>
  <c r="N235" i="8"/>
  <c r="I235" i="8"/>
  <c r="D235" i="8"/>
  <c r="AW234" i="8"/>
  <c r="AR234" i="8"/>
  <c r="AM234" i="8"/>
  <c r="AH234" i="8"/>
  <c r="AC234" i="8"/>
  <c r="X234" i="8"/>
  <c r="S234" i="8"/>
  <c r="N234" i="8"/>
  <c r="I234" i="8"/>
  <c r="D234" i="8"/>
  <c r="AW233" i="8"/>
  <c r="AR233" i="8"/>
  <c r="AM233" i="8"/>
  <c r="AH233" i="8"/>
  <c r="AC233" i="8"/>
  <c r="X233" i="8"/>
  <c r="S233" i="8"/>
  <c r="N233" i="8"/>
  <c r="I233" i="8"/>
  <c r="D233" i="8"/>
  <c r="AW232" i="8"/>
  <c r="AR232" i="8"/>
  <c r="AM232" i="8"/>
  <c r="AH232" i="8"/>
  <c r="AC232" i="8"/>
  <c r="X232" i="8"/>
  <c r="S232" i="8"/>
  <c r="N232" i="8"/>
  <c r="I232" i="8"/>
  <c r="D232" i="8"/>
  <c r="AW231" i="8"/>
  <c r="AR231" i="8"/>
  <c r="AM231" i="8"/>
  <c r="AH231" i="8"/>
  <c r="AC231" i="8"/>
  <c r="X231" i="8"/>
  <c r="S231" i="8"/>
  <c r="N231" i="8"/>
  <c r="I231" i="8"/>
  <c r="D231" i="8"/>
  <c r="AW230" i="8"/>
  <c r="AR230" i="8"/>
  <c r="AM230" i="8"/>
  <c r="AH230" i="8"/>
  <c r="AC230" i="8"/>
  <c r="X230" i="8"/>
  <c r="S230" i="8"/>
  <c r="N230" i="8"/>
  <c r="I230" i="8"/>
  <c r="D230" i="8"/>
  <c r="AW229" i="8"/>
  <c r="AR229" i="8"/>
  <c r="AM229" i="8"/>
  <c r="AH229" i="8"/>
  <c r="AC229" i="8"/>
  <c r="X229" i="8"/>
  <c r="S229" i="8"/>
  <c r="N229" i="8"/>
  <c r="I229" i="8"/>
  <c r="D229" i="8"/>
  <c r="AW228" i="8"/>
  <c r="AR228" i="8"/>
  <c r="AM228" i="8"/>
  <c r="AH228" i="8"/>
  <c r="AC228" i="8"/>
  <c r="X228" i="8"/>
  <c r="S228" i="8"/>
  <c r="N228" i="8"/>
  <c r="I228" i="8"/>
  <c r="D228" i="8"/>
  <c r="AW227" i="8"/>
  <c r="AR227" i="8"/>
  <c r="AM227" i="8"/>
  <c r="AH227" i="8"/>
  <c r="AC227" i="8"/>
  <c r="X227" i="8"/>
  <c r="S227" i="8"/>
  <c r="N227" i="8"/>
  <c r="I227" i="8"/>
  <c r="D227" i="8"/>
  <c r="AW226" i="8"/>
  <c r="AR226" i="8"/>
  <c r="AM226" i="8"/>
  <c r="AH226" i="8"/>
  <c r="AC226" i="8"/>
  <c r="X226" i="8"/>
  <c r="S226" i="8"/>
  <c r="N226" i="8"/>
  <c r="I226" i="8"/>
  <c r="D226" i="8"/>
  <c r="AW225" i="8"/>
  <c r="AR225" i="8"/>
  <c r="AM225" i="8"/>
  <c r="AH225" i="8"/>
  <c r="AC225" i="8"/>
  <c r="X225" i="8"/>
  <c r="S225" i="8"/>
  <c r="N225" i="8"/>
  <c r="I225" i="8"/>
  <c r="D225" i="8"/>
  <c r="AW224" i="8"/>
  <c r="AR224" i="8"/>
  <c r="AM224" i="8"/>
  <c r="AH224" i="8"/>
  <c r="AC224" i="8"/>
  <c r="X224" i="8"/>
  <c r="S224" i="8"/>
  <c r="N224" i="8"/>
  <c r="I224" i="8"/>
  <c r="D224" i="8"/>
  <c r="AW223" i="8"/>
  <c r="AR223" i="8"/>
  <c r="AM223" i="8"/>
  <c r="AH223" i="8"/>
  <c r="AC223" i="8"/>
  <c r="X223" i="8"/>
  <c r="S223" i="8"/>
  <c r="N223" i="8"/>
  <c r="I223" i="8"/>
  <c r="D223" i="8"/>
  <c r="AW222" i="8"/>
  <c r="AR222" i="8"/>
  <c r="AM222" i="8"/>
  <c r="AH222" i="8"/>
  <c r="AC222" i="8"/>
  <c r="X222" i="8"/>
  <c r="S222" i="8"/>
  <c r="N222" i="8"/>
  <c r="I222" i="8"/>
  <c r="D222" i="8"/>
  <c r="AW221" i="8"/>
  <c r="AR221" i="8"/>
  <c r="AM221" i="8"/>
  <c r="AH221" i="8"/>
  <c r="AC221" i="8"/>
  <c r="X221" i="8"/>
  <c r="S221" i="8"/>
  <c r="N221" i="8"/>
  <c r="I221" i="8"/>
  <c r="D221" i="8"/>
  <c r="AW220" i="8"/>
  <c r="AR220" i="8"/>
  <c r="AM220" i="8"/>
  <c r="AH220" i="8"/>
  <c r="AC220" i="8"/>
  <c r="X220" i="8"/>
  <c r="S220" i="8"/>
  <c r="N220" i="8"/>
  <c r="I220" i="8"/>
  <c r="D220" i="8"/>
  <c r="AW219" i="8"/>
  <c r="AR219" i="8"/>
  <c r="AM219" i="8"/>
  <c r="AH219" i="8"/>
  <c r="AC219" i="8"/>
  <c r="X219" i="8"/>
  <c r="S219" i="8"/>
  <c r="N219" i="8"/>
  <c r="I219" i="8"/>
  <c r="D219" i="8"/>
  <c r="AW218" i="8"/>
  <c r="AR218" i="8"/>
  <c r="AM218" i="8"/>
  <c r="AH218" i="8"/>
  <c r="AC218" i="8"/>
  <c r="X218" i="8"/>
  <c r="S218" i="8"/>
  <c r="N218" i="8"/>
  <c r="I218" i="8"/>
  <c r="D218" i="8"/>
  <c r="AW217" i="8"/>
  <c r="AR217" i="8"/>
  <c r="AM217" i="8"/>
  <c r="AH217" i="8"/>
  <c r="AC217" i="8"/>
  <c r="X217" i="8"/>
  <c r="S217" i="8"/>
  <c r="N217" i="8"/>
  <c r="I217" i="8"/>
  <c r="D217" i="8"/>
  <c r="AW216" i="8"/>
  <c r="AR216" i="8"/>
  <c r="AM216" i="8"/>
  <c r="AH216" i="8"/>
  <c r="AC216" i="8"/>
  <c r="X216" i="8"/>
  <c r="S216" i="8"/>
  <c r="N216" i="8"/>
  <c r="I216" i="8"/>
  <c r="D216" i="8"/>
  <c r="AW215" i="8"/>
  <c r="AR215" i="8"/>
  <c r="AM215" i="8"/>
  <c r="AH215" i="8"/>
  <c r="AC215" i="8"/>
  <c r="X215" i="8"/>
  <c r="S215" i="8"/>
  <c r="N215" i="8"/>
  <c r="I215" i="8"/>
  <c r="D215" i="8"/>
  <c r="AW214" i="8"/>
  <c r="AR214" i="8"/>
  <c r="AM214" i="8"/>
  <c r="AH214" i="8"/>
  <c r="AC214" i="8"/>
  <c r="X214" i="8"/>
  <c r="S214" i="8"/>
  <c r="N214" i="8"/>
  <c r="I214" i="8"/>
  <c r="D214" i="8"/>
  <c r="AW213" i="8"/>
  <c r="AR213" i="8"/>
  <c r="AM213" i="8"/>
  <c r="AH213" i="8"/>
  <c r="AC213" i="8"/>
  <c r="X213" i="8"/>
  <c r="S213" i="8"/>
  <c r="N213" i="8"/>
  <c r="I213" i="8"/>
  <c r="D213" i="8"/>
  <c r="AW212" i="8"/>
  <c r="AR212" i="8"/>
  <c r="AM212" i="8"/>
  <c r="AH212" i="8"/>
  <c r="AC212" i="8"/>
  <c r="X212" i="8"/>
  <c r="S212" i="8"/>
  <c r="N212" i="8"/>
  <c r="I212" i="8"/>
  <c r="D212" i="8"/>
  <c r="AW211" i="8"/>
  <c r="AR211" i="8"/>
  <c r="AM211" i="8"/>
  <c r="AH211" i="8"/>
  <c r="AC211" i="8"/>
  <c r="X211" i="8"/>
  <c r="S211" i="8"/>
  <c r="N211" i="8"/>
  <c r="I211" i="8"/>
  <c r="D211" i="8"/>
  <c r="AW210" i="8"/>
  <c r="AR210" i="8"/>
  <c r="AM210" i="8"/>
  <c r="AH210" i="8"/>
  <c r="AC210" i="8"/>
  <c r="X210" i="8"/>
  <c r="S210" i="8"/>
  <c r="N210" i="8"/>
  <c r="I210" i="8"/>
  <c r="D210" i="8"/>
  <c r="AW209" i="8"/>
  <c r="AR209" i="8"/>
  <c r="AM209" i="8"/>
  <c r="AH209" i="8"/>
  <c r="AC209" i="8"/>
  <c r="X209" i="8"/>
  <c r="S209" i="8"/>
  <c r="N209" i="8"/>
  <c r="I209" i="8"/>
  <c r="D209" i="8"/>
  <c r="AW208" i="8"/>
  <c r="AR208" i="8"/>
  <c r="AM208" i="8"/>
  <c r="AH208" i="8"/>
  <c r="AC208" i="8"/>
  <c r="X208" i="8"/>
  <c r="S208" i="8"/>
  <c r="N208" i="8"/>
  <c r="I208" i="8"/>
  <c r="D208" i="8"/>
  <c r="AW207" i="8"/>
  <c r="AR207" i="8"/>
  <c r="AM207" i="8"/>
  <c r="AH207" i="8"/>
  <c r="AC207" i="8"/>
  <c r="X207" i="8"/>
  <c r="S207" i="8"/>
  <c r="N207" i="8"/>
  <c r="I207" i="8"/>
  <c r="D207" i="8"/>
  <c r="AW206" i="8"/>
  <c r="AR206" i="8"/>
  <c r="AM206" i="8"/>
  <c r="AH206" i="8"/>
  <c r="AC206" i="8"/>
  <c r="X206" i="8"/>
  <c r="S206" i="8"/>
  <c r="N206" i="8"/>
  <c r="I206" i="8"/>
  <c r="D206" i="8"/>
  <c r="AW205" i="8"/>
  <c r="AR205" i="8"/>
  <c r="AM205" i="8"/>
  <c r="AH205" i="8"/>
  <c r="AC205" i="8"/>
  <c r="X205" i="8"/>
  <c r="S205" i="8"/>
  <c r="N205" i="8"/>
  <c r="I205" i="8"/>
  <c r="D205" i="8"/>
  <c r="AW204" i="8"/>
  <c r="AR204" i="8"/>
  <c r="AM204" i="8"/>
  <c r="AH204" i="8"/>
  <c r="AC204" i="8"/>
  <c r="X204" i="8"/>
  <c r="S204" i="8"/>
  <c r="N204" i="8"/>
  <c r="I204" i="8"/>
  <c r="D204" i="8"/>
  <c r="AW203" i="8"/>
  <c r="AR203" i="8"/>
  <c r="AM203" i="8"/>
  <c r="AH203" i="8"/>
  <c r="AC203" i="8"/>
  <c r="X203" i="8"/>
  <c r="S203" i="8"/>
  <c r="N203" i="8"/>
  <c r="I203" i="8"/>
  <c r="D203" i="8"/>
  <c r="AW202" i="8"/>
  <c r="AR202" i="8"/>
  <c r="AM202" i="8"/>
  <c r="AH202" i="8"/>
  <c r="AC202" i="8"/>
  <c r="X202" i="8"/>
  <c r="S202" i="8"/>
  <c r="N202" i="8"/>
  <c r="I202" i="8"/>
  <c r="D202" i="8"/>
  <c r="AW201" i="8"/>
  <c r="AR201" i="8"/>
  <c r="AM201" i="8"/>
  <c r="AH201" i="8"/>
  <c r="AC201" i="8"/>
  <c r="X201" i="8"/>
  <c r="S201" i="8"/>
  <c r="N201" i="8"/>
  <c r="I201" i="8"/>
  <c r="D201" i="8"/>
  <c r="AW200" i="8"/>
  <c r="AR200" i="8"/>
  <c r="AM200" i="8"/>
  <c r="AH200" i="8"/>
  <c r="AC200" i="8"/>
  <c r="X200" i="8"/>
  <c r="S200" i="8"/>
  <c r="N200" i="8"/>
  <c r="I200" i="8"/>
  <c r="D200" i="8"/>
  <c r="AW199" i="8"/>
  <c r="AR199" i="8"/>
  <c r="AM199" i="8"/>
  <c r="AH199" i="8"/>
  <c r="AC199" i="8"/>
  <c r="X199" i="8"/>
  <c r="S199" i="8"/>
  <c r="N199" i="8"/>
  <c r="I199" i="8"/>
  <c r="D199" i="8"/>
  <c r="AW198" i="8"/>
  <c r="AR198" i="8"/>
  <c r="AM198" i="8"/>
  <c r="AH198" i="8"/>
  <c r="AC198" i="8"/>
  <c r="X198" i="8"/>
  <c r="S198" i="8"/>
  <c r="N198" i="8"/>
  <c r="I198" i="8"/>
  <c r="D198" i="8"/>
  <c r="AW197" i="8"/>
  <c r="AR197" i="8"/>
  <c r="AM197" i="8"/>
  <c r="AH197" i="8"/>
  <c r="AC197" i="8"/>
  <c r="X197" i="8"/>
  <c r="S197" i="8"/>
  <c r="N197" i="8"/>
  <c r="I197" i="8"/>
  <c r="D197" i="8"/>
  <c r="AW196" i="8"/>
  <c r="AR196" i="8"/>
  <c r="AM196" i="8"/>
  <c r="AH196" i="8"/>
  <c r="AC196" i="8"/>
  <c r="X196" i="8"/>
  <c r="S196" i="8"/>
  <c r="N196" i="8"/>
  <c r="I196" i="8"/>
  <c r="D196" i="8"/>
  <c r="AW195" i="8"/>
  <c r="AR195" i="8"/>
  <c r="AM195" i="8"/>
  <c r="AH195" i="8"/>
  <c r="AC195" i="8"/>
  <c r="X195" i="8"/>
  <c r="S195" i="8"/>
  <c r="N195" i="8"/>
  <c r="I195" i="8"/>
  <c r="D195" i="8"/>
  <c r="AW194" i="8"/>
  <c r="AR194" i="8"/>
  <c r="AM194" i="8"/>
  <c r="AH194" i="8"/>
  <c r="AC194" i="8"/>
  <c r="X194" i="8"/>
  <c r="S194" i="8"/>
  <c r="N194" i="8"/>
  <c r="I194" i="8"/>
  <c r="D194" i="8"/>
  <c r="AW193" i="8"/>
  <c r="AR193" i="8"/>
  <c r="AM193" i="8"/>
  <c r="AH193" i="8"/>
  <c r="AC193" i="8"/>
  <c r="X193" i="8"/>
  <c r="S193" i="8"/>
  <c r="N193" i="8"/>
  <c r="I193" i="8"/>
  <c r="D193" i="8"/>
  <c r="AW192" i="8"/>
  <c r="AR192" i="8"/>
  <c r="AM192" i="8"/>
  <c r="AH192" i="8"/>
  <c r="AC192" i="8"/>
  <c r="X192" i="8"/>
  <c r="S192" i="8"/>
  <c r="N192" i="8"/>
  <c r="I192" i="8"/>
  <c r="D192" i="8"/>
  <c r="AW191" i="8"/>
  <c r="AR191" i="8"/>
  <c r="AM191" i="8"/>
  <c r="AH191" i="8"/>
  <c r="AC191" i="8"/>
  <c r="X191" i="8"/>
  <c r="S191" i="8"/>
  <c r="N191" i="8"/>
  <c r="I191" i="8"/>
  <c r="D191" i="8"/>
  <c r="AW190" i="8"/>
  <c r="AR190" i="8"/>
  <c r="AM190" i="8"/>
  <c r="AH190" i="8"/>
  <c r="AC190" i="8"/>
  <c r="X190" i="8"/>
  <c r="S190" i="8"/>
  <c r="N190" i="8"/>
  <c r="I190" i="8"/>
  <c r="D190" i="8"/>
  <c r="AW189" i="8"/>
  <c r="AR189" i="8"/>
  <c r="AM189" i="8"/>
  <c r="AH189" i="8"/>
  <c r="AC189" i="8"/>
  <c r="X189" i="8"/>
  <c r="S189" i="8"/>
  <c r="N189" i="8"/>
  <c r="I189" i="8"/>
  <c r="D189" i="8"/>
  <c r="AW188" i="8"/>
  <c r="AR188" i="8"/>
  <c r="AM188" i="8"/>
  <c r="AH188" i="8"/>
  <c r="AC188" i="8"/>
  <c r="X188" i="8"/>
  <c r="S188" i="8"/>
  <c r="N188" i="8"/>
  <c r="I188" i="8"/>
  <c r="D188" i="8"/>
  <c r="AW187" i="8"/>
  <c r="AR187" i="8"/>
  <c r="AM187" i="8"/>
  <c r="AH187" i="8"/>
  <c r="AC187" i="8"/>
  <c r="X187" i="8"/>
  <c r="S187" i="8"/>
  <c r="N187" i="8"/>
  <c r="I187" i="8"/>
  <c r="D187" i="8"/>
  <c r="AW186" i="8"/>
  <c r="AR186" i="8"/>
  <c r="AM186" i="8"/>
  <c r="AH186" i="8"/>
  <c r="AC186" i="8"/>
  <c r="X186" i="8"/>
  <c r="S186" i="8"/>
  <c r="N186" i="8"/>
  <c r="I186" i="8"/>
  <c r="D186" i="8"/>
  <c r="AW185" i="8"/>
  <c r="AR185" i="8"/>
  <c r="AM185" i="8"/>
  <c r="AH185" i="8"/>
  <c r="AC185" i="8"/>
  <c r="X185" i="8"/>
  <c r="S185" i="8"/>
  <c r="N185" i="8"/>
  <c r="I185" i="8"/>
  <c r="D185" i="8"/>
  <c r="AW184" i="8"/>
  <c r="AR184" i="8"/>
  <c r="AM184" i="8"/>
  <c r="AH184" i="8"/>
  <c r="AC184" i="8"/>
  <c r="X184" i="8"/>
  <c r="S184" i="8"/>
  <c r="N184" i="8"/>
  <c r="I184" i="8"/>
  <c r="D184" i="8"/>
  <c r="AW183" i="8"/>
  <c r="AR183" i="8"/>
  <c r="AM183" i="8"/>
  <c r="AH183" i="8"/>
  <c r="AC183" i="8"/>
  <c r="X183" i="8"/>
  <c r="S183" i="8"/>
  <c r="N183" i="8"/>
  <c r="I183" i="8"/>
  <c r="D183" i="8"/>
  <c r="AW182" i="8"/>
  <c r="AR182" i="8"/>
  <c r="AM182" i="8"/>
  <c r="AH182" i="8"/>
  <c r="AC182" i="8"/>
  <c r="X182" i="8"/>
  <c r="S182" i="8"/>
  <c r="N182" i="8"/>
  <c r="I182" i="8"/>
  <c r="D182" i="8"/>
  <c r="AW181" i="8"/>
  <c r="AR181" i="8"/>
  <c r="AM181" i="8"/>
  <c r="AH181" i="8"/>
  <c r="AC181" i="8"/>
  <c r="X181" i="8"/>
  <c r="S181" i="8"/>
  <c r="N181" i="8"/>
  <c r="I181" i="8"/>
  <c r="D181" i="8"/>
  <c r="AW180" i="8"/>
  <c r="AR180" i="8"/>
  <c r="AM180" i="8"/>
  <c r="AH180" i="8"/>
  <c r="AC180" i="8"/>
  <c r="X180" i="8"/>
  <c r="S180" i="8"/>
  <c r="N180" i="8"/>
  <c r="I180" i="8"/>
  <c r="D180" i="8"/>
  <c r="AW179" i="8"/>
  <c r="AR179" i="8"/>
  <c r="AM179" i="8"/>
  <c r="AH179" i="8"/>
  <c r="AC179" i="8"/>
  <c r="X179" i="8"/>
  <c r="S179" i="8"/>
  <c r="N179" i="8"/>
  <c r="I179" i="8"/>
  <c r="D179" i="8"/>
  <c r="AW178" i="8"/>
  <c r="AR178" i="8"/>
  <c r="AM178" i="8"/>
  <c r="AH178" i="8"/>
  <c r="AC178" i="8"/>
  <c r="X178" i="8"/>
  <c r="S178" i="8"/>
  <c r="N178" i="8"/>
  <c r="I178" i="8"/>
  <c r="D178" i="8"/>
  <c r="AW177" i="8"/>
  <c r="AR177" i="8"/>
  <c r="AM177" i="8"/>
  <c r="AH177" i="8"/>
  <c r="AC177" i="8"/>
  <c r="X177" i="8"/>
  <c r="S177" i="8"/>
  <c r="N177" i="8"/>
  <c r="I177" i="8"/>
  <c r="D177" i="8"/>
  <c r="AW176" i="8"/>
  <c r="AR176" i="8"/>
  <c r="AM176" i="8"/>
  <c r="AH176" i="8"/>
  <c r="AC176" i="8"/>
  <c r="X176" i="8"/>
  <c r="S176" i="8"/>
  <c r="N176" i="8"/>
  <c r="I176" i="8"/>
  <c r="D176" i="8"/>
  <c r="AW175" i="8"/>
  <c r="AR175" i="8"/>
  <c r="AM175" i="8"/>
  <c r="AH175" i="8"/>
  <c r="AC175" i="8"/>
  <c r="X175" i="8"/>
  <c r="S175" i="8"/>
  <c r="N175" i="8"/>
  <c r="I175" i="8"/>
  <c r="D175" i="8"/>
  <c r="AW174" i="8"/>
  <c r="AR174" i="8"/>
  <c r="AM174" i="8"/>
  <c r="AH174" i="8"/>
  <c r="AC174" i="8"/>
  <c r="X174" i="8"/>
  <c r="S174" i="8"/>
  <c r="N174" i="8"/>
  <c r="I174" i="8"/>
  <c r="D174" i="8"/>
  <c r="AW173" i="8"/>
  <c r="AR173" i="8"/>
  <c r="AM173" i="8"/>
  <c r="AH173" i="8"/>
  <c r="AC173" i="8"/>
  <c r="X173" i="8"/>
  <c r="S173" i="8"/>
  <c r="N173" i="8"/>
  <c r="I173" i="8"/>
  <c r="D173" i="8"/>
  <c r="AW172" i="8"/>
  <c r="AR172" i="8"/>
  <c r="AM172" i="8"/>
  <c r="AH172" i="8"/>
  <c r="AC172" i="8"/>
  <c r="X172" i="8"/>
  <c r="S172" i="8"/>
  <c r="N172" i="8"/>
  <c r="I172" i="8"/>
  <c r="D172" i="8"/>
  <c r="AW171" i="8"/>
  <c r="AR171" i="8"/>
  <c r="AM171" i="8"/>
  <c r="AH171" i="8"/>
  <c r="AC171" i="8"/>
  <c r="X171" i="8"/>
  <c r="S171" i="8"/>
  <c r="N171" i="8"/>
  <c r="I171" i="8"/>
  <c r="D171" i="8"/>
  <c r="AW170" i="8"/>
  <c r="AR170" i="8"/>
  <c r="AM170" i="8"/>
  <c r="AH170" i="8"/>
  <c r="AC170" i="8"/>
  <c r="X170" i="8"/>
  <c r="S170" i="8"/>
  <c r="N170" i="8"/>
  <c r="I170" i="8"/>
  <c r="D170" i="8"/>
  <c r="AW169" i="8"/>
  <c r="AR169" i="8"/>
  <c r="AM169" i="8"/>
  <c r="AH169" i="8"/>
  <c r="AC169" i="8"/>
  <c r="X169" i="8"/>
  <c r="S169" i="8"/>
  <c r="N169" i="8"/>
  <c r="I169" i="8"/>
  <c r="D169" i="8"/>
  <c r="AW168" i="8"/>
  <c r="AR168" i="8"/>
  <c r="AM168" i="8"/>
  <c r="AH168" i="8"/>
  <c r="AC168" i="8"/>
  <c r="X168" i="8"/>
  <c r="S168" i="8"/>
  <c r="N168" i="8"/>
  <c r="I168" i="8"/>
  <c r="D168" i="8"/>
  <c r="AW167" i="8"/>
  <c r="AR167" i="8"/>
  <c r="AM167" i="8"/>
  <c r="AH167" i="8"/>
  <c r="AC167" i="8"/>
  <c r="X167" i="8"/>
  <c r="S167" i="8"/>
  <c r="N167" i="8"/>
  <c r="I167" i="8"/>
  <c r="D167" i="8"/>
  <c r="AW166" i="8"/>
  <c r="AR166" i="8"/>
  <c r="AM166" i="8"/>
  <c r="AH166" i="8"/>
  <c r="AC166" i="8"/>
  <c r="X166" i="8"/>
  <c r="S166" i="8"/>
  <c r="N166" i="8"/>
  <c r="I166" i="8"/>
  <c r="D166" i="8"/>
  <c r="AW165" i="8"/>
  <c r="AR165" i="8"/>
  <c r="AM165" i="8"/>
  <c r="AH165" i="8"/>
  <c r="AC165" i="8"/>
  <c r="X165" i="8"/>
  <c r="S165" i="8"/>
  <c r="N165" i="8"/>
  <c r="I165" i="8"/>
  <c r="D165" i="8"/>
  <c r="AW164" i="8"/>
  <c r="AR164" i="8"/>
  <c r="AM164" i="8"/>
  <c r="AH164" i="8"/>
  <c r="AC164" i="8"/>
  <c r="X164" i="8"/>
  <c r="S164" i="8"/>
  <c r="N164" i="8"/>
  <c r="I164" i="8"/>
  <c r="D164" i="8"/>
  <c r="AW163" i="8"/>
  <c r="AR163" i="8"/>
  <c r="AM163" i="8"/>
  <c r="AH163" i="8"/>
  <c r="AC163" i="8"/>
  <c r="X163" i="8"/>
  <c r="S163" i="8"/>
  <c r="N163" i="8"/>
  <c r="I163" i="8"/>
  <c r="D163" i="8"/>
  <c r="AW162" i="8"/>
  <c r="AR162" i="8"/>
  <c r="AM162" i="8"/>
  <c r="AH162" i="8"/>
  <c r="AC162" i="8"/>
  <c r="X162" i="8"/>
  <c r="S162" i="8"/>
  <c r="N162" i="8"/>
  <c r="I162" i="8"/>
  <c r="D162" i="8"/>
  <c r="AW161" i="8"/>
  <c r="AR161" i="8"/>
  <c r="AM161" i="8"/>
  <c r="AH161" i="8"/>
  <c r="AC161" i="8"/>
  <c r="X161" i="8"/>
  <c r="S161" i="8"/>
  <c r="N161" i="8"/>
  <c r="I161" i="8"/>
  <c r="D161" i="8"/>
  <c r="AW160" i="8"/>
  <c r="AR160" i="8"/>
  <c r="AM160" i="8"/>
  <c r="AH160" i="8"/>
  <c r="AC160" i="8"/>
  <c r="X160" i="8"/>
  <c r="S160" i="8"/>
  <c r="N160" i="8"/>
  <c r="I160" i="8"/>
  <c r="D160" i="8"/>
  <c r="AW159" i="8"/>
  <c r="AR159" i="8"/>
  <c r="AM159" i="8"/>
  <c r="AH159" i="8"/>
  <c r="AC159" i="8"/>
  <c r="X159" i="8"/>
  <c r="S159" i="8"/>
  <c r="N159" i="8"/>
  <c r="I159" i="8"/>
  <c r="D159" i="8"/>
  <c r="AW158" i="8"/>
  <c r="AR158" i="8"/>
  <c r="AM158" i="8"/>
  <c r="AH158" i="8"/>
  <c r="AC158" i="8"/>
  <c r="X158" i="8"/>
  <c r="S158" i="8"/>
  <c r="N158" i="8"/>
  <c r="I158" i="8"/>
  <c r="D158" i="8"/>
  <c r="AW157" i="8"/>
  <c r="AR157" i="8"/>
  <c r="AM157" i="8"/>
  <c r="AH157" i="8"/>
  <c r="AC157" i="8"/>
  <c r="X157" i="8"/>
  <c r="S157" i="8"/>
  <c r="N157" i="8"/>
  <c r="I157" i="8"/>
  <c r="D157" i="8"/>
  <c r="AW156" i="8"/>
  <c r="AR156" i="8"/>
  <c r="AM156" i="8"/>
  <c r="AH156" i="8"/>
  <c r="AC156" i="8"/>
  <c r="X156" i="8"/>
  <c r="S156" i="8"/>
  <c r="N156" i="8"/>
  <c r="I156" i="8"/>
  <c r="D156" i="8"/>
  <c r="AW155" i="8"/>
  <c r="AR155" i="8"/>
  <c r="AM155" i="8"/>
  <c r="AH155" i="8"/>
  <c r="AC155" i="8"/>
  <c r="X155" i="8"/>
  <c r="S155" i="8"/>
  <c r="N155" i="8"/>
  <c r="I155" i="8"/>
  <c r="D155" i="8"/>
  <c r="AW154" i="8"/>
  <c r="AR154" i="8"/>
  <c r="AM154" i="8"/>
  <c r="AH154" i="8"/>
  <c r="AC154" i="8"/>
  <c r="X154" i="8"/>
  <c r="S154" i="8"/>
  <c r="N154" i="8"/>
  <c r="I154" i="8"/>
  <c r="D154" i="8"/>
  <c r="AW153" i="8"/>
  <c r="AR153" i="8"/>
  <c r="AM153" i="8"/>
  <c r="AH153" i="8"/>
  <c r="AC153" i="8"/>
  <c r="X153" i="8"/>
  <c r="S153" i="8"/>
  <c r="N153" i="8"/>
  <c r="I153" i="8"/>
  <c r="D153" i="8"/>
  <c r="AW152" i="8"/>
  <c r="AR152" i="8"/>
  <c r="AM152" i="8"/>
  <c r="AH152" i="8"/>
  <c r="AC152" i="8"/>
  <c r="X152" i="8"/>
  <c r="S152" i="8"/>
  <c r="N152" i="8"/>
  <c r="I152" i="8"/>
  <c r="D152" i="8"/>
  <c r="AW151" i="8"/>
  <c r="AR151" i="8"/>
  <c r="AM151" i="8"/>
  <c r="AH151" i="8"/>
  <c r="AC151" i="8"/>
  <c r="X151" i="8"/>
  <c r="S151" i="8"/>
  <c r="N151" i="8"/>
  <c r="I151" i="8"/>
  <c r="D151" i="8"/>
  <c r="AW150" i="8"/>
  <c r="AR150" i="8"/>
  <c r="AM150" i="8"/>
  <c r="AH150" i="8"/>
  <c r="AC150" i="8"/>
  <c r="X150" i="8"/>
  <c r="S150" i="8"/>
  <c r="N150" i="8"/>
  <c r="I150" i="8"/>
  <c r="D150" i="8"/>
  <c r="AW149" i="8"/>
  <c r="AR149" i="8"/>
  <c r="AM149" i="8"/>
  <c r="AH149" i="8"/>
  <c r="AC149" i="8"/>
  <c r="X149" i="8"/>
  <c r="S149" i="8"/>
  <c r="N149" i="8"/>
  <c r="I149" i="8"/>
  <c r="D149" i="8"/>
  <c r="AW148" i="8"/>
  <c r="AR148" i="8"/>
  <c r="AM148" i="8"/>
  <c r="AH148" i="8"/>
  <c r="AC148" i="8"/>
  <c r="X148" i="8"/>
  <c r="S148" i="8"/>
  <c r="N148" i="8"/>
  <c r="I148" i="8"/>
  <c r="D148" i="8"/>
  <c r="AW147" i="8"/>
  <c r="AR147" i="8"/>
  <c r="AM147" i="8"/>
  <c r="AH147" i="8"/>
  <c r="AC147" i="8"/>
  <c r="X147" i="8"/>
  <c r="S147" i="8"/>
  <c r="N147" i="8"/>
  <c r="I147" i="8"/>
  <c r="D147" i="8"/>
  <c r="AW146" i="8"/>
  <c r="AR146" i="8"/>
  <c r="AM146" i="8"/>
  <c r="AH146" i="8"/>
  <c r="AC146" i="8"/>
  <c r="X146" i="8"/>
  <c r="S146" i="8"/>
  <c r="N146" i="8"/>
  <c r="I146" i="8"/>
  <c r="D146" i="8"/>
  <c r="AW145" i="8"/>
  <c r="AR145" i="8"/>
  <c r="AM145" i="8"/>
  <c r="AH145" i="8"/>
  <c r="AC145" i="8"/>
  <c r="X145" i="8"/>
  <c r="S145" i="8"/>
  <c r="N145" i="8"/>
  <c r="I145" i="8"/>
  <c r="D145" i="8"/>
  <c r="AW144" i="8"/>
  <c r="AR144" i="8"/>
  <c r="AM144" i="8"/>
  <c r="AH144" i="8"/>
  <c r="AC144" i="8"/>
  <c r="X144" i="8"/>
  <c r="S144" i="8"/>
  <c r="N144" i="8"/>
  <c r="I144" i="8"/>
  <c r="D144" i="8"/>
  <c r="AW143" i="8"/>
  <c r="AR143" i="8"/>
  <c r="AM143" i="8"/>
  <c r="AH143" i="8"/>
  <c r="AC143" i="8"/>
  <c r="X143" i="8"/>
  <c r="S143" i="8"/>
  <c r="N143" i="8"/>
  <c r="I143" i="8"/>
  <c r="D143" i="8"/>
  <c r="AW142" i="8"/>
  <c r="AR142" i="8"/>
  <c r="AM142" i="8"/>
  <c r="AH142" i="8"/>
  <c r="AC142" i="8"/>
  <c r="X142" i="8"/>
  <c r="S142" i="8"/>
  <c r="N142" i="8"/>
  <c r="I142" i="8"/>
  <c r="D142" i="8"/>
  <c r="AW141" i="8"/>
  <c r="AR141" i="8"/>
  <c r="AM141" i="8"/>
  <c r="AH141" i="8"/>
  <c r="AC141" i="8"/>
  <c r="X141" i="8"/>
  <c r="S141" i="8"/>
  <c r="N141" i="8"/>
  <c r="I141" i="8"/>
  <c r="D141" i="8"/>
  <c r="AW140" i="8"/>
  <c r="AR140" i="8"/>
  <c r="AM140" i="8"/>
  <c r="AH140" i="8"/>
  <c r="AC140" i="8"/>
  <c r="X140" i="8"/>
  <c r="S140" i="8"/>
  <c r="N140" i="8"/>
  <c r="I140" i="8"/>
  <c r="D140" i="8"/>
  <c r="AW139" i="8"/>
  <c r="AR139" i="8"/>
  <c r="AM139" i="8"/>
  <c r="AH139" i="8"/>
  <c r="AC139" i="8"/>
  <c r="X139" i="8"/>
  <c r="S139" i="8"/>
  <c r="N139" i="8"/>
  <c r="I139" i="8"/>
  <c r="D139" i="8"/>
  <c r="AW138" i="8"/>
  <c r="AR138" i="8"/>
  <c r="AM138" i="8"/>
  <c r="AH138" i="8"/>
  <c r="AC138" i="8"/>
  <c r="X138" i="8"/>
  <c r="S138" i="8"/>
  <c r="N138" i="8"/>
  <c r="I138" i="8"/>
  <c r="D138" i="8"/>
  <c r="AW137" i="8"/>
  <c r="AR137" i="8"/>
  <c r="AM137" i="8"/>
  <c r="AH137" i="8"/>
  <c r="AC137" i="8"/>
  <c r="X137" i="8"/>
  <c r="S137" i="8"/>
  <c r="N137" i="8"/>
  <c r="I137" i="8"/>
  <c r="D137" i="8"/>
  <c r="AW136" i="8"/>
  <c r="AR136" i="8"/>
  <c r="AM136" i="8"/>
  <c r="AH136" i="8"/>
  <c r="AC136" i="8"/>
  <c r="X136" i="8"/>
  <c r="S136" i="8"/>
  <c r="N136" i="8"/>
  <c r="I136" i="8"/>
  <c r="D136" i="8"/>
  <c r="AW135" i="8"/>
  <c r="AR135" i="8"/>
  <c r="AM135" i="8"/>
  <c r="AH135" i="8"/>
  <c r="AC135" i="8"/>
  <c r="X135" i="8"/>
  <c r="S135" i="8"/>
  <c r="N135" i="8"/>
  <c r="I135" i="8"/>
  <c r="D135" i="8"/>
  <c r="AW134" i="8"/>
  <c r="AR134" i="8"/>
  <c r="AM134" i="8"/>
  <c r="AH134" i="8"/>
  <c r="AC134" i="8"/>
  <c r="X134" i="8"/>
  <c r="S134" i="8"/>
  <c r="N134" i="8"/>
  <c r="I134" i="8"/>
  <c r="D134" i="8"/>
  <c r="AW133" i="8"/>
  <c r="AR133" i="8"/>
  <c r="AM133" i="8"/>
  <c r="AH133" i="8"/>
  <c r="AC133" i="8"/>
  <c r="X133" i="8"/>
  <c r="S133" i="8"/>
  <c r="N133" i="8"/>
  <c r="I133" i="8"/>
  <c r="D133" i="8"/>
  <c r="AW132" i="8"/>
  <c r="AR132" i="8"/>
  <c r="AM132" i="8"/>
  <c r="AH132" i="8"/>
  <c r="AC132" i="8"/>
  <c r="X132" i="8"/>
  <c r="S132" i="8"/>
  <c r="N132" i="8"/>
  <c r="I132" i="8"/>
  <c r="D132" i="8"/>
  <c r="AW131" i="8"/>
  <c r="AR131" i="8"/>
  <c r="AM131" i="8"/>
  <c r="AH131" i="8"/>
  <c r="AC131" i="8"/>
  <c r="X131" i="8"/>
  <c r="S131" i="8"/>
  <c r="N131" i="8"/>
  <c r="I131" i="8"/>
  <c r="D131" i="8"/>
  <c r="AW130" i="8"/>
  <c r="AR130" i="8"/>
  <c r="AM130" i="8"/>
  <c r="AH130" i="8"/>
  <c r="AC130" i="8"/>
  <c r="X130" i="8"/>
  <c r="S130" i="8"/>
  <c r="N130" i="8"/>
  <c r="I130" i="8"/>
  <c r="D130" i="8"/>
  <c r="AW129" i="8"/>
  <c r="AR129" i="8"/>
  <c r="AM129" i="8"/>
  <c r="AH129" i="8"/>
  <c r="AC129" i="8"/>
  <c r="X129" i="8"/>
  <c r="S129" i="8"/>
  <c r="N129" i="8"/>
  <c r="I129" i="8"/>
  <c r="D129" i="8"/>
  <c r="AW128" i="8"/>
  <c r="AR128" i="8"/>
  <c r="AM128" i="8"/>
  <c r="AH128" i="8"/>
  <c r="AC128" i="8"/>
  <c r="X128" i="8"/>
  <c r="S128" i="8"/>
  <c r="N128" i="8"/>
  <c r="I128" i="8"/>
  <c r="D128" i="8"/>
  <c r="AW127" i="8"/>
  <c r="AR127" i="8"/>
  <c r="AM127" i="8"/>
  <c r="AH127" i="8"/>
  <c r="AC127" i="8"/>
  <c r="X127" i="8"/>
  <c r="S127" i="8"/>
  <c r="N127" i="8"/>
  <c r="I127" i="8"/>
  <c r="D127" i="8"/>
  <c r="AW126" i="8"/>
  <c r="AR126" i="8"/>
  <c r="AM126" i="8"/>
  <c r="AH126" i="8"/>
  <c r="AC126" i="8"/>
  <c r="X126" i="8"/>
  <c r="S126" i="8"/>
  <c r="N126" i="8"/>
  <c r="I126" i="8"/>
  <c r="D126" i="8"/>
  <c r="AW125" i="8"/>
  <c r="AR125" i="8"/>
  <c r="AM125" i="8"/>
  <c r="AH125" i="8"/>
  <c r="AC125" i="8"/>
  <c r="X125" i="8"/>
  <c r="S125" i="8"/>
  <c r="N125" i="8"/>
  <c r="I125" i="8"/>
  <c r="D125" i="8"/>
  <c r="AW124" i="8"/>
  <c r="AR124" i="8"/>
  <c r="AM124" i="8"/>
  <c r="AH124" i="8"/>
  <c r="AC124" i="8"/>
  <c r="X124" i="8"/>
  <c r="S124" i="8"/>
  <c r="N124" i="8"/>
  <c r="I124" i="8"/>
  <c r="D124" i="8"/>
  <c r="AW123" i="8"/>
  <c r="AR123" i="8"/>
  <c r="AM123" i="8"/>
  <c r="AH123" i="8"/>
  <c r="AC123" i="8"/>
  <c r="X123" i="8"/>
  <c r="S123" i="8"/>
  <c r="N123" i="8"/>
  <c r="I123" i="8"/>
  <c r="D123" i="8"/>
  <c r="AW122" i="8"/>
  <c r="AR122" i="8"/>
  <c r="AM122" i="8"/>
  <c r="AH122" i="8"/>
  <c r="AC122" i="8"/>
  <c r="X122" i="8"/>
  <c r="S122" i="8"/>
  <c r="N122" i="8"/>
  <c r="I122" i="8"/>
  <c r="D122" i="8"/>
  <c r="AW121" i="8"/>
  <c r="AR121" i="8"/>
  <c r="AM121" i="8"/>
  <c r="AH121" i="8"/>
  <c r="AC121" i="8"/>
  <c r="X121" i="8"/>
  <c r="S121" i="8"/>
  <c r="N121" i="8"/>
  <c r="I121" i="8"/>
  <c r="D121" i="8"/>
  <c r="AW120" i="8"/>
  <c r="AR120" i="8"/>
  <c r="AM120" i="8"/>
  <c r="AH120" i="8"/>
  <c r="AC120" i="8"/>
  <c r="X120" i="8"/>
  <c r="S120" i="8"/>
  <c r="N120" i="8"/>
  <c r="I120" i="8"/>
  <c r="D120" i="8"/>
  <c r="AW119" i="8"/>
  <c r="AR119" i="8"/>
  <c r="AM119" i="8"/>
  <c r="AH119" i="8"/>
  <c r="AC119" i="8"/>
  <c r="X119" i="8"/>
  <c r="S119" i="8"/>
  <c r="N119" i="8"/>
  <c r="I119" i="8"/>
  <c r="D119" i="8"/>
  <c r="AW118" i="8"/>
  <c r="AR118" i="8"/>
  <c r="AM118" i="8"/>
  <c r="AH118" i="8"/>
  <c r="AC118" i="8"/>
  <c r="X118" i="8"/>
  <c r="S118" i="8"/>
  <c r="N118" i="8"/>
  <c r="I118" i="8"/>
  <c r="D118" i="8"/>
  <c r="AW117" i="8"/>
  <c r="AR117" i="8"/>
  <c r="AM117" i="8"/>
  <c r="AH117" i="8"/>
  <c r="AC117" i="8"/>
  <c r="X117" i="8"/>
  <c r="S117" i="8"/>
  <c r="N117" i="8"/>
  <c r="I117" i="8"/>
  <c r="D117" i="8"/>
  <c r="AW116" i="8"/>
  <c r="AR116" i="8"/>
  <c r="AM116" i="8"/>
  <c r="AH116" i="8"/>
  <c r="AC116" i="8"/>
  <c r="X116" i="8"/>
  <c r="S116" i="8"/>
  <c r="N116" i="8"/>
  <c r="I116" i="8"/>
  <c r="D116" i="8"/>
  <c r="AW115" i="8"/>
  <c r="AR115" i="8"/>
  <c r="AM115" i="8"/>
  <c r="AH115" i="8"/>
  <c r="AC115" i="8"/>
  <c r="X115" i="8"/>
  <c r="S115" i="8"/>
  <c r="N115" i="8"/>
  <c r="I115" i="8"/>
  <c r="D115" i="8"/>
  <c r="AW114" i="8"/>
  <c r="AR114" i="8"/>
  <c r="AM114" i="8"/>
  <c r="AH114" i="8"/>
  <c r="AC114" i="8"/>
  <c r="X114" i="8"/>
  <c r="S114" i="8"/>
  <c r="N114" i="8"/>
  <c r="I114" i="8"/>
  <c r="D114" i="8"/>
  <c r="AW113" i="8"/>
  <c r="AR113" i="8"/>
  <c r="AM113" i="8"/>
  <c r="AH113" i="8"/>
  <c r="AC113" i="8"/>
  <c r="X113" i="8"/>
  <c r="S113" i="8"/>
  <c r="N113" i="8"/>
  <c r="I113" i="8"/>
  <c r="D113" i="8"/>
  <c r="AW112" i="8"/>
  <c r="AR112" i="8"/>
  <c r="AM112" i="8"/>
  <c r="AH112" i="8"/>
  <c r="AC112" i="8"/>
  <c r="X112" i="8"/>
  <c r="S112" i="8"/>
  <c r="N112" i="8"/>
  <c r="I112" i="8"/>
  <c r="D112" i="8"/>
  <c r="AW111" i="8"/>
  <c r="AR111" i="8"/>
  <c r="AM111" i="8"/>
  <c r="AH111" i="8"/>
  <c r="AC111" i="8"/>
  <c r="X111" i="8"/>
  <c r="S111" i="8"/>
  <c r="N111" i="8"/>
  <c r="I111" i="8"/>
  <c r="D111" i="8"/>
  <c r="AW110" i="8"/>
  <c r="AR110" i="8"/>
  <c r="AM110" i="8"/>
  <c r="AH110" i="8"/>
  <c r="AC110" i="8"/>
  <c r="X110" i="8"/>
  <c r="S110" i="8"/>
  <c r="N110" i="8"/>
  <c r="I110" i="8"/>
  <c r="D110" i="8"/>
  <c r="AW109" i="8"/>
  <c r="AR109" i="8"/>
  <c r="AM109" i="8"/>
  <c r="AH109" i="8"/>
  <c r="AC109" i="8"/>
  <c r="X109" i="8"/>
  <c r="S109" i="8"/>
  <c r="N109" i="8"/>
  <c r="I109" i="8"/>
  <c r="D109" i="8"/>
  <c r="AW108" i="8"/>
  <c r="AR108" i="8"/>
  <c r="AM108" i="8"/>
  <c r="AH108" i="8"/>
  <c r="AC108" i="8"/>
  <c r="X108" i="8"/>
  <c r="S108" i="8"/>
  <c r="N108" i="8"/>
  <c r="I108" i="8"/>
  <c r="D108" i="8"/>
  <c r="AW107" i="8"/>
  <c r="AR107" i="8"/>
  <c r="AM107" i="8"/>
  <c r="AH107" i="8"/>
  <c r="AC107" i="8"/>
  <c r="X107" i="8"/>
  <c r="S107" i="8"/>
  <c r="N107" i="8"/>
  <c r="I107" i="8"/>
  <c r="D107" i="8"/>
  <c r="AW106" i="8"/>
  <c r="AR106" i="8"/>
  <c r="AM106" i="8"/>
  <c r="AH106" i="8"/>
  <c r="AC106" i="8"/>
  <c r="X106" i="8"/>
  <c r="S106" i="8"/>
  <c r="N106" i="8"/>
  <c r="I106" i="8"/>
  <c r="D106" i="8"/>
  <c r="AW105" i="8"/>
  <c r="AR105" i="8"/>
  <c r="AM105" i="8"/>
  <c r="AH105" i="8"/>
  <c r="AC105" i="8"/>
  <c r="X105" i="8"/>
  <c r="S105" i="8"/>
  <c r="N105" i="8"/>
  <c r="I105" i="8"/>
  <c r="D105" i="8"/>
  <c r="AW104" i="8"/>
  <c r="AR104" i="8"/>
  <c r="AM104" i="8"/>
  <c r="AH104" i="8"/>
  <c r="AC104" i="8"/>
  <c r="X104" i="8"/>
  <c r="S104" i="8"/>
  <c r="N104" i="8"/>
  <c r="I104" i="8"/>
  <c r="D104" i="8"/>
  <c r="AW103" i="8"/>
  <c r="AR103" i="8"/>
  <c r="AM103" i="8"/>
  <c r="AH103" i="8"/>
  <c r="AC103" i="8"/>
  <c r="X103" i="8"/>
  <c r="S103" i="8"/>
  <c r="N103" i="8"/>
  <c r="I103" i="8"/>
  <c r="D103" i="8"/>
  <c r="AW102" i="8"/>
  <c r="AR102" i="8"/>
  <c r="AM102" i="8"/>
  <c r="AH102" i="8"/>
  <c r="AC102" i="8"/>
  <c r="X102" i="8"/>
  <c r="S102" i="8"/>
  <c r="N102" i="8"/>
  <c r="I102" i="8"/>
  <c r="D102" i="8"/>
  <c r="AW101" i="8"/>
  <c r="AR101" i="8"/>
  <c r="AM101" i="8"/>
  <c r="AH101" i="8"/>
  <c r="AC101" i="8"/>
  <c r="X101" i="8"/>
  <c r="S101" i="8"/>
  <c r="N101" i="8"/>
  <c r="I101" i="8"/>
  <c r="D101" i="8"/>
  <c r="AW100" i="8"/>
  <c r="AR100" i="8"/>
  <c r="AM100" i="8"/>
  <c r="AH100" i="8"/>
  <c r="AC100" i="8"/>
  <c r="X100" i="8"/>
  <c r="S100" i="8"/>
  <c r="N100" i="8"/>
  <c r="I100" i="8"/>
  <c r="D100" i="8"/>
  <c r="AW99" i="8"/>
  <c r="AR99" i="8"/>
  <c r="AM99" i="8"/>
  <c r="AH99" i="8"/>
  <c r="AC99" i="8"/>
  <c r="X99" i="8"/>
  <c r="S99" i="8"/>
  <c r="N99" i="8"/>
  <c r="I99" i="8"/>
  <c r="D99" i="8"/>
  <c r="AW98" i="8"/>
  <c r="AR98" i="8"/>
  <c r="AM98" i="8"/>
  <c r="AH98" i="8"/>
  <c r="AC98" i="8"/>
  <c r="X98" i="8"/>
  <c r="S98" i="8"/>
  <c r="N98" i="8"/>
  <c r="I98" i="8"/>
  <c r="D98" i="8"/>
  <c r="AW97" i="8"/>
  <c r="AR97" i="8"/>
  <c r="AM97" i="8"/>
  <c r="AH97" i="8"/>
  <c r="AC97" i="8"/>
  <c r="X97" i="8"/>
  <c r="S97" i="8"/>
  <c r="N97" i="8"/>
  <c r="I97" i="8"/>
  <c r="D97" i="8"/>
  <c r="AW96" i="8"/>
  <c r="AR96" i="8"/>
  <c r="AM96" i="8"/>
  <c r="AH96" i="8"/>
  <c r="AC96" i="8"/>
  <c r="X96" i="8"/>
  <c r="S96" i="8"/>
  <c r="N96" i="8"/>
  <c r="I96" i="8"/>
  <c r="D96" i="8"/>
  <c r="AW95" i="8"/>
  <c r="AR95" i="8"/>
  <c r="AM95" i="8"/>
  <c r="AH95" i="8"/>
  <c r="AC95" i="8"/>
  <c r="X95" i="8"/>
  <c r="S95" i="8"/>
  <c r="N95" i="8"/>
  <c r="I95" i="8"/>
  <c r="D95" i="8"/>
  <c r="AW94" i="8"/>
  <c r="AR94" i="8"/>
  <c r="AM94" i="8"/>
  <c r="AH94" i="8"/>
  <c r="AC94" i="8"/>
  <c r="X94" i="8"/>
  <c r="S94" i="8"/>
  <c r="N94" i="8"/>
  <c r="I94" i="8"/>
  <c r="D94" i="8"/>
  <c r="AW93" i="8"/>
  <c r="AR93" i="8"/>
  <c r="AM93" i="8"/>
  <c r="AH93" i="8"/>
  <c r="AC93" i="8"/>
  <c r="X93" i="8"/>
  <c r="S93" i="8"/>
  <c r="N93" i="8"/>
  <c r="I93" i="8"/>
  <c r="D93" i="8"/>
  <c r="AW92" i="8"/>
  <c r="AR92" i="8"/>
  <c r="AM92" i="8"/>
  <c r="AH92" i="8"/>
  <c r="AC92" i="8"/>
  <c r="X92" i="8"/>
  <c r="S92" i="8"/>
  <c r="N92" i="8"/>
  <c r="I92" i="8"/>
  <c r="D92" i="8"/>
  <c r="AW91" i="8"/>
  <c r="AR91" i="8"/>
  <c r="AM91" i="8"/>
  <c r="AH91" i="8"/>
  <c r="AC91" i="8"/>
  <c r="X91" i="8"/>
  <c r="S91" i="8"/>
  <c r="N91" i="8"/>
  <c r="I91" i="8"/>
  <c r="D91" i="8"/>
  <c r="AW90" i="8"/>
  <c r="AR90" i="8"/>
  <c r="AM90" i="8"/>
  <c r="AH90" i="8"/>
  <c r="AC90" i="8"/>
  <c r="X90" i="8"/>
  <c r="S90" i="8"/>
  <c r="N90" i="8"/>
  <c r="I90" i="8"/>
  <c r="D90" i="8"/>
  <c r="AW89" i="8"/>
  <c r="AR89" i="8"/>
  <c r="AM89" i="8"/>
  <c r="AH89" i="8"/>
  <c r="AC89" i="8"/>
  <c r="X89" i="8"/>
  <c r="S89" i="8"/>
  <c r="N89" i="8"/>
  <c r="I89" i="8"/>
  <c r="D89" i="8"/>
  <c r="AW88" i="8"/>
  <c r="AR88" i="8"/>
  <c r="AM88" i="8"/>
  <c r="AH88" i="8"/>
  <c r="AC88" i="8"/>
  <c r="X88" i="8"/>
  <c r="S88" i="8"/>
  <c r="N88" i="8"/>
  <c r="I88" i="8"/>
  <c r="D88" i="8"/>
  <c r="AW87" i="8"/>
  <c r="AR87" i="8"/>
  <c r="AM87" i="8"/>
  <c r="AH87" i="8"/>
  <c r="AC87" i="8"/>
  <c r="X87" i="8"/>
  <c r="S87" i="8"/>
  <c r="N87" i="8"/>
  <c r="I87" i="8"/>
  <c r="D87" i="8"/>
  <c r="AW86" i="8"/>
  <c r="AR86" i="8"/>
  <c r="AM86" i="8"/>
  <c r="AH86" i="8"/>
  <c r="AC86" i="8"/>
  <c r="X86" i="8"/>
  <c r="S86" i="8"/>
  <c r="N86" i="8"/>
  <c r="I86" i="8"/>
  <c r="D86" i="8"/>
  <c r="AW85" i="8"/>
  <c r="AR85" i="8"/>
  <c r="AM85" i="8"/>
  <c r="AH85" i="8"/>
  <c r="AC85" i="8"/>
  <c r="X85" i="8"/>
  <c r="S85" i="8"/>
  <c r="N85" i="8"/>
  <c r="I85" i="8"/>
  <c r="D85" i="8"/>
  <c r="AW84" i="8"/>
  <c r="AR84" i="8"/>
  <c r="AM84" i="8"/>
  <c r="AH84" i="8"/>
  <c r="AC84" i="8"/>
  <c r="X84" i="8"/>
  <c r="S84" i="8"/>
  <c r="N84" i="8"/>
  <c r="I84" i="8"/>
  <c r="D84" i="8"/>
  <c r="AW83" i="8"/>
  <c r="AR83" i="8"/>
  <c r="AM83" i="8"/>
  <c r="AH83" i="8"/>
  <c r="AC83" i="8"/>
  <c r="X83" i="8"/>
  <c r="S83" i="8"/>
  <c r="N83" i="8"/>
  <c r="I83" i="8"/>
  <c r="D83" i="8"/>
  <c r="AW82" i="8"/>
  <c r="AR82" i="8"/>
  <c r="AM82" i="8"/>
  <c r="AH82" i="8"/>
  <c r="AC82" i="8"/>
  <c r="X82" i="8"/>
  <c r="S82" i="8"/>
  <c r="N82" i="8"/>
  <c r="I82" i="8"/>
  <c r="D82" i="8"/>
  <c r="AW81" i="8"/>
  <c r="AR81" i="8"/>
  <c r="AM81" i="8"/>
  <c r="AH81" i="8"/>
  <c r="AC81" i="8"/>
  <c r="X81" i="8"/>
  <c r="S81" i="8"/>
  <c r="N81" i="8"/>
  <c r="I81" i="8"/>
  <c r="D81" i="8"/>
  <c r="AW80" i="8"/>
  <c r="AR80" i="8"/>
  <c r="AM80" i="8"/>
  <c r="AH80" i="8"/>
  <c r="AC80" i="8"/>
  <c r="X80" i="8"/>
  <c r="S80" i="8"/>
  <c r="N80" i="8"/>
  <c r="I80" i="8"/>
  <c r="D80" i="8"/>
  <c r="AW79" i="8"/>
  <c r="AR79" i="8"/>
  <c r="AM79" i="8"/>
  <c r="AH79" i="8"/>
  <c r="AC79" i="8"/>
  <c r="X79" i="8"/>
  <c r="S79" i="8"/>
  <c r="N79" i="8"/>
  <c r="I79" i="8"/>
  <c r="D79" i="8"/>
  <c r="AW78" i="8"/>
  <c r="AR78" i="8"/>
  <c r="AM78" i="8"/>
  <c r="AH78" i="8"/>
  <c r="AC78" i="8"/>
  <c r="X78" i="8"/>
  <c r="S78" i="8"/>
  <c r="N78" i="8"/>
  <c r="I78" i="8"/>
  <c r="D78" i="8"/>
  <c r="AW77" i="8"/>
  <c r="AR77" i="8"/>
  <c r="AM77" i="8"/>
  <c r="AH77" i="8"/>
  <c r="AC77" i="8"/>
  <c r="X77" i="8"/>
  <c r="S77" i="8"/>
  <c r="N77" i="8"/>
  <c r="I77" i="8"/>
  <c r="D77" i="8"/>
  <c r="AW76" i="8"/>
  <c r="AR76" i="8"/>
  <c r="AM76" i="8"/>
  <c r="AH76" i="8"/>
  <c r="AC76" i="8"/>
  <c r="X76" i="8"/>
  <c r="S76" i="8"/>
  <c r="N76" i="8"/>
  <c r="I76" i="8"/>
  <c r="D76" i="8"/>
  <c r="AW75" i="8"/>
  <c r="AR75" i="8"/>
  <c r="AM75" i="8"/>
  <c r="AH75" i="8"/>
  <c r="AC75" i="8"/>
  <c r="X75" i="8"/>
  <c r="S75" i="8"/>
  <c r="N75" i="8"/>
  <c r="I75" i="8"/>
  <c r="D75" i="8"/>
  <c r="AW74" i="8"/>
  <c r="AR74" i="8"/>
  <c r="AM74" i="8"/>
  <c r="AH74" i="8"/>
  <c r="AC74" i="8"/>
  <c r="X74" i="8"/>
  <c r="S74" i="8"/>
  <c r="N74" i="8"/>
  <c r="I74" i="8"/>
  <c r="D74" i="8"/>
  <c r="AW73" i="8"/>
  <c r="AR73" i="8"/>
  <c r="AM73" i="8"/>
  <c r="AH73" i="8"/>
  <c r="AC73" i="8"/>
  <c r="X73" i="8"/>
  <c r="S73" i="8"/>
  <c r="N73" i="8"/>
  <c r="I73" i="8"/>
  <c r="D73" i="8"/>
  <c r="AW72" i="8"/>
  <c r="AR72" i="8"/>
  <c r="AM72" i="8"/>
  <c r="AH72" i="8"/>
  <c r="AC72" i="8"/>
  <c r="X72" i="8"/>
  <c r="S72" i="8"/>
  <c r="N72" i="8"/>
  <c r="I72" i="8"/>
  <c r="D72" i="8"/>
  <c r="AW71" i="8"/>
  <c r="AR71" i="8"/>
  <c r="AM71" i="8"/>
  <c r="AH71" i="8"/>
  <c r="AC71" i="8"/>
  <c r="X71" i="8"/>
  <c r="S71" i="8"/>
  <c r="N71" i="8"/>
  <c r="I71" i="8"/>
  <c r="D71" i="8"/>
  <c r="AW70" i="8"/>
  <c r="AR70" i="8"/>
  <c r="AM70" i="8"/>
  <c r="AH70" i="8"/>
  <c r="AC70" i="8"/>
  <c r="X70" i="8"/>
  <c r="S70" i="8"/>
  <c r="N70" i="8"/>
  <c r="I70" i="8"/>
  <c r="D70" i="8"/>
  <c r="AW69" i="8"/>
  <c r="AR69" i="8"/>
  <c r="AM69" i="8"/>
  <c r="AH69" i="8"/>
  <c r="AC69" i="8"/>
  <c r="X69" i="8"/>
  <c r="S69" i="8"/>
  <c r="N69" i="8"/>
  <c r="I69" i="8"/>
  <c r="D69" i="8"/>
  <c r="AW68" i="8"/>
  <c r="AR68" i="8"/>
  <c r="AM68" i="8"/>
  <c r="AH68" i="8"/>
  <c r="AC68" i="8"/>
  <c r="X68" i="8"/>
  <c r="S68" i="8"/>
  <c r="N68" i="8"/>
  <c r="I68" i="8"/>
  <c r="D68" i="8"/>
  <c r="AW67" i="8"/>
  <c r="AR67" i="8"/>
  <c r="AM67" i="8"/>
  <c r="AH67" i="8"/>
  <c r="AC67" i="8"/>
  <c r="X67" i="8"/>
  <c r="S67" i="8"/>
  <c r="N67" i="8"/>
  <c r="I67" i="8"/>
  <c r="D67" i="8"/>
  <c r="AW66" i="8"/>
  <c r="AR66" i="8"/>
  <c r="AM66" i="8"/>
  <c r="AH66" i="8"/>
  <c r="AC66" i="8"/>
  <c r="X66" i="8"/>
  <c r="S66" i="8"/>
  <c r="N66" i="8"/>
  <c r="I66" i="8"/>
  <c r="D66" i="8"/>
  <c r="AW65" i="8"/>
  <c r="AR65" i="8"/>
  <c r="AM65" i="8"/>
  <c r="AH65" i="8"/>
  <c r="AC65" i="8"/>
  <c r="X65" i="8"/>
  <c r="S65" i="8"/>
  <c r="N65" i="8"/>
  <c r="I65" i="8"/>
  <c r="D65" i="8"/>
  <c r="AW64" i="8"/>
  <c r="AR64" i="8"/>
  <c r="AM64" i="8"/>
  <c r="AH64" i="8"/>
  <c r="AC64" i="8"/>
  <c r="X64" i="8"/>
  <c r="S64" i="8"/>
  <c r="N64" i="8"/>
  <c r="I64" i="8"/>
  <c r="D64" i="8"/>
  <c r="AW63" i="8"/>
  <c r="AR63" i="8"/>
  <c r="AM63" i="8"/>
  <c r="AH63" i="8"/>
  <c r="AC63" i="8"/>
  <c r="X63" i="8"/>
  <c r="S63" i="8"/>
  <c r="N63" i="8"/>
  <c r="I63" i="8"/>
  <c r="D63" i="8"/>
  <c r="AW62" i="8"/>
  <c r="AR62" i="8"/>
  <c r="AM62" i="8"/>
  <c r="AH62" i="8"/>
  <c r="AC62" i="8"/>
  <c r="X62" i="8"/>
  <c r="S62" i="8"/>
  <c r="N62" i="8"/>
  <c r="I62" i="8"/>
  <c r="D62" i="8"/>
  <c r="AW61" i="8"/>
  <c r="AR61" i="8"/>
  <c r="AM61" i="8"/>
  <c r="AH61" i="8"/>
  <c r="AC61" i="8"/>
  <c r="X61" i="8"/>
  <c r="S61" i="8"/>
  <c r="N61" i="8"/>
  <c r="I61" i="8"/>
  <c r="D61" i="8"/>
  <c r="AW60" i="8"/>
  <c r="AR60" i="8"/>
  <c r="AM60" i="8"/>
  <c r="AH60" i="8"/>
  <c r="AC60" i="8"/>
  <c r="X60" i="8"/>
  <c r="S60" i="8"/>
  <c r="N60" i="8"/>
  <c r="I60" i="8"/>
  <c r="D60" i="8"/>
  <c r="AW59" i="8"/>
  <c r="AR59" i="8"/>
  <c r="AM59" i="8"/>
  <c r="AH59" i="8"/>
  <c r="AC59" i="8"/>
  <c r="X59" i="8"/>
  <c r="S59" i="8"/>
  <c r="N59" i="8"/>
  <c r="I59" i="8"/>
  <c r="D59" i="8"/>
  <c r="AW58" i="8"/>
  <c r="AR58" i="8"/>
  <c r="AM58" i="8"/>
  <c r="AH58" i="8"/>
  <c r="AC58" i="8"/>
  <c r="X58" i="8"/>
  <c r="S58" i="8"/>
  <c r="N58" i="8"/>
  <c r="I58" i="8"/>
  <c r="D58" i="8"/>
  <c r="AW57" i="8"/>
  <c r="AR57" i="8"/>
  <c r="AM57" i="8"/>
  <c r="AH57" i="8"/>
  <c r="AC57" i="8"/>
  <c r="X57" i="8"/>
  <c r="S57" i="8"/>
  <c r="N57" i="8"/>
  <c r="I57" i="8"/>
  <c r="D57" i="8"/>
  <c r="AW56" i="8"/>
  <c r="AR56" i="8"/>
  <c r="AM56" i="8"/>
  <c r="AH56" i="8"/>
  <c r="AC56" i="8"/>
  <c r="X56" i="8"/>
  <c r="S56" i="8"/>
  <c r="N56" i="8"/>
  <c r="I56" i="8"/>
  <c r="D56" i="8"/>
  <c r="AW55" i="8"/>
  <c r="AR55" i="8"/>
  <c r="AM55" i="8"/>
  <c r="AH55" i="8"/>
  <c r="AC55" i="8"/>
  <c r="X55" i="8"/>
  <c r="S55" i="8"/>
  <c r="N55" i="8"/>
  <c r="I55" i="8"/>
  <c r="D55" i="8"/>
  <c r="AW54" i="8"/>
  <c r="AR54" i="8"/>
  <c r="AM54" i="8"/>
  <c r="AH54" i="8"/>
  <c r="AC54" i="8"/>
  <c r="X54" i="8"/>
  <c r="S54" i="8"/>
  <c r="N54" i="8"/>
  <c r="I54" i="8"/>
  <c r="D54" i="8"/>
  <c r="AW53" i="8"/>
  <c r="AR53" i="8"/>
  <c r="AM53" i="8"/>
  <c r="AH53" i="8"/>
  <c r="AC53" i="8"/>
  <c r="X53" i="8"/>
  <c r="S53" i="8"/>
  <c r="N53" i="8"/>
  <c r="I53" i="8"/>
  <c r="D53" i="8"/>
  <c r="AW52" i="8"/>
  <c r="AR52" i="8"/>
  <c r="AM52" i="8"/>
  <c r="AH52" i="8"/>
  <c r="AC52" i="8"/>
  <c r="X52" i="8"/>
  <c r="S52" i="8"/>
  <c r="N52" i="8"/>
  <c r="I52" i="8"/>
  <c r="D52" i="8"/>
  <c r="AW51" i="8"/>
  <c r="AR51" i="8"/>
  <c r="AM51" i="8"/>
  <c r="AH51" i="8"/>
  <c r="AC51" i="8"/>
  <c r="X51" i="8"/>
  <c r="S51" i="8"/>
  <c r="N51" i="8"/>
  <c r="I51" i="8"/>
  <c r="D51" i="8"/>
  <c r="AW50" i="8"/>
  <c r="AR50" i="8"/>
  <c r="AM50" i="8"/>
  <c r="AH50" i="8"/>
  <c r="AC50" i="8"/>
  <c r="X50" i="8"/>
  <c r="S50" i="8"/>
  <c r="N50" i="8"/>
  <c r="I50" i="8"/>
  <c r="D50" i="8"/>
  <c r="AW49" i="8"/>
  <c r="AR49" i="8"/>
  <c r="AM49" i="8"/>
  <c r="AH49" i="8"/>
  <c r="AC49" i="8"/>
  <c r="X49" i="8"/>
  <c r="S49" i="8"/>
  <c r="N49" i="8"/>
  <c r="I49" i="8"/>
  <c r="D49" i="8"/>
  <c r="AW48" i="8"/>
  <c r="AR48" i="8"/>
  <c r="AM48" i="8"/>
  <c r="AH48" i="8"/>
  <c r="AC48" i="8"/>
  <c r="X48" i="8"/>
  <c r="S48" i="8"/>
  <c r="N48" i="8"/>
  <c r="I48" i="8"/>
  <c r="D48" i="8"/>
  <c r="AW47" i="8"/>
  <c r="AR47" i="8"/>
  <c r="AM47" i="8"/>
  <c r="AH47" i="8"/>
  <c r="AC47" i="8"/>
  <c r="X47" i="8"/>
  <c r="S47" i="8"/>
  <c r="N47" i="8"/>
  <c r="I47" i="8"/>
  <c r="D47" i="8"/>
  <c r="AW46" i="8"/>
  <c r="AR46" i="8"/>
  <c r="AM46" i="8"/>
  <c r="AH46" i="8"/>
  <c r="AC46" i="8"/>
  <c r="X46" i="8"/>
  <c r="S46" i="8"/>
  <c r="N46" i="8"/>
  <c r="I46" i="8"/>
  <c r="D46" i="8"/>
  <c r="AW45" i="8"/>
  <c r="AR45" i="8"/>
  <c r="AM45" i="8"/>
  <c r="AH45" i="8"/>
  <c r="AC45" i="8"/>
  <c r="X45" i="8"/>
  <c r="S45" i="8"/>
  <c r="N45" i="8"/>
  <c r="I45" i="8"/>
  <c r="D45" i="8"/>
  <c r="AW44" i="8"/>
  <c r="AR44" i="8"/>
  <c r="AM44" i="8"/>
  <c r="AH44" i="8"/>
  <c r="AC44" i="8"/>
  <c r="X44" i="8"/>
  <c r="S44" i="8"/>
  <c r="N44" i="8"/>
  <c r="I44" i="8"/>
  <c r="D44" i="8"/>
  <c r="AW43" i="8"/>
  <c r="AR43" i="8"/>
  <c r="AM43" i="8"/>
  <c r="AH43" i="8"/>
  <c r="AC43" i="8"/>
  <c r="X43" i="8"/>
  <c r="S43" i="8"/>
  <c r="N43" i="8"/>
  <c r="I43" i="8"/>
  <c r="D43" i="8"/>
  <c r="AW42" i="8"/>
  <c r="AR42" i="8"/>
  <c r="AM42" i="8"/>
  <c r="AH42" i="8"/>
  <c r="AC42" i="8"/>
  <c r="X42" i="8"/>
  <c r="S42" i="8"/>
  <c r="N42" i="8"/>
  <c r="I42" i="8"/>
  <c r="D42" i="8"/>
  <c r="AW41" i="8"/>
  <c r="AR41" i="8"/>
  <c r="AM41" i="8"/>
  <c r="AH41" i="8"/>
  <c r="AC41" i="8"/>
  <c r="X41" i="8"/>
  <c r="S41" i="8"/>
  <c r="N41" i="8"/>
  <c r="I41" i="8"/>
  <c r="D41" i="8"/>
  <c r="AW40" i="8"/>
  <c r="AR40" i="8"/>
  <c r="AM40" i="8"/>
  <c r="AH40" i="8"/>
  <c r="AC40" i="8"/>
  <c r="X40" i="8"/>
  <c r="S40" i="8"/>
  <c r="N40" i="8"/>
  <c r="I40" i="8"/>
  <c r="D40" i="8"/>
  <c r="AW39" i="8"/>
  <c r="AR39" i="8"/>
  <c r="AM39" i="8"/>
  <c r="AH39" i="8"/>
  <c r="AC39" i="8"/>
  <c r="X39" i="8"/>
  <c r="S39" i="8"/>
  <c r="N39" i="8"/>
  <c r="I39" i="8"/>
  <c r="D39" i="8"/>
  <c r="AW38" i="8"/>
  <c r="AR38" i="8"/>
  <c r="AM38" i="8"/>
  <c r="AH38" i="8"/>
  <c r="AC38" i="8"/>
  <c r="X38" i="8"/>
  <c r="S38" i="8"/>
  <c r="N38" i="8"/>
  <c r="I38" i="8"/>
  <c r="D38" i="8"/>
  <c r="AW37" i="8"/>
  <c r="AR37" i="8"/>
  <c r="AM37" i="8"/>
  <c r="AH37" i="8"/>
  <c r="AC37" i="8"/>
  <c r="X37" i="8"/>
  <c r="S37" i="8"/>
  <c r="N37" i="8"/>
  <c r="I37" i="8"/>
  <c r="D37" i="8"/>
  <c r="AW36" i="8"/>
  <c r="AR36" i="8"/>
  <c r="AM36" i="8"/>
  <c r="AH36" i="8"/>
  <c r="AC36" i="8"/>
  <c r="X36" i="8"/>
  <c r="S36" i="8"/>
  <c r="N36" i="8"/>
  <c r="I36" i="8"/>
  <c r="D36" i="8"/>
  <c r="AW35" i="8"/>
  <c r="AR35" i="8"/>
  <c r="AM35" i="8"/>
  <c r="AH35" i="8"/>
  <c r="AC35" i="8"/>
  <c r="X35" i="8"/>
  <c r="S35" i="8"/>
  <c r="N35" i="8"/>
  <c r="I35" i="8"/>
  <c r="D35" i="8"/>
  <c r="AW34" i="8"/>
  <c r="AR34" i="8"/>
  <c r="AM34" i="8"/>
  <c r="AH34" i="8"/>
  <c r="AC34" i="8"/>
  <c r="X34" i="8"/>
  <c r="S34" i="8"/>
  <c r="N34" i="8"/>
  <c r="I34" i="8"/>
  <c r="D34" i="8"/>
  <c r="AW33" i="8"/>
  <c r="AR33" i="8"/>
  <c r="AM33" i="8"/>
  <c r="AH33" i="8"/>
  <c r="AC33" i="8"/>
  <c r="X33" i="8"/>
  <c r="S33" i="8"/>
  <c r="N33" i="8"/>
  <c r="I33" i="8"/>
  <c r="D33" i="8"/>
  <c r="AW32" i="8"/>
  <c r="AR32" i="8"/>
  <c r="AM32" i="8"/>
  <c r="AH32" i="8"/>
  <c r="AC32" i="8"/>
  <c r="X32" i="8"/>
  <c r="S32" i="8"/>
  <c r="N32" i="8"/>
  <c r="I32" i="8"/>
  <c r="D32" i="8"/>
  <c r="AW31" i="8"/>
  <c r="AR31" i="8"/>
  <c r="AM31" i="8"/>
  <c r="AH31" i="8"/>
  <c r="AC31" i="8"/>
  <c r="X31" i="8"/>
  <c r="S31" i="8"/>
  <c r="N31" i="8"/>
  <c r="I31" i="8"/>
  <c r="D31" i="8"/>
  <c r="AW30" i="8"/>
  <c r="AR30" i="8"/>
  <c r="AM30" i="8"/>
  <c r="AH30" i="8"/>
  <c r="AC30" i="8"/>
  <c r="X30" i="8"/>
  <c r="S30" i="8"/>
  <c r="N30" i="8"/>
  <c r="I30" i="8"/>
  <c r="D30" i="8"/>
  <c r="AW29" i="8"/>
  <c r="AR29" i="8"/>
  <c r="AM29" i="8"/>
  <c r="AH29" i="8"/>
  <c r="AC29" i="8"/>
  <c r="X29" i="8"/>
  <c r="S29" i="8"/>
  <c r="N29" i="8"/>
  <c r="I29" i="8"/>
  <c r="D29" i="8"/>
  <c r="AW28" i="8"/>
  <c r="AR28" i="8"/>
  <c r="AM28" i="8"/>
  <c r="AH28" i="8"/>
  <c r="AC28" i="8"/>
  <c r="X28" i="8"/>
  <c r="S28" i="8"/>
  <c r="N28" i="8"/>
  <c r="I28" i="8"/>
  <c r="D28" i="8"/>
  <c r="AW27" i="8"/>
  <c r="AR27" i="8"/>
  <c r="AM27" i="8"/>
  <c r="AH27" i="8"/>
  <c r="AC27" i="8"/>
  <c r="X27" i="8"/>
  <c r="S27" i="8"/>
  <c r="N27" i="8"/>
  <c r="I27" i="8"/>
  <c r="D27" i="8"/>
  <c r="AW26" i="8"/>
  <c r="AR26" i="8"/>
  <c r="AM26" i="8"/>
  <c r="AH26" i="8"/>
  <c r="AC26" i="8"/>
  <c r="X26" i="8"/>
  <c r="S26" i="8"/>
  <c r="N26" i="8"/>
  <c r="I26" i="8"/>
  <c r="D26" i="8"/>
  <c r="AW25" i="8"/>
  <c r="AR25" i="8"/>
  <c r="AM25" i="8"/>
  <c r="AH25" i="8"/>
  <c r="AC25" i="8"/>
  <c r="X25" i="8"/>
  <c r="S25" i="8"/>
  <c r="N25" i="8"/>
  <c r="I25" i="8"/>
  <c r="D25" i="8"/>
  <c r="AW24" i="8"/>
  <c r="AR24" i="8"/>
  <c r="AM24" i="8"/>
  <c r="AH24" i="8"/>
  <c r="AC24" i="8"/>
  <c r="X24" i="8"/>
  <c r="S24" i="8"/>
  <c r="N24" i="8"/>
  <c r="I24" i="8"/>
  <c r="D24" i="8"/>
  <c r="AW23" i="8"/>
  <c r="AR23" i="8"/>
  <c r="AM23" i="8"/>
  <c r="AH23" i="8"/>
  <c r="AC23" i="8"/>
  <c r="X23" i="8"/>
  <c r="S23" i="8"/>
  <c r="N23" i="8"/>
  <c r="I23" i="8"/>
  <c r="D23" i="8"/>
  <c r="AW22" i="8"/>
  <c r="AR22" i="8"/>
  <c r="AM22" i="8"/>
  <c r="AH22" i="8"/>
  <c r="AC22" i="8"/>
  <c r="X22" i="8"/>
  <c r="S22" i="8"/>
  <c r="N22" i="8"/>
  <c r="I22" i="8"/>
  <c r="D22" i="8"/>
  <c r="AW21" i="8"/>
  <c r="AR21" i="8"/>
  <c r="AM21" i="8"/>
  <c r="AH21" i="8"/>
  <c r="AC21" i="8"/>
  <c r="X21" i="8"/>
  <c r="S21" i="8"/>
  <c r="N21" i="8"/>
  <c r="I21" i="8"/>
  <c r="D21" i="8"/>
  <c r="AW20" i="8"/>
  <c r="AR20" i="8"/>
  <c r="AM20" i="8"/>
  <c r="AH20" i="8"/>
  <c r="AC20" i="8"/>
  <c r="X20" i="8"/>
  <c r="S20" i="8"/>
  <c r="N20" i="8"/>
  <c r="I20" i="8"/>
  <c r="D20" i="8"/>
  <c r="AW19" i="8"/>
  <c r="AR19" i="8"/>
  <c r="AM19" i="8"/>
  <c r="AH19" i="8"/>
  <c r="AC19" i="8"/>
  <c r="X19" i="8"/>
  <c r="S19" i="8"/>
  <c r="N19" i="8"/>
  <c r="I19" i="8"/>
  <c r="D19" i="8"/>
  <c r="AW18" i="8"/>
  <c r="AR18" i="8"/>
  <c r="AM18" i="8"/>
  <c r="AH18" i="8"/>
  <c r="AC18" i="8"/>
  <c r="X18" i="8"/>
  <c r="S18" i="8"/>
  <c r="N18" i="8"/>
  <c r="I18" i="8"/>
  <c r="D18" i="8"/>
  <c r="AW17" i="8"/>
  <c r="AR17" i="8"/>
  <c r="AM17" i="8"/>
  <c r="AH17" i="8"/>
  <c r="AC17" i="8"/>
  <c r="X17" i="8"/>
  <c r="S17" i="8"/>
  <c r="N17" i="8"/>
  <c r="I17" i="8"/>
  <c r="D17" i="8"/>
  <c r="AW16" i="8"/>
  <c r="AR16" i="8"/>
  <c r="AM16" i="8"/>
  <c r="AH16" i="8"/>
  <c r="AC16" i="8"/>
  <c r="X16" i="8"/>
  <c r="S16" i="8"/>
  <c r="N16" i="8"/>
  <c r="I16" i="8"/>
  <c r="D16" i="8"/>
  <c r="AW15" i="8"/>
  <c r="AR15" i="8"/>
  <c r="AM15" i="8"/>
  <c r="AH15" i="8"/>
  <c r="AC15" i="8"/>
  <c r="X15" i="8"/>
  <c r="S15" i="8"/>
  <c r="N15" i="8"/>
  <c r="I15" i="8"/>
  <c r="D15" i="8"/>
  <c r="AW14" i="8"/>
  <c r="AR14" i="8"/>
  <c r="AM14" i="8"/>
  <c r="AH14" i="8"/>
  <c r="AC14" i="8"/>
  <c r="X14" i="8"/>
  <c r="S14" i="8"/>
  <c r="N14" i="8"/>
  <c r="I14" i="8"/>
  <c r="D14" i="8"/>
  <c r="AW13" i="8"/>
  <c r="AR13" i="8"/>
  <c r="AM13" i="8"/>
  <c r="AH13" i="8"/>
  <c r="AC13" i="8"/>
  <c r="X13" i="8"/>
  <c r="S13" i="8"/>
  <c r="N13" i="8"/>
  <c r="I13" i="8"/>
  <c r="D13" i="8"/>
  <c r="AW12" i="8"/>
  <c r="AR12" i="8"/>
  <c r="AM12" i="8"/>
  <c r="AH12" i="8"/>
  <c r="AC12" i="8"/>
  <c r="X12" i="8"/>
  <c r="S12" i="8"/>
  <c r="N12" i="8"/>
  <c r="I12" i="8"/>
  <c r="D12" i="8"/>
  <c r="AW11" i="8"/>
  <c r="AR11" i="8"/>
  <c r="AM11" i="8"/>
  <c r="AH11" i="8"/>
  <c r="AC11" i="8"/>
  <c r="X11" i="8"/>
  <c r="S11" i="8"/>
  <c r="N11" i="8"/>
  <c r="I11" i="8"/>
  <c r="D11" i="8"/>
  <c r="AW10" i="8"/>
  <c r="AR10" i="8"/>
  <c r="AM10" i="8"/>
  <c r="AH10" i="8"/>
  <c r="AC10" i="8"/>
  <c r="X10" i="8"/>
  <c r="S10" i="8"/>
  <c r="N10" i="8"/>
  <c r="I10" i="8"/>
  <c r="D10" i="8"/>
  <c r="AW9" i="8"/>
  <c r="AR9" i="8"/>
  <c r="AM9" i="8"/>
  <c r="AH9" i="8"/>
  <c r="AC9" i="8"/>
  <c r="X9" i="8"/>
  <c r="S9" i="8"/>
  <c r="N9" i="8"/>
  <c r="I9" i="8"/>
  <c r="D9" i="8"/>
  <c r="AW8" i="8"/>
  <c r="AR8" i="8"/>
  <c r="AM8" i="8"/>
  <c r="AH8" i="8"/>
  <c r="AC8" i="8"/>
  <c r="X8" i="8"/>
  <c r="S8" i="8"/>
  <c r="N8" i="8"/>
  <c r="I8" i="8"/>
  <c r="D8" i="8"/>
  <c r="AW7" i="8"/>
  <c r="AR7" i="8"/>
  <c r="AM7" i="8"/>
  <c r="AH7" i="8"/>
  <c r="AC7" i="8"/>
  <c r="X7" i="8"/>
  <c r="S7" i="8"/>
  <c r="N7" i="8"/>
  <c r="I7" i="8"/>
  <c r="D7" i="8"/>
  <c r="AW6" i="8"/>
  <c r="AR6" i="8"/>
  <c r="AM6" i="8"/>
  <c r="AH6" i="8"/>
  <c r="AC6" i="8"/>
  <c r="X6" i="8"/>
  <c r="S6" i="8"/>
  <c r="N6" i="8"/>
  <c r="I6" i="8"/>
  <c r="D6" i="8"/>
  <c r="AW5" i="8"/>
  <c r="AR5" i="8"/>
  <c r="AM5" i="8"/>
  <c r="AH5" i="8"/>
  <c r="AC5" i="8"/>
  <c r="X5" i="8"/>
  <c r="S5" i="8"/>
  <c r="N5" i="8"/>
  <c r="I5" i="8"/>
  <c r="D5" i="8"/>
  <c r="AW4" i="8"/>
  <c r="AR4" i="8"/>
  <c r="AM4" i="8"/>
  <c r="AH4" i="8"/>
  <c r="AC4" i="8"/>
  <c r="X4" i="8"/>
  <c r="S4" i="8"/>
  <c r="N4" i="8"/>
  <c r="I4" i="8"/>
  <c r="D4" i="8"/>
  <c r="AW3" i="8"/>
  <c r="AR3" i="8"/>
  <c r="AM3" i="8"/>
  <c r="AM242" i="8" s="1"/>
  <c r="AK252" i="8" s="1"/>
  <c r="AH3" i="8"/>
  <c r="AC3" i="8"/>
  <c r="X3" i="8"/>
  <c r="S3" i="8"/>
  <c r="N3" i="8"/>
  <c r="I3" i="8"/>
  <c r="D3" i="8"/>
  <c r="AW241" i="7"/>
  <c r="AW240" i="7"/>
  <c r="AW239" i="7"/>
  <c r="AW238" i="7"/>
  <c r="AW237" i="7"/>
  <c r="AW236" i="7"/>
  <c r="AW235" i="7"/>
  <c r="AW234" i="7"/>
  <c r="AW233" i="7"/>
  <c r="AW232" i="7"/>
  <c r="AW231" i="7"/>
  <c r="AW230" i="7"/>
  <c r="AW229" i="7"/>
  <c r="AW228" i="7"/>
  <c r="AW227" i="7"/>
  <c r="AW226" i="7"/>
  <c r="AW225" i="7"/>
  <c r="AW224" i="7"/>
  <c r="AW223" i="7"/>
  <c r="AW222" i="7"/>
  <c r="AW221" i="7"/>
  <c r="AW220" i="7"/>
  <c r="AW219" i="7"/>
  <c r="AW218" i="7"/>
  <c r="AW217" i="7"/>
  <c r="AW216" i="7"/>
  <c r="AW215" i="7"/>
  <c r="AW214" i="7"/>
  <c r="AW213" i="7"/>
  <c r="AW212" i="7"/>
  <c r="AW211" i="7"/>
  <c r="AW210" i="7"/>
  <c r="AW209" i="7"/>
  <c r="AW208" i="7"/>
  <c r="AW207" i="7"/>
  <c r="AW206" i="7"/>
  <c r="AW205" i="7"/>
  <c r="AW204" i="7"/>
  <c r="AW203" i="7"/>
  <c r="AW202" i="7"/>
  <c r="AW201" i="7"/>
  <c r="AW200" i="7"/>
  <c r="AW199" i="7"/>
  <c r="AW198" i="7"/>
  <c r="AW197" i="7"/>
  <c r="AW196" i="7"/>
  <c r="AW195" i="7"/>
  <c r="AW194" i="7"/>
  <c r="AW193" i="7"/>
  <c r="AW192" i="7"/>
  <c r="AW191" i="7"/>
  <c r="AW190" i="7"/>
  <c r="AW189" i="7"/>
  <c r="AW188" i="7"/>
  <c r="AW187" i="7"/>
  <c r="AW186" i="7"/>
  <c r="AW185" i="7"/>
  <c r="AW184" i="7"/>
  <c r="AW183" i="7"/>
  <c r="AW182" i="7"/>
  <c r="AW181" i="7"/>
  <c r="AW180" i="7"/>
  <c r="AW179" i="7"/>
  <c r="AW178" i="7"/>
  <c r="AW177" i="7"/>
  <c r="AW176" i="7"/>
  <c r="AW175" i="7"/>
  <c r="AW174" i="7"/>
  <c r="AW173" i="7"/>
  <c r="AW172" i="7"/>
  <c r="AW171" i="7"/>
  <c r="AW170" i="7"/>
  <c r="AW169" i="7"/>
  <c r="AW168" i="7"/>
  <c r="AW167" i="7"/>
  <c r="AW166" i="7"/>
  <c r="AW165" i="7"/>
  <c r="AW164" i="7"/>
  <c r="AW163" i="7"/>
  <c r="AW162" i="7"/>
  <c r="AW161" i="7"/>
  <c r="AW160" i="7"/>
  <c r="AW159" i="7"/>
  <c r="AW158" i="7"/>
  <c r="AW157" i="7"/>
  <c r="AW156" i="7"/>
  <c r="AW155" i="7"/>
  <c r="AW154" i="7"/>
  <c r="AW153" i="7"/>
  <c r="AW152" i="7"/>
  <c r="AW151" i="7"/>
  <c r="AW150" i="7"/>
  <c r="AW149" i="7"/>
  <c r="AW148" i="7"/>
  <c r="AW147" i="7"/>
  <c r="AW146" i="7"/>
  <c r="AW145" i="7"/>
  <c r="AW144" i="7"/>
  <c r="AW143" i="7"/>
  <c r="AW142" i="7"/>
  <c r="AW141" i="7"/>
  <c r="AW140" i="7"/>
  <c r="AW139" i="7"/>
  <c r="AW138" i="7"/>
  <c r="AW137" i="7"/>
  <c r="AW136" i="7"/>
  <c r="AW135" i="7"/>
  <c r="AW134" i="7"/>
  <c r="AW133" i="7"/>
  <c r="AW132" i="7"/>
  <c r="AW131" i="7"/>
  <c r="AW130" i="7"/>
  <c r="AW129" i="7"/>
  <c r="AW128" i="7"/>
  <c r="AW127" i="7"/>
  <c r="AW126" i="7"/>
  <c r="AW125" i="7"/>
  <c r="AW124" i="7"/>
  <c r="AW123" i="7"/>
  <c r="AW122" i="7"/>
  <c r="AW121" i="7"/>
  <c r="AW120" i="7"/>
  <c r="AW119" i="7"/>
  <c r="AW118" i="7"/>
  <c r="AW117" i="7"/>
  <c r="AW116" i="7"/>
  <c r="AR241" i="7"/>
  <c r="AR240" i="7"/>
  <c r="AR239" i="7"/>
  <c r="AR238" i="7"/>
  <c r="AR237" i="7"/>
  <c r="AR236" i="7"/>
  <c r="AR235" i="7"/>
  <c r="AR234" i="7"/>
  <c r="AR233" i="7"/>
  <c r="AR232" i="7"/>
  <c r="AR231" i="7"/>
  <c r="AR230" i="7"/>
  <c r="AR229" i="7"/>
  <c r="AR228" i="7"/>
  <c r="AR227" i="7"/>
  <c r="AR226" i="7"/>
  <c r="AR225" i="7"/>
  <c r="AR224" i="7"/>
  <c r="AR223" i="7"/>
  <c r="AR222" i="7"/>
  <c r="AR221" i="7"/>
  <c r="AR220" i="7"/>
  <c r="AR219" i="7"/>
  <c r="AR218" i="7"/>
  <c r="AR217" i="7"/>
  <c r="AR216" i="7"/>
  <c r="AR215" i="7"/>
  <c r="AR214" i="7"/>
  <c r="AR213" i="7"/>
  <c r="AR212" i="7"/>
  <c r="AR211" i="7"/>
  <c r="AR210" i="7"/>
  <c r="AR209" i="7"/>
  <c r="AR208" i="7"/>
  <c r="AR207" i="7"/>
  <c r="AR206" i="7"/>
  <c r="AR205" i="7"/>
  <c r="AR204" i="7"/>
  <c r="AR203" i="7"/>
  <c r="AR202" i="7"/>
  <c r="AR201" i="7"/>
  <c r="AR200" i="7"/>
  <c r="AR199" i="7"/>
  <c r="AR198" i="7"/>
  <c r="AR197" i="7"/>
  <c r="AR196" i="7"/>
  <c r="AR195" i="7"/>
  <c r="AR194" i="7"/>
  <c r="AR193" i="7"/>
  <c r="AR192" i="7"/>
  <c r="AR191" i="7"/>
  <c r="AR190" i="7"/>
  <c r="AR189" i="7"/>
  <c r="AR188" i="7"/>
  <c r="AR187" i="7"/>
  <c r="AR186" i="7"/>
  <c r="AR185" i="7"/>
  <c r="AR184" i="7"/>
  <c r="AR183" i="7"/>
  <c r="AR182" i="7"/>
  <c r="AR181" i="7"/>
  <c r="AR180" i="7"/>
  <c r="AR179" i="7"/>
  <c r="AR178" i="7"/>
  <c r="AR177" i="7"/>
  <c r="AR176" i="7"/>
  <c r="AR175" i="7"/>
  <c r="AR174" i="7"/>
  <c r="AR173" i="7"/>
  <c r="AR172" i="7"/>
  <c r="AR171" i="7"/>
  <c r="AR170" i="7"/>
  <c r="AR169" i="7"/>
  <c r="AR168" i="7"/>
  <c r="AR167" i="7"/>
  <c r="AR166" i="7"/>
  <c r="AR165" i="7"/>
  <c r="AR164" i="7"/>
  <c r="AR163" i="7"/>
  <c r="AR162" i="7"/>
  <c r="AR161" i="7"/>
  <c r="AR160" i="7"/>
  <c r="AR159" i="7"/>
  <c r="AR158" i="7"/>
  <c r="AR157" i="7"/>
  <c r="AR156" i="7"/>
  <c r="AR155" i="7"/>
  <c r="AR154" i="7"/>
  <c r="AR153" i="7"/>
  <c r="AR152" i="7"/>
  <c r="AR151" i="7"/>
  <c r="AR150" i="7"/>
  <c r="AR149" i="7"/>
  <c r="AR148" i="7"/>
  <c r="AR147" i="7"/>
  <c r="AR146" i="7"/>
  <c r="AR145" i="7"/>
  <c r="AR144" i="7"/>
  <c r="AR143" i="7"/>
  <c r="AR142" i="7"/>
  <c r="AR141" i="7"/>
  <c r="AR140" i="7"/>
  <c r="AR139" i="7"/>
  <c r="AR138" i="7"/>
  <c r="AR137" i="7"/>
  <c r="AR136" i="7"/>
  <c r="AR135" i="7"/>
  <c r="AR134" i="7"/>
  <c r="AR133" i="7"/>
  <c r="AR132" i="7"/>
  <c r="AR131" i="7"/>
  <c r="AR130" i="7"/>
  <c r="AR129" i="7"/>
  <c r="AR128" i="7"/>
  <c r="AR127" i="7"/>
  <c r="AR126" i="7"/>
  <c r="AR125" i="7"/>
  <c r="AR124" i="7"/>
  <c r="AR123" i="7"/>
  <c r="AR122" i="7"/>
  <c r="AR121" i="7"/>
  <c r="AR120" i="7"/>
  <c r="AR119" i="7"/>
  <c r="AR118" i="7"/>
  <c r="AR117" i="7"/>
  <c r="AR116" i="7"/>
  <c r="AR115" i="7"/>
  <c r="AM241" i="7"/>
  <c r="AM240" i="7"/>
  <c r="AM239" i="7"/>
  <c r="AM238" i="7"/>
  <c r="AM237" i="7"/>
  <c r="AM236" i="7"/>
  <c r="AM235" i="7"/>
  <c r="AM234" i="7"/>
  <c r="AM233" i="7"/>
  <c r="AM232" i="7"/>
  <c r="AM231" i="7"/>
  <c r="AM230" i="7"/>
  <c r="AM229" i="7"/>
  <c r="AM228" i="7"/>
  <c r="AM227" i="7"/>
  <c r="AM226" i="7"/>
  <c r="AM225" i="7"/>
  <c r="AM224" i="7"/>
  <c r="AM223" i="7"/>
  <c r="AM222" i="7"/>
  <c r="AM221" i="7"/>
  <c r="AM220" i="7"/>
  <c r="AM219" i="7"/>
  <c r="AM218" i="7"/>
  <c r="AM217" i="7"/>
  <c r="AM216" i="7"/>
  <c r="AM215" i="7"/>
  <c r="AM214" i="7"/>
  <c r="AM213" i="7"/>
  <c r="AM212" i="7"/>
  <c r="AM211" i="7"/>
  <c r="AM210" i="7"/>
  <c r="AM209" i="7"/>
  <c r="AM208" i="7"/>
  <c r="AM207" i="7"/>
  <c r="AM206" i="7"/>
  <c r="AM205" i="7"/>
  <c r="AM204" i="7"/>
  <c r="AM203" i="7"/>
  <c r="AM202" i="7"/>
  <c r="AM201" i="7"/>
  <c r="AM200" i="7"/>
  <c r="AM199" i="7"/>
  <c r="AM198" i="7"/>
  <c r="AM197" i="7"/>
  <c r="AM196" i="7"/>
  <c r="AM195" i="7"/>
  <c r="AM194" i="7"/>
  <c r="AM193" i="7"/>
  <c r="AM192" i="7"/>
  <c r="AM191" i="7"/>
  <c r="AM190" i="7"/>
  <c r="AM189" i="7"/>
  <c r="AM188" i="7"/>
  <c r="AM187" i="7"/>
  <c r="AM186" i="7"/>
  <c r="AM185" i="7"/>
  <c r="AM184" i="7"/>
  <c r="AM183" i="7"/>
  <c r="AM182" i="7"/>
  <c r="AM181" i="7"/>
  <c r="AM180" i="7"/>
  <c r="AM179" i="7"/>
  <c r="AM178" i="7"/>
  <c r="AM177" i="7"/>
  <c r="AM176" i="7"/>
  <c r="AM175" i="7"/>
  <c r="AM174" i="7"/>
  <c r="AM173" i="7"/>
  <c r="AM172" i="7"/>
  <c r="AM171" i="7"/>
  <c r="AM170" i="7"/>
  <c r="AM169" i="7"/>
  <c r="AM168" i="7"/>
  <c r="AM167" i="7"/>
  <c r="AM166" i="7"/>
  <c r="AM165" i="7"/>
  <c r="AM164" i="7"/>
  <c r="AM163" i="7"/>
  <c r="AM162" i="7"/>
  <c r="AM161" i="7"/>
  <c r="AM160" i="7"/>
  <c r="AM159" i="7"/>
  <c r="AM158" i="7"/>
  <c r="AM157" i="7"/>
  <c r="AM156" i="7"/>
  <c r="AM155" i="7"/>
  <c r="AM154" i="7"/>
  <c r="AM153" i="7"/>
  <c r="AM152" i="7"/>
  <c r="AM151" i="7"/>
  <c r="AM150" i="7"/>
  <c r="AM149" i="7"/>
  <c r="AM148" i="7"/>
  <c r="AM147" i="7"/>
  <c r="AM146" i="7"/>
  <c r="AM145" i="7"/>
  <c r="AM144" i="7"/>
  <c r="AM143" i="7"/>
  <c r="AM142" i="7"/>
  <c r="AM141" i="7"/>
  <c r="AM140" i="7"/>
  <c r="AM139" i="7"/>
  <c r="AM138" i="7"/>
  <c r="AM137" i="7"/>
  <c r="AM136" i="7"/>
  <c r="AM135" i="7"/>
  <c r="AM134" i="7"/>
  <c r="AM133" i="7"/>
  <c r="AM132" i="7"/>
  <c r="AM131" i="7"/>
  <c r="AM130" i="7"/>
  <c r="AM129" i="7"/>
  <c r="AM128" i="7"/>
  <c r="AM127" i="7"/>
  <c r="AM126" i="7"/>
  <c r="AM125" i="7"/>
  <c r="AM124" i="7"/>
  <c r="AM123" i="7"/>
  <c r="AM122" i="7"/>
  <c r="AM121" i="7"/>
  <c r="AM120" i="7"/>
  <c r="AM119" i="7"/>
  <c r="AM118" i="7"/>
  <c r="AM117" i="7"/>
  <c r="AM116" i="7"/>
  <c r="AH241" i="7"/>
  <c r="AH240" i="7"/>
  <c r="AH239" i="7"/>
  <c r="AH238" i="7"/>
  <c r="AH237" i="7"/>
  <c r="AH236" i="7"/>
  <c r="AH235" i="7"/>
  <c r="AH234" i="7"/>
  <c r="AH233" i="7"/>
  <c r="AH232" i="7"/>
  <c r="AH231" i="7"/>
  <c r="AH230" i="7"/>
  <c r="AH229" i="7"/>
  <c r="AH228" i="7"/>
  <c r="AH227" i="7"/>
  <c r="AH226" i="7"/>
  <c r="AH225" i="7"/>
  <c r="AH224" i="7"/>
  <c r="AH223" i="7"/>
  <c r="AH222" i="7"/>
  <c r="AH221" i="7"/>
  <c r="AH220" i="7"/>
  <c r="AH219" i="7"/>
  <c r="AH218" i="7"/>
  <c r="AH217" i="7"/>
  <c r="AH216" i="7"/>
  <c r="AH215" i="7"/>
  <c r="AH214" i="7"/>
  <c r="AH213" i="7"/>
  <c r="AH212" i="7"/>
  <c r="AH211" i="7"/>
  <c r="AH210" i="7"/>
  <c r="AH209" i="7"/>
  <c r="AH208" i="7"/>
  <c r="AH207" i="7"/>
  <c r="AH206" i="7"/>
  <c r="AH205" i="7"/>
  <c r="AH204" i="7"/>
  <c r="AH203" i="7"/>
  <c r="AH202" i="7"/>
  <c r="AH201" i="7"/>
  <c r="AH200" i="7"/>
  <c r="AH199" i="7"/>
  <c r="AH198" i="7"/>
  <c r="AH197" i="7"/>
  <c r="AH196" i="7"/>
  <c r="AH195" i="7"/>
  <c r="AH194" i="7"/>
  <c r="AH193" i="7"/>
  <c r="AH192" i="7"/>
  <c r="AH191" i="7"/>
  <c r="AH190" i="7"/>
  <c r="AH189" i="7"/>
  <c r="AH188" i="7"/>
  <c r="AH187" i="7"/>
  <c r="AH186" i="7"/>
  <c r="AH185" i="7"/>
  <c r="AH184" i="7"/>
  <c r="AH183" i="7"/>
  <c r="AH182" i="7"/>
  <c r="AH181" i="7"/>
  <c r="AH180" i="7"/>
  <c r="AH179" i="7"/>
  <c r="AH178" i="7"/>
  <c r="AH177" i="7"/>
  <c r="AH176" i="7"/>
  <c r="AH175" i="7"/>
  <c r="AH174" i="7"/>
  <c r="AH173" i="7"/>
  <c r="AH172" i="7"/>
  <c r="AH171" i="7"/>
  <c r="AH170" i="7"/>
  <c r="AH169" i="7"/>
  <c r="AH168" i="7"/>
  <c r="AH167" i="7"/>
  <c r="AH166" i="7"/>
  <c r="AH165" i="7"/>
  <c r="AH164" i="7"/>
  <c r="AH163" i="7"/>
  <c r="AH162" i="7"/>
  <c r="AH161" i="7"/>
  <c r="AH160" i="7"/>
  <c r="AH159" i="7"/>
  <c r="AH158" i="7"/>
  <c r="AH157" i="7"/>
  <c r="AH156" i="7"/>
  <c r="AH155" i="7"/>
  <c r="AH154" i="7"/>
  <c r="AH153" i="7"/>
  <c r="AH152" i="7"/>
  <c r="AH151" i="7"/>
  <c r="AH150" i="7"/>
  <c r="AH149" i="7"/>
  <c r="AH148" i="7"/>
  <c r="AH147" i="7"/>
  <c r="AH146" i="7"/>
  <c r="AH145" i="7"/>
  <c r="AH144" i="7"/>
  <c r="AH143" i="7"/>
  <c r="AH142" i="7"/>
  <c r="AH141" i="7"/>
  <c r="AH140" i="7"/>
  <c r="AH139" i="7"/>
  <c r="AH138" i="7"/>
  <c r="AH137" i="7"/>
  <c r="AH136" i="7"/>
  <c r="AH135" i="7"/>
  <c r="AH134" i="7"/>
  <c r="AH133" i="7"/>
  <c r="AH132" i="7"/>
  <c r="AH131" i="7"/>
  <c r="AH130" i="7"/>
  <c r="AH129" i="7"/>
  <c r="AH128" i="7"/>
  <c r="AH127" i="7"/>
  <c r="AH126" i="7"/>
  <c r="AH125" i="7"/>
  <c r="AH124" i="7"/>
  <c r="AH123" i="7"/>
  <c r="AH122" i="7"/>
  <c r="AH121" i="7"/>
  <c r="AH120" i="7"/>
  <c r="AH119" i="7"/>
  <c r="AH118" i="7"/>
  <c r="AH117" i="7"/>
  <c r="AH116" i="7"/>
  <c r="AC241" i="7"/>
  <c r="AC240" i="7"/>
  <c r="AC239" i="7"/>
  <c r="AC238" i="7"/>
  <c r="AC237" i="7"/>
  <c r="AC236" i="7"/>
  <c r="AC235" i="7"/>
  <c r="AC234" i="7"/>
  <c r="AC233" i="7"/>
  <c r="AC232" i="7"/>
  <c r="AC231" i="7"/>
  <c r="AC230" i="7"/>
  <c r="AC229" i="7"/>
  <c r="AC228" i="7"/>
  <c r="AC227" i="7"/>
  <c r="AC226" i="7"/>
  <c r="AC225" i="7"/>
  <c r="AC224" i="7"/>
  <c r="AC223" i="7"/>
  <c r="AC222" i="7"/>
  <c r="AC221" i="7"/>
  <c r="AC220" i="7"/>
  <c r="AC219" i="7"/>
  <c r="AC218" i="7"/>
  <c r="AC217" i="7"/>
  <c r="AC216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X241" i="7"/>
  <c r="X240" i="7"/>
  <c r="X239" i="7"/>
  <c r="X238" i="7"/>
  <c r="X237" i="7"/>
  <c r="X236" i="7"/>
  <c r="X235" i="7"/>
  <c r="X234" i="7"/>
  <c r="X233" i="7"/>
  <c r="X232" i="7"/>
  <c r="X231" i="7"/>
  <c r="X230" i="7"/>
  <c r="X229" i="7"/>
  <c r="X228" i="7"/>
  <c r="X227" i="7"/>
  <c r="X226" i="7"/>
  <c r="X225" i="7"/>
  <c r="X224" i="7"/>
  <c r="X223" i="7"/>
  <c r="X222" i="7"/>
  <c r="X221" i="7"/>
  <c r="X220" i="7"/>
  <c r="X219" i="7"/>
  <c r="X218" i="7"/>
  <c r="X217" i="7"/>
  <c r="X216" i="7"/>
  <c r="X215" i="7"/>
  <c r="X214" i="7"/>
  <c r="X213" i="7"/>
  <c r="X212" i="7"/>
  <c r="X211" i="7"/>
  <c r="X210" i="7"/>
  <c r="X209" i="7"/>
  <c r="X208" i="7"/>
  <c r="X207" i="7"/>
  <c r="X206" i="7"/>
  <c r="X205" i="7"/>
  <c r="X204" i="7"/>
  <c r="X203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3" i="7"/>
  <c r="X172" i="7"/>
  <c r="X171" i="7"/>
  <c r="X170" i="7"/>
  <c r="X169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3" i="7"/>
  <c r="S242" i="7" s="1"/>
  <c r="Q252" i="7" s="1"/>
  <c r="X3" i="7"/>
  <c r="X242" i="7" s="1"/>
  <c r="V252" i="7" s="1"/>
  <c r="AC3" i="7"/>
  <c r="AC242" i="7" s="1"/>
  <c r="AA252" i="7" s="1"/>
  <c r="AH3" i="7"/>
  <c r="AH242" i="7" s="1"/>
  <c r="AF252" i="7" s="1"/>
  <c r="AM3" i="7"/>
  <c r="AM242" i="7" s="1"/>
  <c r="AK252" i="7" s="1"/>
  <c r="AR3" i="7"/>
  <c r="AR242" i="7" s="1"/>
  <c r="AP252" i="7" s="1"/>
  <c r="AW3" i="7"/>
  <c r="AW242" i="7" s="1"/>
  <c r="AU252" i="7" s="1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AW115" i="7"/>
  <c r="AM115" i="7"/>
  <c r="AH115" i="7"/>
  <c r="AC115" i="7"/>
  <c r="X115" i="7"/>
  <c r="S115" i="7"/>
  <c r="N115" i="7"/>
  <c r="I115" i="7"/>
  <c r="D115" i="7"/>
  <c r="AW114" i="7"/>
  <c r="AR114" i="7"/>
  <c r="AM114" i="7"/>
  <c r="AH114" i="7"/>
  <c r="AC114" i="7"/>
  <c r="X114" i="7"/>
  <c r="S114" i="7"/>
  <c r="N114" i="7"/>
  <c r="I114" i="7"/>
  <c r="D114" i="7"/>
  <c r="AW113" i="7"/>
  <c r="AR113" i="7"/>
  <c r="AM113" i="7"/>
  <c r="AH113" i="7"/>
  <c r="AC113" i="7"/>
  <c r="X113" i="7"/>
  <c r="S113" i="7"/>
  <c r="N113" i="7"/>
  <c r="I113" i="7"/>
  <c r="D113" i="7"/>
  <c r="AW112" i="7"/>
  <c r="AR112" i="7"/>
  <c r="AM112" i="7"/>
  <c r="AH112" i="7"/>
  <c r="AC112" i="7"/>
  <c r="X112" i="7"/>
  <c r="S112" i="7"/>
  <c r="N112" i="7"/>
  <c r="I112" i="7"/>
  <c r="D112" i="7"/>
  <c r="AW111" i="7"/>
  <c r="AR111" i="7"/>
  <c r="AM111" i="7"/>
  <c r="AH111" i="7"/>
  <c r="AC111" i="7"/>
  <c r="X111" i="7"/>
  <c r="S111" i="7"/>
  <c r="N111" i="7"/>
  <c r="I111" i="7"/>
  <c r="D111" i="7"/>
  <c r="AW110" i="7"/>
  <c r="AR110" i="7"/>
  <c r="AM110" i="7"/>
  <c r="AH110" i="7"/>
  <c r="AC110" i="7"/>
  <c r="X110" i="7"/>
  <c r="S110" i="7"/>
  <c r="N110" i="7"/>
  <c r="I110" i="7"/>
  <c r="D110" i="7"/>
  <c r="AW109" i="7"/>
  <c r="AR109" i="7"/>
  <c r="AM109" i="7"/>
  <c r="AH109" i="7"/>
  <c r="AC109" i="7"/>
  <c r="X109" i="7"/>
  <c r="S109" i="7"/>
  <c r="N109" i="7"/>
  <c r="I109" i="7"/>
  <c r="D109" i="7"/>
  <c r="AW108" i="7"/>
  <c r="AR108" i="7"/>
  <c r="AM108" i="7"/>
  <c r="AH108" i="7"/>
  <c r="AC108" i="7"/>
  <c r="X108" i="7"/>
  <c r="S108" i="7"/>
  <c r="N108" i="7"/>
  <c r="I108" i="7"/>
  <c r="D108" i="7"/>
  <c r="AW107" i="7"/>
  <c r="AR107" i="7"/>
  <c r="AM107" i="7"/>
  <c r="AH107" i="7"/>
  <c r="AC107" i="7"/>
  <c r="X107" i="7"/>
  <c r="S107" i="7"/>
  <c r="N107" i="7"/>
  <c r="I107" i="7"/>
  <c r="D107" i="7"/>
  <c r="AW106" i="7"/>
  <c r="AR106" i="7"/>
  <c r="AM106" i="7"/>
  <c r="AH106" i="7"/>
  <c r="AC106" i="7"/>
  <c r="X106" i="7"/>
  <c r="S106" i="7"/>
  <c r="N106" i="7"/>
  <c r="I106" i="7"/>
  <c r="D106" i="7"/>
  <c r="AW105" i="7"/>
  <c r="AR105" i="7"/>
  <c r="AM105" i="7"/>
  <c r="AH105" i="7"/>
  <c r="AC105" i="7"/>
  <c r="X105" i="7"/>
  <c r="S105" i="7"/>
  <c r="N105" i="7"/>
  <c r="I105" i="7"/>
  <c r="D105" i="7"/>
  <c r="AW104" i="7"/>
  <c r="AR104" i="7"/>
  <c r="AM104" i="7"/>
  <c r="AH104" i="7"/>
  <c r="AC104" i="7"/>
  <c r="X104" i="7"/>
  <c r="S104" i="7"/>
  <c r="N104" i="7"/>
  <c r="I104" i="7"/>
  <c r="D104" i="7"/>
  <c r="AW103" i="7"/>
  <c r="AR103" i="7"/>
  <c r="AM103" i="7"/>
  <c r="AH103" i="7"/>
  <c r="AC103" i="7"/>
  <c r="X103" i="7"/>
  <c r="S103" i="7"/>
  <c r="N103" i="7"/>
  <c r="I103" i="7"/>
  <c r="D103" i="7"/>
  <c r="AW102" i="7"/>
  <c r="AR102" i="7"/>
  <c r="AM102" i="7"/>
  <c r="AH102" i="7"/>
  <c r="AC102" i="7"/>
  <c r="X102" i="7"/>
  <c r="S102" i="7"/>
  <c r="N102" i="7"/>
  <c r="I102" i="7"/>
  <c r="D102" i="7"/>
  <c r="AW101" i="7"/>
  <c r="AR101" i="7"/>
  <c r="AM101" i="7"/>
  <c r="AH101" i="7"/>
  <c r="AC101" i="7"/>
  <c r="X101" i="7"/>
  <c r="S101" i="7"/>
  <c r="N101" i="7"/>
  <c r="I101" i="7"/>
  <c r="D101" i="7"/>
  <c r="AW100" i="7"/>
  <c r="AR100" i="7"/>
  <c r="AM100" i="7"/>
  <c r="AH100" i="7"/>
  <c r="AC100" i="7"/>
  <c r="X100" i="7"/>
  <c r="S100" i="7"/>
  <c r="N100" i="7"/>
  <c r="I100" i="7"/>
  <c r="D100" i="7"/>
  <c r="AW99" i="7"/>
  <c r="AR99" i="7"/>
  <c r="AM99" i="7"/>
  <c r="AH99" i="7"/>
  <c r="AC99" i="7"/>
  <c r="X99" i="7"/>
  <c r="S99" i="7"/>
  <c r="N99" i="7"/>
  <c r="I99" i="7"/>
  <c r="D99" i="7"/>
  <c r="AW98" i="7"/>
  <c r="AR98" i="7"/>
  <c r="AM98" i="7"/>
  <c r="AH98" i="7"/>
  <c r="AC98" i="7"/>
  <c r="X98" i="7"/>
  <c r="S98" i="7"/>
  <c r="N98" i="7"/>
  <c r="I98" i="7"/>
  <c r="D98" i="7"/>
  <c r="AW97" i="7"/>
  <c r="AR97" i="7"/>
  <c r="AM97" i="7"/>
  <c r="AH97" i="7"/>
  <c r="AC97" i="7"/>
  <c r="X97" i="7"/>
  <c r="S97" i="7"/>
  <c r="N97" i="7"/>
  <c r="I97" i="7"/>
  <c r="D97" i="7"/>
  <c r="AW96" i="7"/>
  <c r="AR96" i="7"/>
  <c r="AM96" i="7"/>
  <c r="AH96" i="7"/>
  <c r="AC96" i="7"/>
  <c r="X96" i="7"/>
  <c r="S96" i="7"/>
  <c r="N96" i="7"/>
  <c r="I96" i="7"/>
  <c r="D96" i="7"/>
  <c r="AW95" i="7"/>
  <c r="AR95" i="7"/>
  <c r="AM95" i="7"/>
  <c r="AH95" i="7"/>
  <c r="AC95" i="7"/>
  <c r="X95" i="7"/>
  <c r="S95" i="7"/>
  <c r="N95" i="7"/>
  <c r="I95" i="7"/>
  <c r="D95" i="7"/>
  <c r="AW94" i="7"/>
  <c r="AR94" i="7"/>
  <c r="AM94" i="7"/>
  <c r="AH94" i="7"/>
  <c r="AC94" i="7"/>
  <c r="X94" i="7"/>
  <c r="S94" i="7"/>
  <c r="N94" i="7"/>
  <c r="I94" i="7"/>
  <c r="D94" i="7"/>
  <c r="AW93" i="7"/>
  <c r="AR93" i="7"/>
  <c r="AM93" i="7"/>
  <c r="AH93" i="7"/>
  <c r="AC93" i="7"/>
  <c r="X93" i="7"/>
  <c r="S93" i="7"/>
  <c r="N93" i="7"/>
  <c r="I93" i="7"/>
  <c r="D93" i="7"/>
  <c r="AW92" i="7"/>
  <c r="AR92" i="7"/>
  <c r="AM92" i="7"/>
  <c r="AH92" i="7"/>
  <c r="AC92" i="7"/>
  <c r="X92" i="7"/>
  <c r="S92" i="7"/>
  <c r="N92" i="7"/>
  <c r="I92" i="7"/>
  <c r="D92" i="7"/>
  <c r="AW91" i="7"/>
  <c r="AR91" i="7"/>
  <c r="AM91" i="7"/>
  <c r="AH91" i="7"/>
  <c r="AC91" i="7"/>
  <c r="X91" i="7"/>
  <c r="S91" i="7"/>
  <c r="N91" i="7"/>
  <c r="I91" i="7"/>
  <c r="D91" i="7"/>
  <c r="AW90" i="7"/>
  <c r="AR90" i="7"/>
  <c r="AM90" i="7"/>
  <c r="AH90" i="7"/>
  <c r="AC90" i="7"/>
  <c r="X90" i="7"/>
  <c r="S90" i="7"/>
  <c r="N90" i="7"/>
  <c r="I90" i="7"/>
  <c r="D90" i="7"/>
  <c r="AW89" i="7"/>
  <c r="AR89" i="7"/>
  <c r="AM89" i="7"/>
  <c r="AH89" i="7"/>
  <c r="AC89" i="7"/>
  <c r="X89" i="7"/>
  <c r="S89" i="7"/>
  <c r="N89" i="7"/>
  <c r="I89" i="7"/>
  <c r="D89" i="7"/>
  <c r="AW88" i="7"/>
  <c r="AR88" i="7"/>
  <c r="AM88" i="7"/>
  <c r="AH88" i="7"/>
  <c r="AC88" i="7"/>
  <c r="X88" i="7"/>
  <c r="S88" i="7"/>
  <c r="N88" i="7"/>
  <c r="I88" i="7"/>
  <c r="D88" i="7"/>
  <c r="AW87" i="7"/>
  <c r="AR87" i="7"/>
  <c r="AM87" i="7"/>
  <c r="AH87" i="7"/>
  <c r="AC87" i="7"/>
  <c r="X87" i="7"/>
  <c r="S87" i="7"/>
  <c r="N87" i="7"/>
  <c r="I87" i="7"/>
  <c r="D87" i="7"/>
  <c r="AW86" i="7"/>
  <c r="AR86" i="7"/>
  <c r="AM86" i="7"/>
  <c r="AH86" i="7"/>
  <c r="AC86" i="7"/>
  <c r="X86" i="7"/>
  <c r="S86" i="7"/>
  <c r="N86" i="7"/>
  <c r="I86" i="7"/>
  <c r="D86" i="7"/>
  <c r="AW85" i="7"/>
  <c r="AR85" i="7"/>
  <c r="AM85" i="7"/>
  <c r="AH85" i="7"/>
  <c r="AC85" i="7"/>
  <c r="X85" i="7"/>
  <c r="S85" i="7"/>
  <c r="N85" i="7"/>
  <c r="I85" i="7"/>
  <c r="D85" i="7"/>
  <c r="AW84" i="7"/>
  <c r="AR84" i="7"/>
  <c r="AM84" i="7"/>
  <c r="AH84" i="7"/>
  <c r="AC84" i="7"/>
  <c r="X84" i="7"/>
  <c r="S84" i="7"/>
  <c r="N84" i="7"/>
  <c r="I84" i="7"/>
  <c r="D84" i="7"/>
  <c r="AW83" i="7"/>
  <c r="AR83" i="7"/>
  <c r="AM83" i="7"/>
  <c r="AH83" i="7"/>
  <c r="AC83" i="7"/>
  <c r="X83" i="7"/>
  <c r="S83" i="7"/>
  <c r="N83" i="7"/>
  <c r="I83" i="7"/>
  <c r="D83" i="7"/>
  <c r="AW82" i="7"/>
  <c r="AR82" i="7"/>
  <c r="AM82" i="7"/>
  <c r="AH82" i="7"/>
  <c r="AC82" i="7"/>
  <c r="X82" i="7"/>
  <c r="S82" i="7"/>
  <c r="N82" i="7"/>
  <c r="I82" i="7"/>
  <c r="D82" i="7"/>
  <c r="AW81" i="7"/>
  <c r="AR81" i="7"/>
  <c r="AM81" i="7"/>
  <c r="AH81" i="7"/>
  <c r="AC81" i="7"/>
  <c r="X81" i="7"/>
  <c r="S81" i="7"/>
  <c r="N81" i="7"/>
  <c r="I81" i="7"/>
  <c r="D81" i="7"/>
  <c r="AW80" i="7"/>
  <c r="AR80" i="7"/>
  <c r="AM80" i="7"/>
  <c r="AH80" i="7"/>
  <c r="AC80" i="7"/>
  <c r="X80" i="7"/>
  <c r="S80" i="7"/>
  <c r="N80" i="7"/>
  <c r="I80" i="7"/>
  <c r="D80" i="7"/>
  <c r="AW79" i="7"/>
  <c r="AR79" i="7"/>
  <c r="AM79" i="7"/>
  <c r="AH79" i="7"/>
  <c r="AC79" i="7"/>
  <c r="X79" i="7"/>
  <c r="S79" i="7"/>
  <c r="N79" i="7"/>
  <c r="I79" i="7"/>
  <c r="D79" i="7"/>
  <c r="AW78" i="7"/>
  <c r="AR78" i="7"/>
  <c r="AM78" i="7"/>
  <c r="AH78" i="7"/>
  <c r="AC78" i="7"/>
  <c r="X78" i="7"/>
  <c r="S78" i="7"/>
  <c r="N78" i="7"/>
  <c r="I78" i="7"/>
  <c r="D78" i="7"/>
  <c r="AW77" i="7"/>
  <c r="AR77" i="7"/>
  <c r="AM77" i="7"/>
  <c r="AH77" i="7"/>
  <c r="AC77" i="7"/>
  <c r="X77" i="7"/>
  <c r="S77" i="7"/>
  <c r="N77" i="7"/>
  <c r="I77" i="7"/>
  <c r="D77" i="7"/>
  <c r="AW76" i="7"/>
  <c r="AR76" i="7"/>
  <c r="AM76" i="7"/>
  <c r="AH76" i="7"/>
  <c r="AC76" i="7"/>
  <c r="X76" i="7"/>
  <c r="S76" i="7"/>
  <c r="N76" i="7"/>
  <c r="I76" i="7"/>
  <c r="D76" i="7"/>
  <c r="AW75" i="7"/>
  <c r="AR75" i="7"/>
  <c r="AM75" i="7"/>
  <c r="AH75" i="7"/>
  <c r="AC75" i="7"/>
  <c r="X75" i="7"/>
  <c r="S75" i="7"/>
  <c r="N75" i="7"/>
  <c r="I75" i="7"/>
  <c r="D75" i="7"/>
  <c r="AW74" i="7"/>
  <c r="AR74" i="7"/>
  <c r="AM74" i="7"/>
  <c r="AH74" i="7"/>
  <c r="AC74" i="7"/>
  <c r="X74" i="7"/>
  <c r="S74" i="7"/>
  <c r="N74" i="7"/>
  <c r="I74" i="7"/>
  <c r="D74" i="7"/>
  <c r="AW73" i="7"/>
  <c r="AR73" i="7"/>
  <c r="AM73" i="7"/>
  <c r="AH73" i="7"/>
  <c r="AC73" i="7"/>
  <c r="X73" i="7"/>
  <c r="S73" i="7"/>
  <c r="N73" i="7"/>
  <c r="I73" i="7"/>
  <c r="D73" i="7"/>
  <c r="AW72" i="7"/>
  <c r="AR72" i="7"/>
  <c r="AM72" i="7"/>
  <c r="AH72" i="7"/>
  <c r="AC72" i="7"/>
  <c r="X72" i="7"/>
  <c r="S72" i="7"/>
  <c r="N72" i="7"/>
  <c r="I72" i="7"/>
  <c r="D72" i="7"/>
  <c r="AW71" i="7"/>
  <c r="AR71" i="7"/>
  <c r="AM71" i="7"/>
  <c r="AH71" i="7"/>
  <c r="AC71" i="7"/>
  <c r="X71" i="7"/>
  <c r="S71" i="7"/>
  <c r="N71" i="7"/>
  <c r="I71" i="7"/>
  <c r="D71" i="7"/>
  <c r="AW70" i="7"/>
  <c r="AR70" i="7"/>
  <c r="AM70" i="7"/>
  <c r="AH70" i="7"/>
  <c r="AC70" i="7"/>
  <c r="X70" i="7"/>
  <c r="S70" i="7"/>
  <c r="N70" i="7"/>
  <c r="I70" i="7"/>
  <c r="D70" i="7"/>
  <c r="AW69" i="7"/>
  <c r="AR69" i="7"/>
  <c r="AM69" i="7"/>
  <c r="AH69" i="7"/>
  <c r="AC69" i="7"/>
  <c r="X69" i="7"/>
  <c r="S69" i="7"/>
  <c r="N69" i="7"/>
  <c r="I69" i="7"/>
  <c r="D69" i="7"/>
  <c r="AW68" i="7"/>
  <c r="AR68" i="7"/>
  <c r="AM68" i="7"/>
  <c r="AH68" i="7"/>
  <c r="AC68" i="7"/>
  <c r="X68" i="7"/>
  <c r="S68" i="7"/>
  <c r="N68" i="7"/>
  <c r="I68" i="7"/>
  <c r="D68" i="7"/>
  <c r="AW67" i="7"/>
  <c r="AR67" i="7"/>
  <c r="AM67" i="7"/>
  <c r="AH67" i="7"/>
  <c r="AC67" i="7"/>
  <c r="X67" i="7"/>
  <c r="S67" i="7"/>
  <c r="N67" i="7"/>
  <c r="I67" i="7"/>
  <c r="D67" i="7"/>
  <c r="AW66" i="7"/>
  <c r="AR66" i="7"/>
  <c r="AM66" i="7"/>
  <c r="AH66" i="7"/>
  <c r="AC66" i="7"/>
  <c r="X66" i="7"/>
  <c r="S66" i="7"/>
  <c r="N66" i="7"/>
  <c r="I66" i="7"/>
  <c r="D66" i="7"/>
  <c r="AW65" i="7"/>
  <c r="AR65" i="7"/>
  <c r="AM65" i="7"/>
  <c r="AH65" i="7"/>
  <c r="AC65" i="7"/>
  <c r="X65" i="7"/>
  <c r="S65" i="7"/>
  <c r="N65" i="7"/>
  <c r="I65" i="7"/>
  <c r="D65" i="7"/>
  <c r="AW64" i="7"/>
  <c r="AR64" i="7"/>
  <c r="AM64" i="7"/>
  <c r="AH64" i="7"/>
  <c r="AC64" i="7"/>
  <c r="X64" i="7"/>
  <c r="S64" i="7"/>
  <c r="N64" i="7"/>
  <c r="I64" i="7"/>
  <c r="D64" i="7"/>
  <c r="AW63" i="7"/>
  <c r="AR63" i="7"/>
  <c r="AM63" i="7"/>
  <c r="AH63" i="7"/>
  <c r="AC63" i="7"/>
  <c r="X63" i="7"/>
  <c r="S63" i="7"/>
  <c r="N63" i="7"/>
  <c r="I63" i="7"/>
  <c r="D63" i="7"/>
  <c r="AW62" i="7"/>
  <c r="AR62" i="7"/>
  <c r="AM62" i="7"/>
  <c r="AH62" i="7"/>
  <c r="AC62" i="7"/>
  <c r="X62" i="7"/>
  <c r="S62" i="7"/>
  <c r="N62" i="7"/>
  <c r="I62" i="7"/>
  <c r="D62" i="7"/>
  <c r="AW61" i="7"/>
  <c r="AR61" i="7"/>
  <c r="AM61" i="7"/>
  <c r="AH61" i="7"/>
  <c r="AC61" i="7"/>
  <c r="X61" i="7"/>
  <c r="S61" i="7"/>
  <c r="N61" i="7"/>
  <c r="I61" i="7"/>
  <c r="D61" i="7"/>
  <c r="AW60" i="7"/>
  <c r="AR60" i="7"/>
  <c r="AM60" i="7"/>
  <c r="AH60" i="7"/>
  <c r="AC60" i="7"/>
  <c r="X60" i="7"/>
  <c r="S60" i="7"/>
  <c r="N60" i="7"/>
  <c r="I60" i="7"/>
  <c r="D60" i="7"/>
  <c r="AW59" i="7"/>
  <c r="AR59" i="7"/>
  <c r="AM59" i="7"/>
  <c r="AH59" i="7"/>
  <c r="AC59" i="7"/>
  <c r="X59" i="7"/>
  <c r="S59" i="7"/>
  <c r="N59" i="7"/>
  <c r="I59" i="7"/>
  <c r="D59" i="7"/>
  <c r="AW58" i="7"/>
  <c r="AR58" i="7"/>
  <c r="AM58" i="7"/>
  <c r="AH58" i="7"/>
  <c r="AC58" i="7"/>
  <c r="X58" i="7"/>
  <c r="S58" i="7"/>
  <c r="N58" i="7"/>
  <c r="I58" i="7"/>
  <c r="D58" i="7"/>
  <c r="AW57" i="7"/>
  <c r="AR57" i="7"/>
  <c r="AM57" i="7"/>
  <c r="AH57" i="7"/>
  <c r="AC57" i="7"/>
  <c r="X57" i="7"/>
  <c r="S57" i="7"/>
  <c r="N57" i="7"/>
  <c r="I57" i="7"/>
  <c r="D57" i="7"/>
  <c r="AW56" i="7"/>
  <c r="AR56" i="7"/>
  <c r="AM56" i="7"/>
  <c r="AH56" i="7"/>
  <c r="AC56" i="7"/>
  <c r="X56" i="7"/>
  <c r="S56" i="7"/>
  <c r="N56" i="7"/>
  <c r="I56" i="7"/>
  <c r="D56" i="7"/>
  <c r="AW55" i="7"/>
  <c r="AR55" i="7"/>
  <c r="AM55" i="7"/>
  <c r="AH55" i="7"/>
  <c r="AC55" i="7"/>
  <c r="X55" i="7"/>
  <c r="S55" i="7"/>
  <c r="N55" i="7"/>
  <c r="I55" i="7"/>
  <c r="D55" i="7"/>
  <c r="AW54" i="7"/>
  <c r="AR54" i="7"/>
  <c r="AM54" i="7"/>
  <c r="AH54" i="7"/>
  <c r="AC54" i="7"/>
  <c r="X54" i="7"/>
  <c r="S54" i="7"/>
  <c r="N54" i="7"/>
  <c r="I54" i="7"/>
  <c r="D54" i="7"/>
  <c r="AW53" i="7"/>
  <c r="AR53" i="7"/>
  <c r="AM53" i="7"/>
  <c r="AH53" i="7"/>
  <c r="AC53" i="7"/>
  <c r="X53" i="7"/>
  <c r="S53" i="7"/>
  <c r="N53" i="7"/>
  <c r="I53" i="7"/>
  <c r="D53" i="7"/>
  <c r="AW52" i="7"/>
  <c r="AR52" i="7"/>
  <c r="AM52" i="7"/>
  <c r="AH52" i="7"/>
  <c r="AC52" i="7"/>
  <c r="X52" i="7"/>
  <c r="S52" i="7"/>
  <c r="N52" i="7"/>
  <c r="I52" i="7"/>
  <c r="D52" i="7"/>
  <c r="AW51" i="7"/>
  <c r="AR51" i="7"/>
  <c r="AM51" i="7"/>
  <c r="AH51" i="7"/>
  <c r="AC51" i="7"/>
  <c r="X51" i="7"/>
  <c r="S51" i="7"/>
  <c r="N51" i="7"/>
  <c r="I51" i="7"/>
  <c r="D51" i="7"/>
  <c r="AW50" i="7"/>
  <c r="AR50" i="7"/>
  <c r="AM50" i="7"/>
  <c r="AH50" i="7"/>
  <c r="AC50" i="7"/>
  <c r="X50" i="7"/>
  <c r="S50" i="7"/>
  <c r="N50" i="7"/>
  <c r="I50" i="7"/>
  <c r="D50" i="7"/>
  <c r="AW49" i="7"/>
  <c r="AR49" i="7"/>
  <c r="AM49" i="7"/>
  <c r="AH49" i="7"/>
  <c r="AC49" i="7"/>
  <c r="X49" i="7"/>
  <c r="S49" i="7"/>
  <c r="N49" i="7"/>
  <c r="I49" i="7"/>
  <c r="D49" i="7"/>
  <c r="AW48" i="7"/>
  <c r="AR48" i="7"/>
  <c r="AM48" i="7"/>
  <c r="AH48" i="7"/>
  <c r="AC48" i="7"/>
  <c r="X48" i="7"/>
  <c r="S48" i="7"/>
  <c r="N48" i="7"/>
  <c r="I48" i="7"/>
  <c r="D48" i="7"/>
  <c r="AW47" i="7"/>
  <c r="AR47" i="7"/>
  <c r="AM47" i="7"/>
  <c r="AH47" i="7"/>
  <c r="AC47" i="7"/>
  <c r="X47" i="7"/>
  <c r="S47" i="7"/>
  <c r="N47" i="7"/>
  <c r="I47" i="7"/>
  <c r="D47" i="7"/>
  <c r="AW46" i="7"/>
  <c r="AR46" i="7"/>
  <c r="AM46" i="7"/>
  <c r="AH46" i="7"/>
  <c r="AC46" i="7"/>
  <c r="X46" i="7"/>
  <c r="S46" i="7"/>
  <c r="N46" i="7"/>
  <c r="I46" i="7"/>
  <c r="D46" i="7"/>
  <c r="AW45" i="7"/>
  <c r="AR45" i="7"/>
  <c r="AM45" i="7"/>
  <c r="AH45" i="7"/>
  <c r="AC45" i="7"/>
  <c r="X45" i="7"/>
  <c r="S45" i="7"/>
  <c r="N45" i="7"/>
  <c r="I45" i="7"/>
  <c r="D45" i="7"/>
  <c r="AW44" i="7"/>
  <c r="AR44" i="7"/>
  <c r="AM44" i="7"/>
  <c r="AH44" i="7"/>
  <c r="AC44" i="7"/>
  <c r="X44" i="7"/>
  <c r="S44" i="7"/>
  <c r="N44" i="7"/>
  <c r="I44" i="7"/>
  <c r="D44" i="7"/>
  <c r="AW43" i="7"/>
  <c r="AR43" i="7"/>
  <c r="AM43" i="7"/>
  <c r="AH43" i="7"/>
  <c r="AC43" i="7"/>
  <c r="X43" i="7"/>
  <c r="S43" i="7"/>
  <c r="N43" i="7"/>
  <c r="I43" i="7"/>
  <c r="D43" i="7"/>
  <c r="AW42" i="7"/>
  <c r="AR42" i="7"/>
  <c r="AM42" i="7"/>
  <c r="AH42" i="7"/>
  <c r="AC42" i="7"/>
  <c r="X42" i="7"/>
  <c r="S42" i="7"/>
  <c r="N42" i="7"/>
  <c r="I42" i="7"/>
  <c r="D42" i="7"/>
  <c r="AW41" i="7"/>
  <c r="AR41" i="7"/>
  <c r="AM41" i="7"/>
  <c r="AH41" i="7"/>
  <c r="AC41" i="7"/>
  <c r="X41" i="7"/>
  <c r="S41" i="7"/>
  <c r="N41" i="7"/>
  <c r="I41" i="7"/>
  <c r="D41" i="7"/>
  <c r="AW40" i="7"/>
  <c r="AR40" i="7"/>
  <c r="AM40" i="7"/>
  <c r="AH40" i="7"/>
  <c r="AC40" i="7"/>
  <c r="X40" i="7"/>
  <c r="S40" i="7"/>
  <c r="N40" i="7"/>
  <c r="I40" i="7"/>
  <c r="D40" i="7"/>
  <c r="AW39" i="7"/>
  <c r="AR39" i="7"/>
  <c r="AM39" i="7"/>
  <c r="AH39" i="7"/>
  <c r="AC39" i="7"/>
  <c r="X39" i="7"/>
  <c r="S39" i="7"/>
  <c r="N39" i="7"/>
  <c r="I39" i="7"/>
  <c r="D39" i="7"/>
  <c r="AW38" i="7"/>
  <c r="AR38" i="7"/>
  <c r="AM38" i="7"/>
  <c r="AH38" i="7"/>
  <c r="AC38" i="7"/>
  <c r="X38" i="7"/>
  <c r="S38" i="7"/>
  <c r="N38" i="7"/>
  <c r="I38" i="7"/>
  <c r="D38" i="7"/>
  <c r="AW37" i="7"/>
  <c r="AR37" i="7"/>
  <c r="AM37" i="7"/>
  <c r="AH37" i="7"/>
  <c r="AC37" i="7"/>
  <c r="X37" i="7"/>
  <c r="S37" i="7"/>
  <c r="N37" i="7"/>
  <c r="I37" i="7"/>
  <c r="D37" i="7"/>
  <c r="AW36" i="7"/>
  <c r="AR36" i="7"/>
  <c r="AM36" i="7"/>
  <c r="AH36" i="7"/>
  <c r="AC36" i="7"/>
  <c r="X36" i="7"/>
  <c r="S36" i="7"/>
  <c r="N36" i="7"/>
  <c r="I36" i="7"/>
  <c r="D36" i="7"/>
  <c r="AW35" i="7"/>
  <c r="AR35" i="7"/>
  <c r="AM35" i="7"/>
  <c r="AH35" i="7"/>
  <c r="AC35" i="7"/>
  <c r="X35" i="7"/>
  <c r="S35" i="7"/>
  <c r="N35" i="7"/>
  <c r="I35" i="7"/>
  <c r="D35" i="7"/>
  <c r="AW34" i="7"/>
  <c r="AR34" i="7"/>
  <c r="AM34" i="7"/>
  <c r="AH34" i="7"/>
  <c r="AC34" i="7"/>
  <c r="X34" i="7"/>
  <c r="S34" i="7"/>
  <c r="N34" i="7"/>
  <c r="I34" i="7"/>
  <c r="D34" i="7"/>
  <c r="AW33" i="7"/>
  <c r="AR33" i="7"/>
  <c r="AM33" i="7"/>
  <c r="AH33" i="7"/>
  <c r="AC33" i="7"/>
  <c r="X33" i="7"/>
  <c r="S33" i="7"/>
  <c r="N33" i="7"/>
  <c r="I33" i="7"/>
  <c r="D33" i="7"/>
  <c r="AW32" i="7"/>
  <c r="AR32" i="7"/>
  <c r="AM32" i="7"/>
  <c r="AH32" i="7"/>
  <c r="AC32" i="7"/>
  <c r="X32" i="7"/>
  <c r="S32" i="7"/>
  <c r="N32" i="7"/>
  <c r="I32" i="7"/>
  <c r="D32" i="7"/>
  <c r="AW31" i="7"/>
  <c r="AR31" i="7"/>
  <c r="AM31" i="7"/>
  <c r="AH31" i="7"/>
  <c r="AC31" i="7"/>
  <c r="X31" i="7"/>
  <c r="S31" i="7"/>
  <c r="N31" i="7"/>
  <c r="I31" i="7"/>
  <c r="D31" i="7"/>
  <c r="AW30" i="7"/>
  <c r="AR30" i="7"/>
  <c r="AM30" i="7"/>
  <c r="AH30" i="7"/>
  <c r="AC30" i="7"/>
  <c r="X30" i="7"/>
  <c r="S30" i="7"/>
  <c r="N30" i="7"/>
  <c r="I30" i="7"/>
  <c r="D30" i="7"/>
  <c r="AW29" i="7"/>
  <c r="AR29" i="7"/>
  <c r="AM29" i="7"/>
  <c r="AH29" i="7"/>
  <c r="AC29" i="7"/>
  <c r="X29" i="7"/>
  <c r="S29" i="7"/>
  <c r="N29" i="7"/>
  <c r="I29" i="7"/>
  <c r="D29" i="7"/>
  <c r="AW28" i="7"/>
  <c r="AR28" i="7"/>
  <c r="AM28" i="7"/>
  <c r="AH28" i="7"/>
  <c r="AC28" i="7"/>
  <c r="X28" i="7"/>
  <c r="S28" i="7"/>
  <c r="N28" i="7"/>
  <c r="I28" i="7"/>
  <c r="D28" i="7"/>
  <c r="AW27" i="7"/>
  <c r="AR27" i="7"/>
  <c r="AM27" i="7"/>
  <c r="AH27" i="7"/>
  <c r="AC27" i="7"/>
  <c r="X27" i="7"/>
  <c r="S27" i="7"/>
  <c r="N27" i="7"/>
  <c r="I27" i="7"/>
  <c r="D27" i="7"/>
  <c r="AW26" i="7"/>
  <c r="AR26" i="7"/>
  <c r="AM26" i="7"/>
  <c r="AH26" i="7"/>
  <c r="AC26" i="7"/>
  <c r="X26" i="7"/>
  <c r="S26" i="7"/>
  <c r="N26" i="7"/>
  <c r="I26" i="7"/>
  <c r="D26" i="7"/>
  <c r="AW25" i="7"/>
  <c r="AR25" i="7"/>
  <c r="AM25" i="7"/>
  <c r="AH25" i="7"/>
  <c r="AC25" i="7"/>
  <c r="X25" i="7"/>
  <c r="S25" i="7"/>
  <c r="N25" i="7"/>
  <c r="I25" i="7"/>
  <c r="D25" i="7"/>
  <c r="AW24" i="7"/>
  <c r="AR24" i="7"/>
  <c r="AM24" i="7"/>
  <c r="AH24" i="7"/>
  <c r="AC24" i="7"/>
  <c r="X24" i="7"/>
  <c r="S24" i="7"/>
  <c r="N24" i="7"/>
  <c r="I24" i="7"/>
  <c r="D24" i="7"/>
  <c r="AW23" i="7"/>
  <c r="AR23" i="7"/>
  <c r="AM23" i="7"/>
  <c r="AH23" i="7"/>
  <c r="AC23" i="7"/>
  <c r="X23" i="7"/>
  <c r="S23" i="7"/>
  <c r="N23" i="7"/>
  <c r="I23" i="7"/>
  <c r="D23" i="7"/>
  <c r="AW22" i="7"/>
  <c r="AR22" i="7"/>
  <c r="AM22" i="7"/>
  <c r="AH22" i="7"/>
  <c r="AC22" i="7"/>
  <c r="X22" i="7"/>
  <c r="S22" i="7"/>
  <c r="N22" i="7"/>
  <c r="I22" i="7"/>
  <c r="D22" i="7"/>
  <c r="AW21" i="7"/>
  <c r="AR21" i="7"/>
  <c r="AM21" i="7"/>
  <c r="AH21" i="7"/>
  <c r="AC21" i="7"/>
  <c r="X21" i="7"/>
  <c r="S21" i="7"/>
  <c r="N21" i="7"/>
  <c r="I21" i="7"/>
  <c r="D21" i="7"/>
  <c r="AW20" i="7"/>
  <c r="AR20" i="7"/>
  <c r="AM20" i="7"/>
  <c r="AH20" i="7"/>
  <c r="AC20" i="7"/>
  <c r="X20" i="7"/>
  <c r="S20" i="7"/>
  <c r="N20" i="7"/>
  <c r="I20" i="7"/>
  <c r="D20" i="7"/>
  <c r="AW19" i="7"/>
  <c r="AR19" i="7"/>
  <c r="AM19" i="7"/>
  <c r="AH19" i="7"/>
  <c r="AC19" i="7"/>
  <c r="X19" i="7"/>
  <c r="S19" i="7"/>
  <c r="N19" i="7"/>
  <c r="I19" i="7"/>
  <c r="D19" i="7"/>
  <c r="AW18" i="7"/>
  <c r="AR18" i="7"/>
  <c r="AM18" i="7"/>
  <c r="AH18" i="7"/>
  <c r="AC18" i="7"/>
  <c r="X18" i="7"/>
  <c r="S18" i="7"/>
  <c r="N18" i="7"/>
  <c r="I18" i="7"/>
  <c r="D18" i="7"/>
  <c r="AW17" i="7"/>
  <c r="AR17" i="7"/>
  <c r="AM17" i="7"/>
  <c r="AH17" i="7"/>
  <c r="AC17" i="7"/>
  <c r="X17" i="7"/>
  <c r="S17" i="7"/>
  <c r="N17" i="7"/>
  <c r="I17" i="7"/>
  <c r="D17" i="7"/>
  <c r="AW16" i="7"/>
  <c r="AR16" i="7"/>
  <c r="AM16" i="7"/>
  <c r="AH16" i="7"/>
  <c r="AC16" i="7"/>
  <c r="X16" i="7"/>
  <c r="S16" i="7"/>
  <c r="N16" i="7"/>
  <c r="I16" i="7"/>
  <c r="D16" i="7"/>
  <c r="AW15" i="7"/>
  <c r="AR15" i="7"/>
  <c r="AM15" i="7"/>
  <c r="AH15" i="7"/>
  <c r="AC15" i="7"/>
  <c r="X15" i="7"/>
  <c r="S15" i="7"/>
  <c r="N15" i="7"/>
  <c r="I15" i="7"/>
  <c r="D15" i="7"/>
  <c r="AW14" i="7"/>
  <c r="AR14" i="7"/>
  <c r="AM14" i="7"/>
  <c r="AH14" i="7"/>
  <c r="AC14" i="7"/>
  <c r="X14" i="7"/>
  <c r="S14" i="7"/>
  <c r="N14" i="7"/>
  <c r="I14" i="7"/>
  <c r="D14" i="7"/>
  <c r="AW13" i="7"/>
  <c r="AR13" i="7"/>
  <c r="AM13" i="7"/>
  <c r="AH13" i="7"/>
  <c r="AC13" i="7"/>
  <c r="X13" i="7"/>
  <c r="S13" i="7"/>
  <c r="N13" i="7"/>
  <c r="I13" i="7"/>
  <c r="D13" i="7"/>
  <c r="AW12" i="7"/>
  <c r="AR12" i="7"/>
  <c r="AM12" i="7"/>
  <c r="AH12" i="7"/>
  <c r="AC12" i="7"/>
  <c r="X12" i="7"/>
  <c r="S12" i="7"/>
  <c r="N12" i="7"/>
  <c r="I12" i="7"/>
  <c r="D12" i="7"/>
  <c r="AW11" i="7"/>
  <c r="AR11" i="7"/>
  <c r="AM11" i="7"/>
  <c r="AH11" i="7"/>
  <c r="AC11" i="7"/>
  <c r="X11" i="7"/>
  <c r="S11" i="7"/>
  <c r="N11" i="7"/>
  <c r="I11" i="7"/>
  <c r="D11" i="7"/>
  <c r="AW10" i="7"/>
  <c r="AR10" i="7"/>
  <c r="AM10" i="7"/>
  <c r="AH10" i="7"/>
  <c r="AC10" i="7"/>
  <c r="X10" i="7"/>
  <c r="S10" i="7"/>
  <c r="N10" i="7"/>
  <c r="I10" i="7"/>
  <c r="D10" i="7"/>
  <c r="AW9" i="7"/>
  <c r="AR9" i="7"/>
  <c r="AM9" i="7"/>
  <c r="AH9" i="7"/>
  <c r="AC9" i="7"/>
  <c r="X9" i="7"/>
  <c r="S9" i="7"/>
  <c r="N9" i="7"/>
  <c r="I9" i="7"/>
  <c r="D9" i="7"/>
  <c r="AW8" i="7"/>
  <c r="AR8" i="7"/>
  <c r="AM8" i="7"/>
  <c r="AH8" i="7"/>
  <c r="AC8" i="7"/>
  <c r="X8" i="7"/>
  <c r="S8" i="7"/>
  <c r="N8" i="7"/>
  <c r="I8" i="7"/>
  <c r="D8" i="7"/>
  <c r="AW7" i="7"/>
  <c r="AR7" i="7"/>
  <c r="AM7" i="7"/>
  <c r="AH7" i="7"/>
  <c r="AC7" i="7"/>
  <c r="X7" i="7"/>
  <c r="S7" i="7"/>
  <c r="N7" i="7"/>
  <c r="I7" i="7"/>
  <c r="D7" i="7"/>
  <c r="AW6" i="7"/>
  <c r="AR6" i="7"/>
  <c r="AM6" i="7"/>
  <c r="AH6" i="7"/>
  <c r="AC6" i="7"/>
  <c r="X6" i="7"/>
  <c r="S6" i="7"/>
  <c r="N6" i="7"/>
  <c r="I6" i="7"/>
  <c r="D6" i="7"/>
  <c r="AW5" i="7"/>
  <c r="AR5" i="7"/>
  <c r="AM5" i="7"/>
  <c r="AH5" i="7"/>
  <c r="AC5" i="7"/>
  <c r="X5" i="7"/>
  <c r="S5" i="7"/>
  <c r="N5" i="7"/>
  <c r="I5" i="7"/>
  <c r="D5" i="7"/>
  <c r="AW4" i="7"/>
  <c r="AR4" i="7"/>
  <c r="AM4" i="7"/>
  <c r="AH4" i="7"/>
  <c r="AC4" i="7"/>
  <c r="X4" i="7"/>
  <c r="S4" i="7"/>
  <c r="N4" i="7"/>
  <c r="I4" i="7"/>
  <c r="D4" i="7"/>
  <c r="N3" i="7"/>
  <c r="N242" i="7" s="1"/>
  <c r="L252" i="7" s="1"/>
  <c r="I3" i="7"/>
  <c r="D3" i="7"/>
  <c r="AW115" i="6"/>
  <c r="AR115" i="6"/>
  <c r="AM115" i="6"/>
  <c r="AH115" i="6"/>
  <c r="AC115" i="6"/>
  <c r="X115" i="6"/>
  <c r="S115" i="6"/>
  <c r="N115" i="6"/>
  <c r="I115" i="6"/>
  <c r="D115" i="6"/>
  <c r="AW114" i="6"/>
  <c r="AR114" i="6"/>
  <c r="AM114" i="6"/>
  <c r="AH114" i="6"/>
  <c r="AC114" i="6"/>
  <c r="X114" i="6"/>
  <c r="S114" i="6"/>
  <c r="N114" i="6"/>
  <c r="I114" i="6"/>
  <c r="D114" i="6"/>
  <c r="AW113" i="6"/>
  <c r="AR113" i="6"/>
  <c r="AM113" i="6"/>
  <c r="AH113" i="6"/>
  <c r="AC113" i="6"/>
  <c r="X113" i="6"/>
  <c r="S113" i="6"/>
  <c r="N113" i="6"/>
  <c r="I113" i="6"/>
  <c r="D113" i="6"/>
  <c r="AW112" i="6"/>
  <c r="AR112" i="6"/>
  <c r="AM112" i="6"/>
  <c r="AH112" i="6"/>
  <c r="AC112" i="6"/>
  <c r="X112" i="6"/>
  <c r="S112" i="6"/>
  <c r="N112" i="6"/>
  <c r="I112" i="6"/>
  <c r="D112" i="6"/>
  <c r="AW111" i="6"/>
  <c r="AR111" i="6"/>
  <c r="AM111" i="6"/>
  <c r="AH111" i="6"/>
  <c r="AC111" i="6"/>
  <c r="X111" i="6"/>
  <c r="S111" i="6"/>
  <c r="N111" i="6"/>
  <c r="I111" i="6"/>
  <c r="D111" i="6"/>
  <c r="AW110" i="6"/>
  <c r="AR110" i="6"/>
  <c r="AM110" i="6"/>
  <c r="AH110" i="6"/>
  <c r="AC110" i="6"/>
  <c r="X110" i="6"/>
  <c r="S110" i="6"/>
  <c r="N110" i="6"/>
  <c r="I110" i="6"/>
  <c r="D110" i="6"/>
  <c r="AW109" i="6"/>
  <c r="AR109" i="6"/>
  <c r="AM109" i="6"/>
  <c r="AH109" i="6"/>
  <c r="AC109" i="6"/>
  <c r="X109" i="6"/>
  <c r="S109" i="6"/>
  <c r="N109" i="6"/>
  <c r="I109" i="6"/>
  <c r="D109" i="6"/>
  <c r="AW108" i="6"/>
  <c r="AR108" i="6"/>
  <c r="AM108" i="6"/>
  <c r="AH108" i="6"/>
  <c r="AC108" i="6"/>
  <c r="X108" i="6"/>
  <c r="S108" i="6"/>
  <c r="N108" i="6"/>
  <c r="I108" i="6"/>
  <c r="D108" i="6"/>
  <c r="AW107" i="6"/>
  <c r="AR107" i="6"/>
  <c r="AM107" i="6"/>
  <c r="AH107" i="6"/>
  <c r="AC107" i="6"/>
  <c r="X107" i="6"/>
  <c r="S107" i="6"/>
  <c r="N107" i="6"/>
  <c r="I107" i="6"/>
  <c r="D107" i="6"/>
  <c r="AW106" i="6"/>
  <c r="AR106" i="6"/>
  <c r="AM106" i="6"/>
  <c r="AH106" i="6"/>
  <c r="AC106" i="6"/>
  <c r="X106" i="6"/>
  <c r="S106" i="6"/>
  <c r="N106" i="6"/>
  <c r="I106" i="6"/>
  <c r="D106" i="6"/>
  <c r="AW105" i="6"/>
  <c r="AR105" i="6"/>
  <c r="AM105" i="6"/>
  <c r="AH105" i="6"/>
  <c r="AC105" i="6"/>
  <c r="X105" i="6"/>
  <c r="S105" i="6"/>
  <c r="N105" i="6"/>
  <c r="I105" i="6"/>
  <c r="D105" i="6"/>
  <c r="AW104" i="6"/>
  <c r="AR104" i="6"/>
  <c r="AM104" i="6"/>
  <c r="AH104" i="6"/>
  <c r="AC104" i="6"/>
  <c r="X104" i="6"/>
  <c r="S104" i="6"/>
  <c r="N104" i="6"/>
  <c r="I104" i="6"/>
  <c r="D104" i="6"/>
  <c r="AW103" i="6"/>
  <c r="AR103" i="6"/>
  <c r="AM103" i="6"/>
  <c r="AH103" i="6"/>
  <c r="AC103" i="6"/>
  <c r="X103" i="6"/>
  <c r="S103" i="6"/>
  <c r="N103" i="6"/>
  <c r="I103" i="6"/>
  <c r="D103" i="6"/>
  <c r="AW102" i="6"/>
  <c r="AR102" i="6"/>
  <c r="AM102" i="6"/>
  <c r="AH102" i="6"/>
  <c r="AC102" i="6"/>
  <c r="X102" i="6"/>
  <c r="S102" i="6"/>
  <c r="N102" i="6"/>
  <c r="I102" i="6"/>
  <c r="D102" i="6"/>
  <c r="AW101" i="6"/>
  <c r="AR101" i="6"/>
  <c r="AM101" i="6"/>
  <c r="AH101" i="6"/>
  <c r="AC101" i="6"/>
  <c r="X101" i="6"/>
  <c r="S101" i="6"/>
  <c r="N101" i="6"/>
  <c r="I101" i="6"/>
  <c r="D101" i="6"/>
  <c r="AW100" i="6"/>
  <c r="AR100" i="6"/>
  <c r="AM100" i="6"/>
  <c r="AH100" i="6"/>
  <c r="AC100" i="6"/>
  <c r="X100" i="6"/>
  <c r="S100" i="6"/>
  <c r="N100" i="6"/>
  <c r="I100" i="6"/>
  <c r="D100" i="6"/>
  <c r="AW99" i="6"/>
  <c r="AR99" i="6"/>
  <c r="AM99" i="6"/>
  <c r="AH99" i="6"/>
  <c r="AC99" i="6"/>
  <c r="X99" i="6"/>
  <c r="S99" i="6"/>
  <c r="N99" i="6"/>
  <c r="I99" i="6"/>
  <c r="D99" i="6"/>
  <c r="AW98" i="6"/>
  <c r="AR98" i="6"/>
  <c r="AM98" i="6"/>
  <c r="AH98" i="6"/>
  <c r="AC98" i="6"/>
  <c r="X98" i="6"/>
  <c r="S98" i="6"/>
  <c r="N98" i="6"/>
  <c r="I98" i="6"/>
  <c r="D98" i="6"/>
  <c r="AW97" i="6"/>
  <c r="AR97" i="6"/>
  <c r="AM97" i="6"/>
  <c r="AH97" i="6"/>
  <c r="AC97" i="6"/>
  <c r="X97" i="6"/>
  <c r="S97" i="6"/>
  <c r="N97" i="6"/>
  <c r="I97" i="6"/>
  <c r="D97" i="6"/>
  <c r="AW96" i="6"/>
  <c r="AR96" i="6"/>
  <c r="AM96" i="6"/>
  <c r="AH96" i="6"/>
  <c r="AC96" i="6"/>
  <c r="X96" i="6"/>
  <c r="S96" i="6"/>
  <c r="N96" i="6"/>
  <c r="I96" i="6"/>
  <c r="D96" i="6"/>
  <c r="AW95" i="6"/>
  <c r="AR95" i="6"/>
  <c r="AM95" i="6"/>
  <c r="AH95" i="6"/>
  <c r="AC95" i="6"/>
  <c r="X95" i="6"/>
  <c r="S95" i="6"/>
  <c r="N95" i="6"/>
  <c r="I95" i="6"/>
  <c r="D95" i="6"/>
  <c r="AW94" i="6"/>
  <c r="AR94" i="6"/>
  <c r="AM94" i="6"/>
  <c r="AH94" i="6"/>
  <c r="AC94" i="6"/>
  <c r="X94" i="6"/>
  <c r="S94" i="6"/>
  <c r="N94" i="6"/>
  <c r="I94" i="6"/>
  <c r="D94" i="6"/>
  <c r="AW93" i="6"/>
  <c r="AR93" i="6"/>
  <c r="AM93" i="6"/>
  <c r="AH93" i="6"/>
  <c r="AC93" i="6"/>
  <c r="X93" i="6"/>
  <c r="S93" i="6"/>
  <c r="N93" i="6"/>
  <c r="I93" i="6"/>
  <c r="D93" i="6"/>
  <c r="AW92" i="6"/>
  <c r="AR92" i="6"/>
  <c r="AM92" i="6"/>
  <c r="AH92" i="6"/>
  <c r="AC92" i="6"/>
  <c r="X92" i="6"/>
  <c r="S92" i="6"/>
  <c r="N92" i="6"/>
  <c r="I92" i="6"/>
  <c r="D92" i="6"/>
  <c r="AW91" i="6"/>
  <c r="AR91" i="6"/>
  <c r="AM91" i="6"/>
  <c r="AH91" i="6"/>
  <c r="AC91" i="6"/>
  <c r="X91" i="6"/>
  <c r="S91" i="6"/>
  <c r="N91" i="6"/>
  <c r="I91" i="6"/>
  <c r="D91" i="6"/>
  <c r="AW90" i="6"/>
  <c r="AR90" i="6"/>
  <c r="AM90" i="6"/>
  <c r="AH90" i="6"/>
  <c r="AC90" i="6"/>
  <c r="X90" i="6"/>
  <c r="S90" i="6"/>
  <c r="N90" i="6"/>
  <c r="I90" i="6"/>
  <c r="D90" i="6"/>
  <c r="AW89" i="6"/>
  <c r="AR89" i="6"/>
  <c r="AM89" i="6"/>
  <c r="AH89" i="6"/>
  <c r="AC89" i="6"/>
  <c r="X89" i="6"/>
  <c r="S89" i="6"/>
  <c r="N89" i="6"/>
  <c r="I89" i="6"/>
  <c r="D89" i="6"/>
  <c r="AW88" i="6"/>
  <c r="AR88" i="6"/>
  <c r="AM88" i="6"/>
  <c r="AH88" i="6"/>
  <c r="AC88" i="6"/>
  <c r="X88" i="6"/>
  <c r="S88" i="6"/>
  <c r="N88" i="6"/>
  <c r="I88" i="6"/>
  <c r="D88" i="6"/>
  <c r="AW87" i="6"/>
  <c r="AR87" i="6"/>
  <c r="AM87" i="6"/>
  <c r="AH87" i="6"/>
  <c r="AC87" i="6"/>
  <c r="X87" i="6"/>
  <c r="S87" i="6"/>
  <c r="N87" i="6"/>
  <c r="I87" i="6"/>
  <c r="D87" i="6"/>
  <c r="AW86" i="6"/>
  <c r="AR86" i="6"/>
  <c r="AM86" i="6"/>
  <c r="AH86" i="6"/>
  <c r="AC86" i="6"/>
  <c r="X86" i="6"/>
  <c r="S86" i="6"/>
  <c r="N86" i="6"/>
  <c r="I86" i="6"/>
  <c r="D86" i="6"/>
  <c r="AW85" i="6"/>
  <c r="AR85" i="6"/>
  <c r="AM85" i="6"/>
  <c r="AH85" i="6"/>
  <c r="AC85" i="6"/>
  <c r="X85" i="6"/>
  <c r="S85" i="6"/>
  <c r="N85" i="6"/>
  <c r="I85" i="6"/>
  <c r="D85" i="6"/>
  <c r="AW84" i="6"/>
  <c r="AR84" i="6"/>
  <c r="AM84" i="6"/>
  <c r="AH84" i="6"/>
  <c r="AC84" i="6"/>
  <c r="X84" i="6"/>
  <c r="S84" i="6"/>
  <c r="N84" i="6"/>
  <c r="I84" i="6"/>
  <c r="D84" i="6"/>
  <c r="AW83" i="6"/>
  <c r="AR83" i="6"/>
  <c r="AM83" i="6"/>
  <c r="AH83" i="6"/>
  <c r="AC83" i="6"/>
  <c r="X83" i="6"/>
  <c r="S83" i="6"/>
  <c r="N83" i="6"/>
  <c r="I83" i="6"/>
  <c r="D83" i="6"/>
  <c r="AW82" i="6"/>
  <c r="AR82" i="6"/>
  <c r="AM82" i="6"/>
  <c r="AH82" i="6"/>
  <c r="AC82" i="6"/>
  <c r="X82" i="6"/>
  <c r="S82" i="6"/>
  <c r="N82" i="6"/>
  <c r="I82" i="6"/>
  <c r="D82" i="6"/>
  <c r="AW81" i="6"/>
  <c r="AR81" i="6"/>
  <c r="AM81" i="6"/>
  <c r="AH81" i="6"/>
  <c r="AC81" i="6"/>
  <c r="X81" i="6"/>
  <c r="S81" i="6"/>
  <c r="N81" i="6"/>
  <c r="I81" i="6"/>
  <c r="D81" i="6"/>
  <c r="AW80" i="6"/>
  <c r="AR80" i="6"/>
  <c r="AM80" i="6"/>
  <c r="AH80" i="6"/>
  <c r="AC80" i="6"/>
  <c r="X80" i="6"/>
  <c r="S80" i="6"/>
  <c r="N80" i="6"/>
  <c r="I80" i="6"/>
  <c r="D80" i="6"/>
  <c r="AW79" i="6"/>
  <c r="AR79" i="6"/>
  <c r="AM79" i="6"/>
  <c r="AH79" i="6"/>
  <c r="AC79" i="6"/>
  <c r="X79" i="6"/>
  <c r="S79" i="6"/>
  <c r="N79" i="6"/>
  <c r="I79" i="6"/>
  <c r="D79" i="6"/>
  <c r="AW78" i="6"/>
  <c r="AR78" i="6"/>
  <c r="AM78" i="6"/>
  <c r="AH78" i="6"/>
  <c r="AC78" i="6"/>
  <c r="X78" i="6"/>
  <c r="S78" i="6"/>
  <c r="N78" i="6"/>
  <c r="I78" i="6"/>
  <c r="D78" i="6"/>
  <c r="AW77" i="6"/>
  <c r="AR77" i="6"/>
  <c r="AM77" i="6"/>
  <c r="AH77" i="6"/>
  <c r="AC77" i="6"/>
  <c r="X77" i="6"/>
  <c r="S77" i="6"/>
  <c r="N77" i="6"/>
  <c r="I77" i="6"/>
  <c r="D77" i="6"/>
  <c r="AW76" i="6"/>
  <c r="AR76" i="6"/>
  <c r="AM76" i="6"/>
  <c r="AH76" i="6"/>
  <c r="AC76" i="6"/>
  <c r="X76" i="6"/>
  <c r="S76" i="6"/>
  <c r="N76" i="6"/>
  <c r="I76" i="6"/>
  <c r="D76" i="6"/>
  <c r="AW75" i="6"/>
  <c r="AR75" i="6"/>
  <c r="AM75" i="6"/>
  <c r="AH75" i="6"/>
  <c r="AC75" i="6"/>
  <c r="X75" i="6"/>
  <c r="S75" i="6"/>
  <c r="N75" i="6"/>
  <c r="I75" i="6"/>
  <c r="D75" i="6"/>
  <c r="AW74" i="6"/>
  <c r="AR74" i="6"/>
  <c r="AM74" i="6"/>
  <c r="AH74" i="6"/>
  <c r="AC74" i="6"/>
  <c r="X74" i="6"/>
  <c r="S74" i="6"/>
  <c r="N74" i="6"/>
  <c r="I74" i="6"/>
  <c r="D74" i="6"/>
  <c r="AW73" i="6"/>
  <c r="AR73" i="6"/>
  <c r="AM73" i="6"/>
  <c r="AH73" i="6"/>
  <c r="AC73" i="6"/>
  <c r="X73" i="6"/>
  <c r="S73" i="6"/>
  <c r="N73" i="6"/>
  <c r="I73" i="6"/>
  <c r="D73" i="6"/>
  <c r="AW72" i="6"/>
  <c r="AR72" i="6"/>
  <c r="AM72" i="6"/>
  <c r="AH72" i="6"/>
  <c r="AC72" i="6"/>
  <c r="X72" i="6"/>
  <c r="S72" i="6"/>
  <c r="N72" i="6"/>
  <c r="I72" i="6"/>
  <c r="D72" i="6"/>
  <c r="AW71" i="6"/>
  <c r="AR71" i="6"/>
  <c r="AM71" i="6"/>
  <c r="AH71" i="6"/>
  <c r="AC71" i="6"/>
  <c r="X71" i="6"/>
  <c r="S71" i="6"/>
  <c r="N71" i="6"/>
  <c r="I71" i="6"/>
  <c r="D71" i="6"/>
  <c r="AW70" i="6"/>
  <c r="AR70" i="6"/>
  <c r="AM70" i="6"/>
  <c r="AH70" i="6"/>
  <c r="AC70" i="6"/>
  <c r="X70" i="6"/>
  <c r="S70" i="6"/>
  <c r="N70" i="6"/>
  <c r="I70" i="6"/>
  <c r="D70" i="6"/>
  <c r="AW69" i="6"/>
  <c r="AR69" i="6"/>
  <c r="AM69" i="6"/>
  <c r="AH69" i="6"/>
  <c r="AC69" i="6"/>
  <c r="X69" i="6"/>
  <c r="S69" i="6"/>
  <c r="N69" i="6"/>
  <c r="I69" i="6"/>
  <c r="D69" i="6"/>
  <c r="AW68" i="6"/>
  <c r="AR68" i="6"/>
  <c r="AM68" i="6"/>
  <c r="AH68" i="6"/>
  <c r="AC68" i="6"/>
  <c r="X68" i="6"/>
  <c r="S68" i="6"/>
  <c r="N68" i="6"/>
  <c r="I68" i="6"/>
  <c r="D68" i="6"/>
  <c r="AW67" i="6"/>
  <c r="AR67" i="6"/>
  <c r="AM67" i="6"/>
  <c r="AH67" i="6"/>
  <c r="AC67" i="6"/>
  <c r="X67" i="6"/>
  <c r="S67" i="6"/>
  <c r="N67" i="6"/>
  <c r="I67" i="6"/>
  <c r="D67" i="6"/>
  <c r="AW66" i="6"/>
  <c r="AR66" i="6"/>
  <c r="AM66" i="6"/>
  <c r="AH66" i="6"/>
  <c r="AC66" i="6"/>
  <c r="X66" i="6"/>
  <c r="S66" i="6"/>
  <c r="N66" i="6"/>
  <c r="I66" i="6"/>
  <c r="D66" i="6"/>
  <c r="AW65" i="6"/>
  <c r="AR65" i="6"/>
  <c r="AM65" i="6"/>
  <c r="AH65" i="6"/>
  <c r="AC65" i="6"/>
  <c r="X65" i="6"/>
  <c r="S65" i="6"/>
  <c r="N65" i="6"/>
  <c r="I65" i="6"/>
  <c r="D65" i="6"/>
  <c r="AW64" i="6"/>
  <c r="AR64" i="6"/>
  <c r="AM64" i="6"/>
  <c r="AH64" i="6"/>
  <c r="AC64" i="6"/>
  <c r="X64" i="6"/>
  <c r="S64" i="6"/>
  <c r="N64" i="6"/>
  <c r="I64" i="6"/>
  <c r="D64" i="6"/>
  <c r="AW63" i="6"/>
  <c r="AR63" i="6"/>
  <c r="AM63" i="6"/>
  <c r="AH63" i="6"/>
  <c r="AC63" i="6"/>
  <c r="X63" i="6"/>
  <c r="S63" i="6"/>
  <c r="N63" i="6"/>
  <c r="I63" i="6"/>
  <c r="D63" i="6"/>
  <c r="AW62" i="6"/>
  <c r="AR62" i="6"/>
  <c r="AM62" i="6"/>
  <c r="AH62" i="6"/>
  <c r="AC62" i="6"/>
  <c r="X62" i="6"/>
  <c r="S62" i="6"/>
  <c r="N62" i="6"/>
  <c r="I62" i="6"/>
  <c r="D62" i="6"/>
  <c r="AW61" i="6"/>
  <c r="AR61" i="6"/>
  <c r="AM61" i="6"/>
  <c r="AH61" i="6"/>
  <c r="AC61" i="6"/>
  <c r="X61" i="6"/>
  <c r="S61" i="6"/>
  <c r="N61" i="6"/>
  <c r="I61" i="6"/>
  <c r="D61" i="6"/>
  <c r="AW60" i="6"/>
  <c r="AR60" i="6"/>
  <c r="AM60" i="6"/>
  <c r="AH60" i="6"/>
  <c r="AC60" i="6"/>
  <c r="X60" i="6"/>
  <c r="S60" i="6"/>
  <c r="N60" i="6"/>
  <c r="I60" i="6"/>
  <c r="D60" i="6"/>
  <c r="AW59" i="6"/>
  <c r="AR59" i="6"/>
  <c r="AM59" i="6"/>
  <c r="AH59" i="6"/>
  <c r="AC59" i="6"/>
  <c r="X59" i="6"/>
  <c r="S59" i="6"/>
  <c r="N59" i="6"/>
  <c r="I59" i="6"/>
  <c r="D59" i="6"/>
  <c r="AW58" i="6"/>
  <c r="AR58" i="6"/>
  <c r="AM58" i="6"/>
  <c r="AH58" i="6"/>
  <c r="AC58" i="6"/>
  <c r="X58" i="6"/>
  <c r="S58" i="6"/>
  <c r="N58" i="6"/>
  <c r="I58" i="6"/>
  <c r="D58" i="6"/>
  <c r="AW57" i="6"/>
  <c r="AR57" i="6"/>
  <c r="AM57" i="6"/>
  <c r="AH57" i="6"/>
  <c r="AC57" i="6"/>
  <c r="X57" i="6"/>
  <c r="S57" i="6"/>
  <c r="N57" i="6"/>
  <c r="I57" i="6"/>
  <c r="D57" i="6"/>
  <c r="AW56" i="6"/>
  <c r="AR56" i="6"/>
  <c r="AM56" i="6"/>
  <c r="AH56" i="6"/>
  <c r="AC56" i="6"/>
  <c r="X56" i="6"/>
  <c r="S56" i="6"/>
  <c r="N56" i="6"/>
  <c r="I56" i="6"/>
  <c r="D56" i="6"/>
  <c r="AW55" i="6"/>
  <c r="AR55" i="6"/>
  <c r="AM55" i="6"/>
  <c r="AH55" i="6"/>
  <c r="AC55" i="6"/>
  <c r="X55" i="6"/>
  <c r="S55" i="6"/>
  <c r="N55" i="6"/>
  <c r="I55" i="6"/>
  <c r="D55" i="6"/>
  <c r="AW54" i="6"/>
  <c r="AR54" i="6"/>
  <c r="AM54" i="6"/>
  <c r="AH54" i="6"/>
  <c r="AC54" i="6"/>
  <c r="X54" i="6"/>
  <c r="S54" i="6"/>
  <c r="N54" i="6"/>
  <c r="I54" i="6"/>
  <c r="D54" i="6"/>
  <c r="AW53" i="6"/>
  <c r="AR53" i="6"/>
  <c r="AM53" i="6"/>
  <c r="AH53" i="6"/>
  <c r="AC53" i="6"/>
  <c r="X53" i="6"/>
  <c r="S53" i="6"/>
  <c r="N53" i="6"/>
  <c r="I53" i="6"/>
  <c r="D53" i="6"/>
  <c r="AW52" i="6"/>
  <c r="AR52" i="6"/>
  <c r="AM52" i="6"/>
  <c r="AH52" i="6"/>
  <c r="AC52" i="6"/>
  <c r="X52" i="6"/>
  <c r="S52" i="6"/>
  <c r="N52" i="6"/>
  <c r="I52" i="6"/>
  <c r="D52" i="6"/>
  <c r="AW51" i="6"/>
  <c r="AR51" i="6"/>
  <c r="AM51" i="6"/>
  <c r="AH51" i="6"/>
  <c r="AC51" i="6"/>
  <c r="X51" i="6"/>
  <c r="S51" i="6"/>
  <c r="N51" i="6"/>
  <c r="I51" i="6"/>
  <c r="D51" i="6"/>
  <c r="AW50" i="6"/>
  <c r="AR50" i="6"/>
  <c r="AM50" i="6"/>
  <c r="AH50" i="6"/>
  <c r="AC50" i="6"/>
  <c r="X50" i="6"/>
  <c r="S50" i="6"/>
  <c r="N50" i="6"/>
  <c r="I50" i="6"/>
  <c r="D50" i="6"/>
  <c r="AW49" i="6"/>
  <c r="AR49" i="6"/>
  <c r="AM49" i="6"/>
  <c r="AH49" i="6"/>
  <c r="AC49" i="6"/>
  <c r="X49" i="6"/>
  <c r="S49" i="6"/>
  <c r="N49" i="6"/>
  <c r="I49" i="6"/>
  <c r="D49" i="6"/>
  <c r="AW48" i="6"/>
  <c r="AR48" i="6"/>
  <c r="AM48" i="6"/>
  <c r="AH48" i="6"/>
  <c r="AC48" i="6"/>
  <c r="X48" i="6"/>
  <c r="S48" i="6"/>
  <c r="N48" i="6"/>
  <c r="I48" i="6"/>
  <c r="D48" i="6"/>
  <c r="AW47" i="6"/>
  <c r="AR47" i="6"/>
  <c r="AM47" i="6"/>
  <c r="AH47" i="6"/>
  <c r="AC47" i="6"/>
  <c r="X47" i="6"/>
  <c r="S47" i="6"/>
  <c r="N47" i="6"/>
  <c r="I47" i="6"/>
  <c r="D47" i="6"/>
  <c r="AW46" i="6"/>
  <c r="AR46" i="6"/>
  <c r="AM46" i="6"/>
  <c r="AH46" i="6"/>
  <c r="AC46" i="6"/>
  <c r="X46" i="6"/>
  <c r="S46" i="6"/>
  <c r="N46" i="6"/>
  <c r="I46" i="6"/>
  <c r="D46" i="6"/>
  <c r="AW45" i="6"/>
  <c r="AR45" i="6"/>
  <c r="AM45" i="6"/>
  <c r="AH45" i="6"/>
  <c r="AC45" i="6"/>
  <c r="X45" i="6"/>
  <c r="S45" i="6"/>
  <c r="N45" i="6"/>
  <c r="I45" i="6"/>
  <c r="D45" i="6"/>
  <c r="AW44" i="6"/>
  <c r="AR44" i="6"/>
  <c r="AM44" i="6"/>
  <c r="AH44" i="6"/>
  <c r="AC44" i="6"/>
  <c r="X44" i="6"/>
  <c r="S44" i="6"/>
  <c r="N44" i="6"/>
  <c r="I44" i="6"/>
  <c r="D44" i="6"/>
  <c r="AW43" i="6"/>
  <c r="AR43" i="6"/>
  <c r="AM43" i="6"/>
  <c r="AH43" i="6"/>
  <c r="AC43" i="6"/>
  <c r="X43" i="6"/>
  <c r="S43" i="6"/>
  <c r="N43" i="6"/>
  <c r="I43" i="6"/>
  <c r="D43" i="6"/>
  <c r="AW42" i="6"/>
  <c r="AR42" i="6"/>
  <c r="AM42" i="6"/>
  <c r="AH42" i="6"/>
  <c r="AC42" i="6"/>
  <c r="X42" i="6"/>
  <c r="S42" i="6"/>
  <c r="N42" i="6"/>
  <c r="I42" i="6"/>
  <c r="D42" i="6"/>
  <c r="AW41" i="6"/>
  <c r="AR41" i="6"/>
  <c r="AM41" i="6"/>
  <c r="AH41" i="6"/>
  <c r="AC41" i="6"/>
  <c r="X41" i="6"/>
  <c r="S41" i="6"/>
  <c r="N41" i="6"/>
  <c r="I41" i="6"/>
  <c r="D41" i="6"/>
  <c r="AW40" i="6"/>
  <c r="AR40" i="6"/>
  <c r="AM40" i="6"/>
  <c r="AH40" i="6"/>
  <c r="AC40" i="6"/>
  <c r="X40" i="6"/>
  <c r="S40" i="6"/>
  <c r="N40" i="6"/>
  <c r="I40" i="6"/>
  <c r="D40" i="6"/>
  <c r="AW39" i="6"/>
  <c r="AR39" i="6"/>
  <c r="AM39" i="6"/>
  <c r="AH39" i="6"/>
  <c r="AC39" i="6"/>
  <c r="X39" i="6"/>
  <c r="S39" i="6"/>
  <c r="N39" i="6"/>
  <c r="I39" i="6"/>
  <c r="D39" i="6"/>
  <c r="AW38" i="6"/>
  <c r="AR38" i="6"/>
  <c r="AM38" i="6"/>
  <c r="AH38" i="6"/>
  <c r="AC38" i="6"/>
  <c r="X38" i="6"/>
  <c r="S38" i="6"/>
  <c r="N38" i="6"/>
  <c r="I38" i="6"/>
  <c r="D38" i="6"/>
  <c r="AW37" i="6"/>
  <c r="AR37" i="6"/>
  <c r="AM37" i="6"/>
  <c r="AH37" i="6"/>
  <c r="AC37" i="6"/>
  <c r="X37" i="6"/>
  <c r="S37" i="6"/>
  <c r="N37" i="6"/>
  <c r="I37" i="6"/>
  <c r="D37" i="6"/>
  <c r="AW36" i="6"/>
  <c r="AR36" i="6"/>
  <c r="AM36" i="6"/>
  <c r="AH36" i="6"/>
  <c r="AC36" i="6"/>
  <c r="X36" i="6"/>
  <c r="S36" i="6"/>
  <c r="N36" i="6"/>
  <c r="I36" i="6"/>
  <c r="D36" i="6"/>
  <c r="AW35" i="6"/>
  <c r="AR35" i="6"/>
  <c r="AM35" i="6"/>
  <c r="AH35" i="6"/>
  <c r="AC35" i="6"/>
  <c r="X35" i="6"/>
  <c r="S35" i="6"/>
  <c r="N35" i="6"/>
  <c r="I35" i="6"/>
  <c r="D35" i="6"/>
  <c r="AW34" i="6"/>
  <c r="AR34" i="6"/>
  <c r="AM34" i="6"/>
  <c r="AH34" i="6"/>
  <c r="AC34" i="6"/>
  <c r="X34" i="6"/>
  <c r="S34" i="6"/>
  <c r="N34" i="6"/>
  <c r="I34" i="6"/>
  <c r="D34" i="6"/>
  <c r="AW33" i="6"/>
  <c r="AR33" i="6"/>
  <c r="AM33" i="6"/>
  <c r="AH33" i="6"/>
  <c r="AC33" i="6"/>
  <c r="X33" i="6"/>
  <c r="S33" i="6"/>
  <c r="N33" i="6"/>
  <c r="I33" i="6"/>
  <c r="D33" i="6"/>
  <c r="AW32" i="6"/>
  <c r="AR32" i="6"/>
  <c r="AM32" i="6"/>
  <c r="AH32" i="6"/>
  <c r="AC32" i="6"/>
  <c r="X32" i="6"/>
  <c r="S32" i="6"/>
  <c r="N32" i="6"/>
  <c r="I32" i="6"/>
  <c r="D32" i="6"/>
  <c r="AW31" i="6"/>
  <c r="AR31" i="6"/>
  <c r="AM31" i="6"/>
  <c r="AH31" i="6"/>
  <c r="AC31" i="6"/>
  <c r="X31" i="6"/>
  <c r="S31" i="6"/>
  <c r="N31" i="6"/>
  <c r="I31" i="6"/>
  <c r="D31" i="6"/>
  <c r="AW30" i="6"/>
  <c r="AR30" i="6"/>
  <c r="AM30" i="6"/>
  <c r="AH30" i="6"/>
  <c r="AC30" i="6"/>
  <c r="X30" i="6"/>
  <c r="S30" i="6"/>
  <c r="N30" i="6"/>
  <c r="I30" i="6"/>
  <c r="D30" i="6"/>
  <c r="AW29" i="6"/>
  <c r="AR29" i="6"/>
  <c r="AM29" i="6"/>
  <c r="AH29" i="6"/>
  <c r="AC29" i="6"/>
  <c r="X29" i="6"/>
  <c r="S29" i="6"/>
  <c r="N29" i="6"/>
  <c r="I29" i="6"/>
  <c r="D29" i="6"/>
  <c r="AW28" i="6"/>
  <c r="AR28" i="6"/>
  <c r="AM28" i="6"/>
  <c r="AH28" i="6"/>
  <c r="AC28" i="6"/>
  <c r="X28" i="6"/>
  <c r="S28" i="6"/>
  <c r="N28" i="6"/>
  <c r="I28" i="6"/>
  <c r="D28" i="6"/>
  <c r="AW27" i="6"/>
  <c r="AR27" i="6"/>
  <c r="AM27" i="6"/>
  <c r="AH27" i="6"/>
  <c r="AC27" i="6"/>
  <c r="X27" i="6"/>
  <c r="S27" i="6"/>
  <c r="N27" i="6"/>
  <c r="I27" i="6"/>
  <c r="D27" i="6"/>
  <c r="AW26" i="6"/>
  <c r="AR26" i="6"/>
  <c r="AM26" i="6"/>
  <c r="AH26" i="6"/>
  <c r="AC26" i="6"/>
  <c r="X26" i="6"/>
  <c r="S26" i="6"/>
  <c r="N26" i="6"/>
  <c r="I26" i="6"/>
  <c r="D26" i="6"/>
  <c r="AW25" i="6"/>
  <c r="AR25" i="6"/>
  <c r="AM25" i="6"/>
  <c r="AH25" i="6"/>
  <c r="AC25" i="6"/>
  <c r="X25" i="6"/>
  <c r="S25" i="6"/>
  <c r="N25" i="6"/>
  <c r="I25" i="6"/>
  <c r="D25" i="6"/>
  <c r="AW24" i="6"/>
  <c r="AR24" i="6"/>
  <c r="AM24" i="6"/>
  <c r="AH24" i="6"/>
  <c r="AC24" i="6"/>
  <c r="X24" i="6"/>
  <c r="S24" i="6"/>
  <c r="N24" i="6"/>
  <c r="I24" i="6"/>
  <c r="D24" i="6"/>
  <c r="AW23" i="6"/>
  <c r="AR23" i="6"/>
  <c r="AM23" i="6"/>
  <c r="AH23" i="6"/>
  <c r="AC23" i="6"/>
  <c r="X23" i="6"/>
  <c r="S23" i="6"/>
  <c r="N23" i="6"/>
  <c r="I23" i="6"/>
  <c r="D23" i="6"/>
  <c r="AW22" i="6"/>
  <c r="AR22" i="6"/>
  <c r="AM22" i="6"/>
  <c r="AH22" i="6"/>
  <c r="AC22" i="6"/>
  <c r="X22" i="6"/>
  <c r="S22" i="6"/>
  <c r="N22" i="6"/>
  <c r="I22" i="6"/>
  <c r="D22" i="6"/>
  <c r="AW21" i="6"/>
  <c r="AR21" i="6"/>
  <c r="AM21" i="6"/>
  <c r="AH21" i="6"/>
  <c r="AC21" i="6"/>
  <c r="X21" i="6"/>
  <c r="S21" i="6"/>
  <c r="N21" i="6"/>
  <c r="I21" i="6"/>
  <c r="D21" i="6"/>
  <c r="AW20" i="6"/>
  <c r="AR20" i="6"/>
  <c r="AM20" i="6"/>
  <c r="AH20" i="6"/>
  <c r="AC20" i="6"/>
  <c r="X20" i="6"/>
  <c r="S20" i="6"/>
  <c r="N20" i="6"/>
  <c r="I20" i="6"/>
  <c r="D20" i="6"/>
  <c r="AW19" i="6"/>
  <c r="AR19" i="6"/>
  <c r="AM19" i="6"/>
  <c r="AH19" i="6"/>
  <c r="AC19" i="6"/>
  <c r="X19" i="6"/>
  <c r="S19" i="6"/>
  <c r="N19" i="6"/>
  <c r="I19" i="6"/>
  <c r="D19" i="6"/>
  <c r="AW18" i="6"/>
  <c r="AR18" i="6"/>
  <c r="AM18" i="6"/>
  <c r="AH18" i="6"/>
  <c r="AC18" i="6"/>
  <c r="X18" i="6"/>
  <c r="S18" i="6"/>
  <c r="N18" i="6"/>
  <c r="I18" i="6"/>
  <c r="D18" i="6"/>
  <c r="AW17" i="6"/>
  <c r="AR17" i="6"/>
  <c r="AM17" i="6"/>
  <c r="AH17" i="6"/>
  <c r="AC17" i="6"/>
  <c r="X17" i="6"/>
  <c r="S17" i="6"/>
  <c r="N17" i="6"/>
  <c r="I17" i="6"/>
  <c r="D17" i="6"/>
  <c r="AW16" i="6"/>
  <c r="AR16" i="6"/>
  <c r="AM16" i="6"/>
  <c r="AH16" i="6"/>
  <c r="AC16" i="6"/>
  <c r="X16" i="6"/>
  <c r="S16" i="6"/>
  <c r="N16" i="6"/>
  <c r="I16" i="6"/>
  <c r="D16" i="6"/>
  <c r="AW15" i="6"/>
  <c r="AR15" i="6"/>
  <c r="AM15" i="6"/>
  <c r="AH15" i="6"/>
  <c r="AC15" i="6"/>
  <c r="X15" i="6"/>
  <c r="S15" i="6"/>
  <c r="N15" i="6"/>
  <c r="I15" i="6"/>
  <c r="D15" i="6"/>
  <c r="AW14" i="6"/>
  <c r="AR14" i="6"/>
  <c r="AM14" i="6"/>
  <c r="AH14" i="6"/>
  <c r="AC14" i="6"/>
  <c r="X14" i="6"/>
  <c r="S14" i="6"/>
  <c r="N14" i="6"/>
  <c r="I14" i="6"/>
  <c r="D14" i="6"/>
  <c r="AW13" i="6"/>
  <c r="AR13" i="6"/>
  <c r="AM13" i="6"/>
  <c r="AH13" i="6"/>
  <c r="AC13" i="6"/>
  <c r="X13" i="6"/>
  <c r="S13" i="6"/>
  <c r="N13" i="6"/>
  <c r="I13" i="6"/>
  <c r="D13" i="6"/>
  <c r="AW12" i="6"/>
  <c r="AR12" i="6"/>
  <c r="AM12" i="6"/>
  <c r="AH12" i="6"/>
  <c r="AC12" i="6"/>
  <c r="X12" i="6"/>
  <c r="S12" i="6"/>
  <c r="N12" i="6"/>
  <c r="I12" i="6"/>
  <c r="D12" i="6"/>
  <c r="AW11" i="6"/>
  <c r="AR11" i="6"/>
  <c r="AM11" i="6"/>
  <c r="AH11" i="6"/>
  <c r="AC11" i="6"/>
  <c r="X11" i="6"/>
  <c r="S11" i="6"/>
  <c r="N11" i="6"/>
  <c r="I11" i="6"/>
  <c r="D11" i="6"/>
  <c r="AW10" i="6"/>
  <c r="AR10" i="6"/>
  <c r="AM10" i="6"/>
  <c r="AH10" i="6"/>
  <c r="AC10" i="6"/>
  <c r="X10" i="6"/>
  <c r="S10" i="6"/>
  <c r="N10" i="6"/>
  <c r="I10" i="6"/>
  <c r="D10" i="6"/>
  <c r="AW9" i="6"/>
  <c r="AR9" i="6"/>
  <c r="AM9" i="6"/>
  <c r="AH9" i="6"/>
  <c r="AC9" i="6"/>
  <c r="X9" i="6"/>
  <c r="S9" i="6"/>
  <c r="N9" i="6"/>
  <c r="I9" i="6"/>
  <c r="D9" i="6"/>
  <c r="AW8" i="6"/>
  <c r="AR8" i="6"/>
  <c r="AM8" i="6"/>
  <c r="AH8" i="6"/>
  <c r="AC8" i="6"/>
  <c r="X8" i="6"/>
  <c r="S8" i="6"/>
  <c r="N8" i="6"/>
  <c r="I8" i="6"/>
  <c r="D8" i="6"/>
  <c r="AW7" i="6"/>
  <c r="AR7" i="6"/>
  <c r="AM7" i="6"/>
  <c r="AH7" i="6"/>
  <c r="AC7" i="6"/>
  <c r="X7" i="6"/>
  <c r="S7" i="6"/>
  <c r="N7" i="6"/>
  <c r="I7" i="6"/>
  <c r="D7" i="6"/>
  <c r="AW6" i="6"/>
  <c r="AR6" i="6"/>
  <c r="AM6" i="6"/>
  <c r="AH6" i="6"/>
  <c r="AC6" i="6"/>
  <c r="X6" i="6"/>
  <c r="S6" i="6"/>
  <c r="N6" i="6"/>
  <c r="I6" i="6"/>
  <c r="D6" i="6"/>
  <c r="AW5" i="6"/>
  <c r="AR5" i="6"/>
  <c r="AM5" i="6"/>
  <c r="AH5" i="6"/>
  <c r="AC5" i="6"/>
  <c r="X5" i="6"/>
  <c r="S5" i="6"/>
  <c r="N5" i="6"/>
  <c r="I5" i="6"/>
  <c r="D5" i="6"/>
  <c r="AW4" i="6"/>
  <c r="AR4" i="6"/>
  <c r="AM4" i="6"/>
  <c r="AH4" i="6"/>
  <c r="AC4" i="6"/>
  <c r="X4" i="6"/>
  <c r="S4" i="6"/>
  <c r="N4" i="6"/>
  <c r="I4" i="6"/>
  <c r="D4" i="6"/>
  <c r="D117" i="6" s="1"/>
  <c r="B124" i="6" s="1"/>
  <c r="AW3" i="6"/>
  <c r="AR3" i="6"/>
  <c r="AM3" i="6"/>
  <c r="AH3" i="6"/>
  <c r="AC3" i="6"/>
  <c r="X3" i="6"/>
  <c r="S3" i="6"/>
  <c r="N3" i="6"/>
  <c r="I3" i="6"/>
  <c r="D3" i="6"/>
  <c r="AW62" i="5"/>
  <c r="AR62" i="5"/>
  <c r="AM62" i="5"/>
  <c r="AH62" i="5"/>
  <c r="AC62" i="5"/>
  <c r="X62" i="5"/>
  <c r="S62" i="5"/>
  <c r="N62" i="5"/>
  <c r="I62" i="5"/>
  <c r="D62" i="5"/>
  <c r="AW61" i="5"/>
  <c r="AR61" i="5"/>
  <c r="AM61" i="5"/>
  <c r="AH61" i="5"/>
  <c r="AC61" i="5"/>
  <c r="X61" i="5"/>
  <c r="S61" i="5"/>
  <c r="N61" i="5"/>
  <c r="I61" i="5"/>
  <c r="D61" i="5"/>
  <c r="AW60" i="5"/>
  <c r="AR60" i="5"/>
  <c r="AM60" i="5"/>
  <c r="AH60" i="5"/>
  <c r="AC60" i="5"/>
  <c r="X60" i="5"/>
  <c r="S60" i="5"/>
  <c r="N60" i="5"/>
  <c r="I60" i="5"/>
  <c r="D60" i="5"/>
  <c r="AW59" i="5"/>
  <c r="AR59" i="5"/>
  <c r="AM59" i="5"/>
  <c r="AH59" i="5"/>
  <c r="AC59" i="5"/>
  <c r="X59" i="5"/>
  <c r="S59" i="5"/>
  <c r="N59" i="5"/>
  <c r="I59" i="5"/>
  <c r="D59" i="5"/>
  <c r="AW58" i="5"/>
  <c r="AR58" i="5"/>
  <c r="AM58" i="5"/>
  <c r="AH58" i="5"/>
  <c r="AC58" i="5"/>
  <c r="X58" i="5"/>
  <c r="S58" i="5"/>
  <c r="N58" i="5"/>
  <c r="I58" i="5"/>
  <c r="D58" i="5"/>
  <c r="AW57" i="5"/>
  <c r="AR57" i="5"/>
  <c r="AM57" i="5"/>
  <c r="AH57" i="5"/>
  <c r="AC57" i="5"/>
  <c r="X57" i="5"/>
  <c r="S57" i="5"/>
  <c r="N57" i="5"/>
  <c r="I57" i="5"/>
  <c r="D57" i="5"/>
  <c r="AW56" i="5"/>
  <c r="AR56" i="5"/>
  <c r="AM56" i="5"/>
  <c r="AH56" i="5"/>
  <c r="AC56" i="5"/>
  <c r="X56" i="5"/>
  <c r="S56" i="5"/>
  <c r="N56" i="5"/>
  <c r="I56" i="5"/>
  <c r="D56" i="5"/>
  <c r="AW55" i="5"/>
  <c r="AR55" i="5"/>
  <c r="AM55" i="5"/>
  <c r="AH55" i="5"/>
  <c r="AC55" i="5"/>
  <c r="X55" i="5"/>
  <c r="S55" i="5"/>
  <c r="N55" i="5"/>
  <c r="I55" i="5"/>
  <c r="D55" i="5"/>
  <c r="AW54" i="5"/>
  <c r="AR54" i="5"/>
  <c r="AM54" i="5"/>
  <c r="AH54" i="5"/>
  <c r="AC54" i="5"/>
  <c r="X54" i="5"/>
  <c r="S54" i="5"/>
  <c r="N54" i="5"/>
  <c r="I54" i="5"/>
  <c r="D54" i="5"/>
  <c r="AW53" i="5"/>
  <c r="AR53" i="5"/>
  <c r="AM53" i="5"/>
  <c r="AH53" i="5"/>
  <c r="AC53" i="5"/>
  <c r="X53" i="5"/>
  <c r="S53" i="5"/>
  <c r="N53" i="5"/>
  <c r="I53" i="5"/>
  <c r="D53" i="5"/>
  <c r="AW52" i="5"/>
  <c r="AR52" i="5"/>
  <c r="AM52" i="5"/>
  <c r="AH52" i="5"/>
  <c r="AC52" i="5"/>
  <c r="X52" i="5"/>
  <c r="S52" i="5"/>
  <c r="N52" i="5"/>
  <c r="I52" i="5"/>
  <c r="D52" i="5"/>
  <c r="AW51" i="5"/>
  <c r="AR51" i="5"/>
  <c r="AM51" i="5"/>
  <c r="AH51" i="5"/>
  <c r="AC51" i="5"/>
  <c r="X51" i="5"/>
  <c r="S51" i="5"/>
  <c r="N51" i="5"/>
  <c r="I51" i="5"/>
  <c r="D51" i="5"/>
  <c r="AW50" i="5"/>
  <c r="AR50" i="5"/>
  <c r="AM50" i="5"/>
  <c r="AH50" i="5"/>
  <c r="AC50" i="5"/>
  <c r="X50" i="5"/>
  <c r="S50" i="5"/>
  <c r="N50" i="5"/>
  <c r="I50" i="5"/>
  <c r="D50" i="5"/>
  <c r="AW49" i="5"/>
  <c r="AR49" i="5"/>
  <c r="AM49" i="5"/>
  <c r="AH49" i="5"/>
  <c r="AC49" i="5"/>
  <c r="X49" i="5"/>
  <c r="S49" i="5"/>
  <c r="N49" i="5"/>
  <c r="I49" i="5"/>
  <c r="D49" i="5"/>
  <c r="AW48" i="5"/>
  <c r="AR48" i="5"/>
  <c r="AM48" i="5"/>
  <c r="AH48" i="5"/>
  <c r="AC48" i="5"/>
  <c r="X48" i="5"/>
  <c r="S48" i="5"/>
  <c r="N48" i="5"/>
  <c r="I48" i="5"/>
  <c r="D48" i="5"/>
  <c r="AW47" i="5"/>
  <c r="AR47" i="5"/>
  <c r="AM47" i="5"/>
  <c r="AH47" i="5"/>
  <c r="AC47" i="5"/>
  <c r="X47" i="5"/>
  <c r="S47" i="5"/>
  <c r="N47" i="5"/>
  <c r="I47" i="5"/>
  <c r="D47" i="5"/>
  <c r="AW46" i="5"/>
  <c r="AR46" i="5"/>
  <c r="AM46" i="5"/>
  <c r="AH46" i="5"/>
  <c r="AC46" i="5"/>
  <c r="X46" i="5"/>
  <c r="S46" i="5"/>
  <c r="N46" i="5"/>
  <c r="I46" i="5"/>
  <c r="D46" i="5"/>
  <c r="AW45" i="5"/>
  <c r="AR45" i="5"/>
  <c r="AM45" i="5"/>
  <c r="AH45" i="5"/>
  <c r="AC45" i="5"/>
  <c r="X45" i="5"/>
  <c r="S45" i="5"/>
  <c r="N45" i="5"/>
  <c r="I45" i="5"/>
  <c r="D45" i="5"/>
  <c r="AW44" i="5"/>
  <c r="AR44" i="5"/>
  <c r="AM44" i="5"/>
  <c r="AH44" i="5"/>
  <c r="AC44" i="5"/>
  <c r="X44" i="5"/>
  <c r="S44" i="5"/>
  <c r="N44" i="5"/>
  <c r="I44" i="5"/>
  <c r="D44" i="5"/>
  <c r="AW43" i="5"/>
  <c r="AR43" i="5"/>
  <c r="AM43" i="5"/>
  <c r="AH43" i="5"/>
  <c r="AC43" i="5"/>
  <c r="X43" i="5"/>
  <c r="S43" i="5"/>
  <c r="N43" i="5"/>
  <c r="I43" i="5"/>
  <c r="D43" i="5"/>
  <c r="AW42" i="5"/>
  <c r="AR42" i="5"/>
  <c r="AM42" i="5"/>
  <c r="AH42" i="5"/>
  <c r="AC42" i="5"/>
  <c r="X42" i="5"/>
  <c r="S42" i="5"/>
  <c r="N42" i="5"/>
  <c r="I42" i="5"/>
  <c r="D42" i="5"/>
  <c r="AW41" i="5"/>
  <c r="AR41" i="5"/>
  <c r="AM41" i="5"/>
  <c r="AH41" i="5"/>
  <c r="AC41" i="5"/>
  <c r="X41" i="5"/>
  <c r="S41" i="5"/>
  <c r="N41" i="5"/>
  <c r="I41" i="5"/>
  <c r="D41" i="5"/>
  <c r="AW40" i="5"/>
  <c r="AR40" i="5"/>
  <c r="AM40" i="5"/>
  <c r="AH40" i="5"/>
  <c r="AC40" i="5"/>
  <c r="X40" i="5"/>
  <c r="S40" i="5"/>
  <c r="N40" i="5"/>
  <c r="I40" i="5"/>
  <c r="D40" i="5"/>
  <c r="AW39" i="5"/>
  <c r="AR39" i="5"/>
  <c r="AM39" i="5"/>
  <c r="AH39" i="5"/>
  <c r="AC39" i="5"/>
  <c r="X39" i="5"/>
  <c r="S39" i="5"/>
  <c r="N39" i="5"/>
  <c r="I39" i="5"/>
  <c r="D39" i="5"/>
  <c r="AW38" i="5"/>
  <c r="AR38" i="5"/>
  <c r="AM38" i="5"/>
  <c r="AH38" i="5"/>
  <c r="AC38" i="5"/>
  <c r="X38" i="5"/>
  <c r="S38" i="5"/>
  <c r="N38" i="5"/>
  <c r="I38" i="5"/>
  <c r="D38" i="5"/>
  <c r="AW37" i="5"/>
  <c r="AR37" i="5"/>
  <c r="AM37" i="5"/>
  <c r="AH37" i="5"/>
  <c r="AC37" i="5"/>
  <c r="X37" i="5"/>
  <c r="S37" i="5"/>
  <c r="N37" i="5"/>
  <c r="I37" i="5"/>
  <c r="D37" i="5"/>
  <c r="AW36" i="5"/>
  <c r="AR36" i="5"/>
  <c r="AM36" i="5"/>
  <c r="AH36" i="5"/>
  <c r="AC36" i="5"/>
  <c r="X36" i="5"/>
  <c r="S36" i="5"/>
  <c r="N36" i="5"/>
  <c r="I36" i="5"/>
  <c r="D36" i="5"/>
  <c r="AW35" i="5"/>
  <c r="AR35" i="5"/>
  <c r="AM35" i="5"/>
  <c r="AH35" i="5"/>
  <c r="AC35" i="5"/>
  <c r="X35" i="5"/>
  <c r="S35" i="5"/>
  <c r="N35" i="5"/>
  <c r="I35" i="5"/>
  <c r="D35" i="5"/>
  <c r="AW34" i="5"/>
  <c r="AR34" i="5"/>
  <c r="AM34" i="5"/>
  <c r="AH34" i="5"/>
  <c r="AC34" i="5"/>
  <c r="X34" i="5"/>
  <c r="S34" i="5"/>
  <c r="N34" i="5"/>
  <c r="I34" i="5"/>
  <c r="D34" i="5"/>
  <c r="AW33" i="5"/>
  <c r="AR33" i="5"/>
  <c r="AM33" i="5"/>
  <c r="AH33" i="5"/>
  <c r="AC33" i="5"/>
  <c r="X33" i="5"/>
  <c r="S33" i="5"/>
  <c r="N33" i="5"/>
  <c r="I33" i="5"/>
  <c r="D33" i="5"/>
  <c r="AW32" i="5"/>
  <c r="AR32" i="5"/>
  <c r="AM32" i="5"/>
  <c r="AH32" i="5"/>
  <c r="AC32" i="5"/>
  <c r="X32" i="5"/>
  <c r="S32" i="5"/>
  <c r="N32" i="5"/>
  <c r="I32" i="5"/>
  <c r="D32" i="5"/>
  <c r="AW31" i="5"/>
  <c r="AR31" i="5"/>
  <c r="AM31" i="5"/>
  <c r="AH31" i="5"/>
  <c r="AC31" i="5"/>
  <c r="X31" i="5"/>
  <c r="S31" i="5"/>
  <c r="N31" i="5"/>
  <c r="I31" i="5"/>
  <c r="D31" i="5"/>
  <c r="AW30" i="5"/>
  <c r="AR30" i="5"/>
  <c r="AM30" i="5"/>
  <c r="AH30" i="5"/>
  <c r="AC30" i="5"/>
  <c r="X30" i="5"/>
  <c r="S30" i="5"/>
  <c r="N30" i="5"/>
  <c r="I30" i="5"/>
  <c r="D30" i="5"/>
  <c r="AW29" i="5"/>
  <c r="AR29" i="5"/>
  <c r="AM29" i="5"/>
  <c r="AH29" i="5"/>
  <c r="AC29" i="5"/>
  <c r="X29" i="5"/>
  <c r="S29" i="5"/>
  <c r="N29" i="5"/>
  <c r="I29" i="5"/>
  <c r="D29" i="5"/>
  <c r="AW28" i="5"/>
  <c r="AR28" i="5"/>
  <c r="AM28" i="5"/>
  <c r="AH28" i="5"/>
  <c r="AC28" i="5"/>
  <c r="X28" i="5"/>
  <c r="S28" i="5"/>
  <c r="N28" i="5"/>
  <c r="I28" i="5"/>
  <c r="D28" i="5"/>
  <c r="AW27" i="5"/>
  <c r="AR27" i="5"/>
  <c r="AM27" i="5"/>
  <c r="AH27" i="5"/>
  <c r="AC27" i="5"/>
  <c r="X27" i="5"/>
  <c r="S27" i="5"/>
  <c r="N27" i="5"/>
  <c r="I27" i="5"/>
  <c r="D27" i="5"/>
  <c r="AW26" i="5"/>
  <c r="AR26" i="5"/>
  <c r="AM26" i="5"/>
  <c r="AH26" i="5"/>
  <c r="AC26" i="5"/>
  <c r="X26" i="5"/>
  <c r="S26" i="5"/>
  <c r="N26" i="5"/>
  <c r="I26" i="5"/>
  <c r="D26" i="5"/>
  <c r="AW25" i="5"/>
  <c r="AR25" i="5"/>
  <c r="AM25" i="5"/>
  <c r="AH25" i="5"/>
  <c r="AC25" i="5"/>
  <c r="X25" i="5"/>
  <c r="S25" i="5"/>
  <c r="N25" i="5"/>
  <c r="I25" i="5"/>
  <c r="D25" i="5"/>
  <c r="AW24" i="5"/>
  <c r="AR24" i="5"/>
  <c r="AM24" i="5"/>
  <c r="AH24" i="5"/>
  <c r="AC24" i="5"/>
  <c r="X24" i="5"/>
  <c r="S24" i="5"/>
  <c r="N24" i="5"/>
  <c r="I24" i="5"/>
  <c r="D24" i="5"/>
  <c r="AW23" i="5"/>
  <c r="AR23" i="5"/>
  <c r="AM23" i="5"/>
  <c r="AH23" i="5"/>
  <c r="AC23" i="5"/>
  <c r="X23" i="5"/>
  <c r="S23" i="5"/>
  <c r="N23" i="5"/>
  <c r="I23" i="5"/>
  <c r="D23" i="5"/>
  <c r="AW22" i="5"/>
  <c r="AR22" i="5"/>
  <c r="AM22" i="5"/>
  <c r="AH22" i="5"/>
  <c r="AC22" i="5"/>
  <c r="X22" i="5"/>
  <c r="S22" i="5"/>
  <c r="N22" i="5"/>
  <c r="I22" i="5"/>
  <c r="D22" i="5"/>
  <c r="AW21" i="5"/>
  <c r="AR21" i="5"/>
  <c r="AM21" i="5"/>
  <c r="AH21" i="5"/>
  <c r="AC21" i="5"/>
  <c r="X21" i="5"/>
  <c r="S21" i="5"/>
  <c r="N21" i="5"/>
  <c r="I21" i="5"/>
  <c r="D21" i="5"/>
  <c r="AW20" i="5"/>
  <c r="AR20" i="5"/>
  <c r="AM20" i="5"/>
  <c r="AH20" i="5"/>
  <c r="AC20" i="5"/>
  <c r="X20" i="5"/>
  <c r="S20" i="5"/>
  <c r="N20" i="5"/>
  <c r="I20" i="5"/>
  <c r="D20" i="5"/>
  <c r="AW19" i="5"/>
  <c r="AR19" i="5"/>
  <c r="AM19" i="5"/>
  <c r="AH19" i="5"/>
  <c r="AC19" i="5"/>
  <c r="X19" i="5"/>
  <c r="S19" i="5"/>
  <c r="N19" i="5"/>
  <c r="I19" i="5"/>
  <c r="D19" i="5"/>
  <c r="AW18" i="5"/>
  <c r="AR18" i="5"/>
  <c r="AM18" i="5"/>
  <c r="AH18" i="5"/>
  <c r="AC18" i="5"/>
  <c r="X18" i="5"/>
  <c r="S18" i="5"/>
  <c r="N18" i="5"/>
  <c r="I18" i="5"/>
  <c r="D18" i="5"/>
  <c r="AW17" i="5"/>
  <c r="AR17" i="5"/>
  <c r="AM17" i="5"/>
  <c r="AH17" i="5"/>
  <c r="AC17" i="5"/>
  <c r="X17" i="5"/>
  <c r="S17" i="5"/>
  <c r="N17" i="5"/>
  <c r="I17" i="5"/>
  <c r="D17" i="5"/>
  <c r="AW16" i="5"/>
  <c r="AR16" i="5"/>
  <c r="AM16" i="5"/>
  <c r="AH16" i="5"/>
  <c r="AC16" i="5"/>
  <c r="X16" i="5"/>
  <c r="S16" i="5"/>
  <c r="N16" i="5"/>
  <c r="I16" i="5"/>
  <c r="D16" i="5"/>
  <c r="AW15" i="5"/>
  <c r="AR15" i="5"/>
  <c r="AM15" i="5"/>
  <c r="AH15" i="5"/>
  <c r="AC15" i="5"/>
  <c r="X15" i="5"/>
  <c r="S15" i="5"/>
  <c r="N15" i="5"/>
  <c r="I15" i="5"/>
  <c r="D15" i="5"/>
  <c r="AW14" i="5"/>
  <c r="AR14" i="5"/>
  <c r="AM14" i="5"/>
  <c r="AH14" i="5"/>
  <c r="AC14" i="5"/>
  <c r="X14" i="5"/>
  <c r="S14" i="5"/>
  <c r="N14" i="5"/>
  <c r="I14" i="5"/>
  <c r="D14" i="5"/>
  <c r="AW13" i="5"/>
  <c r="AR13" i="5"/>
  <c r="AM13" i="5"/>
  <c r="AH13" i="5"/>
  <c r="AC13" i="5"/>
  <c r="X13" i="5"/>
  <c r="S13" i="5"/>
  <c r="N13" i="5"/>
  <c r="I13" i="5"/>
  <c r="D13" i="5"/>
  <c r="AW12" i="5"/>
  <c r="AR12" i="5"/>
  <c r="AM12" i="5"/>
  <c r="AH12" i="5"/>
  <c r="AC12" i="5"/>
  <c r="X12" i="5"/>
  <c r="S12" i="5"/>
  <c r="N12" i="5"/>
  <c r="I12" i="5"/>
  <c r="D12" i="5"/>
  <c r="AW11" i="5"/>
  <c r="AR11" i="5"/>
  <c r="AM11" i="5"/>
  <c r="AH11" i="5"/>
  <c r="AC11" i="5"/>
  <c r="X11" i="5"/>
  <c r="S11" i="5"/>
  <c r="N11" i="5"/>
  <c r="I11" i="5"/>
  <c r="D11" i="5"/>
  <c r="AW10" i="5"/>
  <c r="AR10" i="5"/>
  <c r="AM10" i="5"/>
  <c r="AH10" i="5"/>
  <c r="AC10" i="5"/>
  <c r="X10" i="5"/>
  <c r="S10" i="5"/>
  <c r="N10" i="5"/>
  <c r="I10" i="5"/>
  <c r="D10" i="5"/>
  <c r="AW9" i="5"/>
  <c r="AR9" i="5"/>
  <c r="AM9" i="5"/>
  <c r="AH9" i="5"/>
  <c r="AC9" i="5"/>
  <c r="X9" i="5"/>
  <c r="S9" i="5"/>
  <c r="N9" i="5"/>
  <c r="I9" i="5"/>
  <c r="D9" i="5"/>
  <c r="AW8" i="5"/>
  <c r="AR8" i="5"/>
  <c r="AM8" i="5"/>
  <c r="AH8" i="5"/>
  <c r="AC8" i="5"/>
  <c r="X8" i="5"/>
  <c r="S8" i="5"/>
  <c r="N8" i="5"/>
  <c r="I8" i="5"/>
  <c r="D8" i="5"/>
  <c r="AW7" i="5"/>
  <c r="AR7" i="5"/>
  <c r="AM7" i="5"/>
  <c r="AH7" i="5"/>
  <c r="AC7" i="5"/>
  <c r="X7" i="5"/>
  <c r="S7" i="5"/>
  <c r="N7" i="5"/>
  <c r="I7" i="5"/>
  <c r="D7" i="5"/>
  <c r="AW6" i="5"/>
  <c r="AR6" i="5"/>
  <c r="AM6" i="5"/>
  <c r="AH6" i="5"/>
  <c r="AC6" i="5"/>
  <c r="X6" i="5"/>
  <c r="S6" i="5"/>
  <c r="N6" i="5"/>
  <c r="I6" i="5"/>
  <c r="D6" i="5"/>
  <c r="AW5" i="5"/>
  <c r="AR5" i="5"/>
  <c r="AM5" i="5"/>
  <c r="AH5" i="5"/>
  <c r="AC5" i="5"/>
  <c r="X5" i="5"/>
  <c r="S5" i="5"/>
  <c r="N5" i="5"/>
  <c r="I5" i="5"/>
  <c r="D5" i="5"/>
  <c r="AW4" i="5"/>
  <c r="AR4" i="5"/>
  <c r="AM4" i="5"/>
  <c r="AH4" i="5"/>
  <c r="AC4" i="5"/>
  <c r="X4" i="5"/>
  <c r="S4" i="5"/>
  <c r="N4" i="5"/>
  <c r="I4" i="5"/>
  <c r="D4" i="5"/>
  <c r="AW3" i="5"/>
  <c r="AW64" i="5" s="1"/>
  <c r="AU70" i="5" s="1"/>
  <c r="AR3" i="5"/>
  <c r="AR64" i="5" s="1"/>
  <c r="AP70" i="5" s="1"/>
  <c r="AM3" i="5"/>
  <c r="AH3" i="5"/>
  <c r="AC3" i="5"/>
  <c r="X3" i="5"/>
  <c r="S3" i="5"/>
  <c r="N3" i="5"/>
  <c r="I3" i="5"/>
  <c r="D3" i="5"/>
  <c r="AW242" i="8" l="1"/>
  <c r="AU252" i="8" s="1"/>
  <c r="AR242" i="8"/>
  <c r="AP252" i="8" s="1"/>
  <c r="AH242" i="8"/>
  <c r="AF252" i="8" s="1"/>
  <c r="AC242" i="8"/>
  <c r="AA252" i="8" s="1"/>
  <c r="X242" i="8"/>
  <c r="V252" i="8" s="1"/>
  <c r="S242" i="8"/>
  <c r="Q252" i="8" s="1"/>
  <c r="N242" i="8"/>
  <c r="L252" i="8" s="1"/>
  <c r="I242" i="8"/>
  <c r="G252" i="8" s="1"/>
  <c r="D242" i="8"/>
  <c r="D242" i="7"/>
  <c r="B252" i="7" s="1"/>
  <c r="I242" i="7"/>
  <c r="G252" i="7" s="1"/>
  <c r="AW117" i="6"/>
  <c r="AU124" i="6" s="1"/>
  <c r="AR117" i="6"/>
  <c r="AP124" i="6" s="1"/>
  <c r="AM117" i="6"/>
  <c r="AK124" i="6" s="1"/>
  <c r="AH117" i="6"/>
  <c r="AF124" i="6" s="1"/>
  <c r="AC117" i="6"/>
  <c r="AA124" i="6" s="1"/>
  <c r="X117" i="6"/>
  <c r="S117" i="6"/>
  <c r="Q124" i="6" s="1"/>
  <c r="N117" i="6"/>
  <c r="L124" i="6" s="1"/>
  <c r="I117" i="6"/>
  <c r="G124" i="6" s="1"/>
  <c r="AM64" i="5"/>
  <c r="AK70" i="5" s="1"/>
  <c r="AH64" i="5"/>
  <c r="AF70" i="5" s="1"/>
  <c r="AC64" i="5"/>
  <c r="AA70" i="5" s="1"/>
  <c r="X64" i="5"/>
  <c r="S64" i="5"/>
  <c r="Q70" i="5" s="1"/>
  <c r="N64" i="5"/>
  <c r="L70" i="5" s="1"/>
  <c r="I64" i="5"/>
  <c r="G70" i="5" s="1"/>
  <c r="D64" i="5"/>
  <c r="B70" i="5" s="1"/>
  <c r="AU242" i="2"/>
  <c r="AP242" i="2"/>
  <c r="AK242" i="2"/>
  <c r="AF242" i="2"/>
  <c r="AA242" i="2"/>
  <c r="V242" i="2"/>
  <c r="Q242" i="2"/>
  <c r="L242" i="2"/>
  <c r="G242" i="2"/>
  <c r="B242" i="2"/>
  <c r="B264" i="7" l="1"/>
  <c r="B265" i="8"/>
  <c r="AW115" i="4"/>
  <c r="AW114" i="4"/>
  <c r="AW113" i="4"/>
  <c r="AW112" i="4"/>
  <c r="AW111" i="4"/>
  <c r="AW110" i="4"/>
  <c r="AW109" i="4"/>
  <c r="AW108" i="4"/>
  <c r="AW107" i="4"/>
  <c r="AW106" i="4"/>
  <c r="AW105" i="4"/>
  <c r="AW104" i="4"/>
  <c r="AW103" i="4"/>
  <c r="AW102" i="4"/>
  <c r="AW101" i="4"/>
  <c r="AW100" i="4"/>
  <c r="AW99" i="4"/>
  <c r="AW98" i="4"/>
  <c r="AW97" i="4"/>
  <c r="AW96" i="4"/>
  <c r="AW95" i="4"/>
  <c r="AW94" i="4"/>
  <c r="AW93" i="4"/>
  <c r="AW92" i="4"/>
  <c r="AW91" i="4"/>
  <c r="AW90" i="4"/>
  <c r="AW89" i="4"/>
  <c r="AW88" i="4"/>
  <c r="AW87" i="4"/>
  <c r="AW86" i="4"/>
  <c r="AW85" i="4"/>
  <c r="AW84" i="4"/>
  <c r="AW83" i="4"/>
  <c r="AW82" i="4"/>
  <c r="AW81" i="4"/>
  <c r="AW80" i="4"/>
  <c r="AW79" i="4"/>
  <c r="AW78" i="4"/>
  <c r="AW77" i="4"/>
  <c r="AW76" i="4"/>
  <c r="AW75" i="4"/>
  <c r="AW74" i="4"/>
  <c r="AW73" i="4"/>
  <c r="AW72" i="4"/>
  <c r="AW71" i="4"/>
  <c r="AW70" i="4"/>
  <c r="AW69" i="4"/>
  <c r="AW68" i="4"/>
  <c r="AW67" i="4"/>
  <c r="AW66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AW52" i="4"/>
  <c r="AW51" i="4"/>
  <c r="AW50" i="4"/>
  <c r="AW49" i="4"/>
  <c r="AW48" i="4"/>
  <c r="AW47" i="4"/>
  <c r="AW46" i="4"/>
  <c r="AW45" i="4"/>
  <c r="AW44" i="4"/>
  <c r="AW43" i="4"/>
  <c r="AW42" i="4"/>
  <c r="AW41" i="4"/>
  <c r="AW40" i="4"/>
  <c r="AW39" i="4"/>
  <c r="AW38" i="4"/>
  <c r="AW37" i="4"/>
  <c r="AW36" i="4"/>
  <c r="AW35" i="4"/>
  <c r="AW34" i="4"/>
  <c r="AW33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W5" i="4"/>
  <c r="AW4" i="4"/>
  <c r="AW3" i="4"/>
  <c r="AR115" i="4"/>
  <c r="AR114" i="4"/>
  <c r="AR113" i="4"/>
  <c r="AR112" i="4"/>
  <c r="AR111" i="4"/>
  <c r="AR110" i="4"/>
  <c r="AR109" i="4"/>
  <c r="AR108" i="4"/>
  <c r="AR107" i="4"/>
  <c r="AR106" i="4"/>
  <c r="AR105" i="4"/>
  <c r="AR104" i="4"/>
  <c r="AR103" i="4"/>
  <c r="AR102" i="4"/>
  <c r="AR101" i="4"/>
  <c r="AR100" i="4"/>
  <c r="AR99" i="4"/>
  <c r="AR98" i="4"/>
  <c r="AR97" i="4"/>
  <c r="AR96" i="4"/>
  <c r="AR95" i="4"/>
  <c r="AR94" i="4"/>
  <c r="AR93" i="4"/>
  <c r="AR92" i="4"/>
  <c r="AR91" i="4"/>
  <c r="AR90" i="4"/>
  <c r="AR89" i="4"/>
  <c r="AR88" i="4"/>
  <c r="AR87" i="4"/>
  <c r="AR86" i="4"/>
  <c r="AR85" i="4"/>
  <c r="AR84" i="4"/>
  <c r="AR83" i="4"/>
  <c r="AR82" i="4"/>
  <c r="AR81" i="4"/>
  <c r="AR80" i="4"/>
  <c r="AR79" i="4"/>
  <c r="AR78" i="4"/>
  <c r="AR77" i="4"/>
  <c r="AR76" i="4"/>
  <c r="AR75" i="4"/>
  <c r="AR74" i="4"/>
  <c r="AR73" i="4"/>
  <c r="AR72" i="4"/>
  <c r="AR71" i="4"/>
  <c r="AR70" i="4"/>
  <c r="AR69" i="4"/>
  <c r="AR68" i="4"/>
  <c r="AR67" i="4"/>
  <c r="AR66" i="4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5" i="4"/>
  <c r="AR4" i="4"/>
  <c r="AR3" i="4"/>
  <c r="AM115" i="4"/>
  <c r="AM114" i="4"/>
  <c r="AM113" i="4"/>
  <c r="AM112" i="4"/>
  <c r="AM111" i="4"/>
  <c r="AM110" i="4"/>
  <c r="AM109" i="4"/>
  <c r="AM108" i="4"/>
  <c r="AM107" i="4"/>
  <c r="AM106" i="4"/>
  <c r="AM105" i="4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M5" i="4"/>
  <c r="AM4" i="4"/>
  <c r="AM3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H86" i="4"/>
  <c r="AH85" i="4"/>
  <c r="AH84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W7" i="3"/>
  <c r="AW6" i="3"/>
  <c r="AW5" i="3"/>
  <c r="AW4" i="3"/>
  <c r="AW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R5" i="3"/>
  <c r="AR4" i="3"/>
  <c r="AR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AW64" i="3" l="1"/>
  <c r="AR64" i="3"/>
  <c r="AM64" i="3"/>
  <c r="AH64" i="3"/>
  <c r="AC64" i="3"/>
  <c r="X64" i="3"/>
  <c r="S64" i="3"/>
  <c r="N64" i="3"/>
  <c r="I64" i="3"/>
  <c r="D64" i="3"/>
  <c r="D117" i="4"/>
  <c r="B124" i="4" s="1"/>
  <c r="I117" i="4"/>
  <c r="G124" i="4" s="1"/>
  <c r="N117" i="4"/>
  <c r="L124" i="4" s="1"/>
  <c r="S117" i="4"/>
  <c r="Q124" i="4" s="1"/>
  <c r="X117" i="4"/>
  <c r="AC117" i="4"/>
  <c r="AA124" i="4" s="1"/>
  <c r="AH117" i="4"/>
  <c r="AF124" i="4" s="1"/>
  <c r="AM117" i="4"/>
  <c r="AK124" i="4" s="1"/>
  <c r="AR117" i="4"/>
  <c r="AP124" i="4" s="1"/>
  <c r="AW117" i="4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E10" i="1"/>
  <c r="AW241" i="2" l="1"/>
  <c r="AW240" i="2"/>
  <c r="AW239" i="2"/>
  <c r="AW238" i="2"/>
  <c r="AW237" i="2"/>
  <c r="AW236" i="2"/>
  <c r="AW235" i="2"/>
  <c r="AW234" i="2"/>
  <c r="AW233" i="2"/>
  <c r="AW232" i="2"/>
  <c r="AW231" i="2"/>
  <c r="AW230" i="2"/>
  <c r="AW229" i="2"/>
  <c r="AW228" i="2"/>
  <c r="AW227" i="2"/>
  <c r="AW226" i="2"/>
  <c r="AW225" i="2"/>
  <c r="AW224" i="2"/>
  <c r="AW223" i="2"/>
  <c r="AW222" i="2"/>
  <c r="AW221" i="2"/>
  <c r="AW220" i="2"/>
  <c r="AW219" i="2"/>
  <c r="AW218" i="2"/>
  <c r="AW217" i="2"/>
  <c r="AW216" i="2"/>
  <c r="AW215" i="2"/>
  <c r="AW214" i="2"/>
  <c r="AW213" i="2"/>
  <c r="AW212" i="2"/>
  <c r="AW211" i="2"/>
  <c r="AW210" i="2"/>
  <c r="AW209" i="2"/>
  <c r="AW208" i="2"/>
  <c r="AW207" i="2"/>
  <c r="AW206" i="2"/>
  <c r="AW205" i="2"/>
  <c r="AW204" i="2"/>
  <c r="AW203" i="2"/>
  <c r="AW202" i="2"/>
  <c r="AW201" i="2"/>
  <c r="AW200" i="2"/>
  <c r="AW199" i="2"/>
  <c r="AW198" i="2"/>
  <c r="AW197" i="2"/>
  <c r="AW196" i="2"/>
  <c r="AW195" i="2"/>
  <c r="AW194" i="2"/>
  <c r="AW193" i="2"/>
  <c r="AW192" i="2"/>
  <c r="AW191" i="2"/>
  <c r="AW190" i="2"/>
  <c r="AW189" i="2"/>
  <c r="AW188" i="2"/>
  <c r="AW187" i="2"/>
  <c r="AW186" i="2"/>
  <c r="AW185" i="2"/>
  <c r="AW184" i="2"/>
  <c r="AW183" i="2"/>
  <c r="AW182" i="2"/>
  <c r="AW181" i="2"/>
  <c r="AW180" i="2"/>
  <c r="AW179" i="2"/>
  <c r="AW178" i="2"/>
  <c r="AW177" i="2"/>
  <c r="AW176" i="2"/>
  <c r="AW175" i="2"/>
  <c r="AW174" i="2"/>
  <c r="AW173" i="2"/>
  <c r="AW172" i="2"/>
  <c r="AW171" i="2"/>
  <c r="AW170" i="2"/>
  <c r="AW169" i="2"/>
  <c r="AW168" i="2"/>
  <c r="AW167" i="2"/>
  <c r="AW166" i="2"/>
  <c r="AW165" i="2"/>
  <c r="AW164" i="2"/>
  <c r="AW163" i="2"/>
  <c r="AW162" i="2"/>
  <c r="AW161" i="2"/>
  <c r="AW160" i="2"/>
  <c r="AW159" i="2"/>
  <c r="AW158" i="2"/>
  <c r="AW157" i="2"/>
  <c r="AW156" i="2"/>
  <c r="AW155" i="2"/>
  <c r="AW154" i="2"/>
  <c r="AW153" i="2"/>
  <c r="AW152" i="2"/>
  <c r="AW151" i="2"/>
  <c r="AW150" i="2"/>
  <c r="AW149" i="2"/>
  <c r="AW148" i="2"/>
  <c r="AW147" i="2"/>
  <c r="AW146" i="2"/>
  <c r="AW145" i="2"/>
  <c r="AW144" i="2"/>
  <c r="AW143" i="2"/>
  <c r="AW142" i="2"/>
  <c r="AW141" i="2"/>
  <c r="AW140" i="2"/>
  <c r="AW139" i="2"/>
  <c r="AW138" i="2"/>
  <c r="AW137" i="2"/>
  <c r="AW136" i="2"/>
  <c r="AW135" i="2"/>
  <c r="AW134" i="2"/>
  <c r="AW133" i="2"/>
  <c r="AW132" i="2"/>
  <c r="AW131" i="2"/>
  <c r="AW130" i="2"/>
  <c r="AW129" i="2"/>
  <c r="AW128" i="2"/>
  <c r="AW127" i="2"/>
  <c r="AW126" i="2"/>
  <c r="AW125" i="2"/>
  <c r="AW124" i="2"/>
  <c r="AW123" i="2"/>
  <c r="AW122" i="2"/>
  <c r="AW121" i="2"/>
  <c r="AW120" i="2"/>
  <c r="AW119" i="2"/>
  <c r="AW118" i="2"/>
  <c r="AW117" i="2"/>
  <c r="AR241" i="2"/>
  <c r="AR240" i="2"/>
  <c r="AR239" i="2"/>
  <c r="AR238" i="2"/>
  <c r="AR237" i="2"/>
  <c r="AR236" i="2"/>
  <c r="AR235" i="2"/>
  <c r="AR234" i="2"/>
  <c r="AR233" i="2"/>
  <c r="AR232" i="2"/>
  <c r="AR231" i="2"/>
  <c r="AR230" i="2"/>
  <c r="AR229" i="2"/>
  <c r="AR228" i="2"/>
  <c r="AR227" i="2"/>
  <c r="AR226" i="2"/>
  <c r="AR225" i="2"/>
  <c r="AR224" i="2"/>
  <c r="AR223" i="2"/>
  <c r="AR222" i="2"/>
  <c r="AR221" i="2"/>
  <c r="AR220" i="2"/>
  <c r="AR219" i="2"/>
  <c r="AR218" i="2"/>
  <c r="AR217" i="2"/>
  <c r="AR216" i="2"/>
  <c r="AR215" i="2"/>
  <c r="AR214" i="2"/>
  <c r="AR213" i="2"/>
  <c r="AR212" i="2"/>
  <c r="AR211" i="2"/>
  <c r="AR210" i="2"/>
  <c r="AR209" i="2"/>
  <c r="AR208" i="2"/>
  <c r="AR207" i="2"/>
  <c r="AR206" i="2"/>
  <c r="AR205" i="2"/>
  <c r="AR204" i="2"/>
  <c r="AR203" i="2"/>
  <c r="AR202" i="2"/>
  <c r="AR201" i="2"/>
  <c r="AR200" i="2"/>
  <c r="AR199" i="2"/>
  <c r="AR198" i="2"/>
  <c r="AR197" i="2"/>
  <c r="AR196" i="2"/>
  <c r="AR195" i="2"/>
  <c r="AR194" i="2"/>
  <c r="AR193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80" i="2"/>
  <c r="AR179" i="2"/>
  <c r="AR178" i="2"/>
  <c r="AR177" i="2"/>
  <c r="AR176" i="2"/>
  <c r="AR175" i="2"/>
  <c r="AR174" i="2"/>
  <c r="AR173" i="2"/>
  <c r="AR172" i="2"/>
  <c r="AR171" i="2"/>
  <c r="AR170" i="2"/>
  <c r="AR169" i="2"/>
  <c r="AR168" i="2"/>
  <c r="AR167" i="2"/>
  <c r="AR166" i="2"/>
  <c r="AR165" i="2"/>
  <c r="AR164" i="2"/>
  <c r="AR163" i="2"/>
  <c r="AR162" i="2"/>
  <c r="AR161" i="2"/>
  <c r="AR160" i="2"/>
  <c r="AR159" i="2"/>
  <c r="AR158" i="2"/>
  <c r="AR157" i="2"/>
  <c r="AR156" i="2"/>
  <c r="AR155" i="2"/>
  <c r="AR154" i="2"/>
  <c r="AR153" i="2"/>
  <c r="AR152" i="2"/>
  <c r="AR151" i="2"/>
  <c r="AR150" i="2"/>
  <c r="AR149" i="2"/>
  <c r="AR148" i="2"/>
  <c r="AR147" i="2"/>
  <c r="AR146" i="2"/>
  <c r="AR145" i="2"/>
  <c r="AR144" i="2"/>
  <c r="AR143" i="2"/>
  <c r="AR142" i="2"/>
  <c r="AR141" i="2"/>
  <c r="AR140" i="2"/>
  <c r="AR139" i="2"/>
  <c r="AR138" i="2"/>
  <c r="AR137" i="2"/>
  <c r="AR136" i="2"/>
  <c r="AR135" i="2"/>
  <c r="AR134" i="2"/>
  <c r="AR133" i="2"/>
  <c r="AR132" i="2"/>
  <c r="AR131" i="2"/>
  <c r="AR130" i="2"/>
  <c r="AR129" i="2"/>
  <c r="AR128" i="2"/>
  <c r="AR127" i="2"/>
  <c r="AR126" i="2"/>
  <c r="AR125" i="2"/>
  <c r="AR124" i="2"/>
  <c r="AR123" i="2"/>
  <c r="AR122" i="2"/>
  <c r="AR121" i="2"/>
  <c r="AR120" i="2"/>
  <c r="AR119" i="2"/>
  <c r="AR118" i="2"/>
  <c r="AR117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H241" i="2"/>
  <c r="AH240" i="2"/>
  <c r="AH239" i="2"/>
  <c r="AH238" i="2"/>
  <c r="AH237" i="2"/>
  <c r="AH236" i="2"/>
  <c r="AH235" i="2"/>
  <c r="AH234" i="2"/>
  <c r="AH233" i="2"/>
  <c r="AH232" i="2"/>
  <c r="AH231" i="2"/>
  <c r="AH230" i="2"/>
  <c r="AH229" i="2"/>
  <c r="AH228" i="2"/>
  <c r="AH227" i="2"/>
  <c r="AH226" i="2"/>
  <c r="AH225" i="2"/>
  <c r="AH224" i="2"/>
  <c r="AH223" i="2"/>
  <c r="AH222" i="2"/>
  <c r="AH221" i="2"/>
  <c r="AH220" i="2"/>
  <c r="AH219" i="2"/>
  <c r="AH218" i="2"/>
  <c r="AH217" i="2"/>
  <c r="AH216" i="2"/>
  <c r="AH215" i="2"/>
  <c r="AH214" i="2"/>
  <c r="AH213" i="2"/>
  <c r="AH212" i="2"/>
  <c r="AH211" i="2"/>
  <c r="AH210" i="2"/>
  <c r="AH209" i="2"/>
  <c r="AH208" i="2"/>
  <c r="AH207" i="2"/>
  <c r="AH206" i="2"/>
  <c r="AH205" i="2"/>
  <c r="AH204" i="2"/>
  <c r="AH203" i="2"/>
  <c r="AH202" i="2"/>
  <c r="AH201" i="2"/>
  <c r="AH200" i="2"/>
  <c r="AH199" i="2"/>
  <c r="AH198" i="2"/>
  <c r="AH197" i="2"/>
  <c r="AH196" i="2"/>
  <c r="AH195" i="2"/>
  <c r="AH194" i="2"/>
  <c r="AH193" i="2"/>
  <c r="AH192" i="2"/>
  <c r="AH191" i="2"/>
  <c r="AH190" i="2"/>
  <c r="AH189" i="2"/>
  <c r="AH188" i="2"/>
  <c r="AH187" i="2"/>
  <c r="AH186" i="2"/>
  <c r="AH185" i="2"/>
  <c r="AH184" i="2"/>
  <c r="AH183" i="2"/>
  <c r="AH182" i="2"/>
  <c r="AH181" i="2"/>
  <c r="AH180" i="2"/>
  <c r="AH179" i="2"/>
  <c r="AH178" i="2"/>
  <c r="AH177" i="2"/>
  <c r="AH176" i="2"/>
  <c r="AH175" i="2"/>
  <c r="AH174" i="2"/>
  <c r="AH173" i="2"/>
  <c r="AH172" i="2"/>
  <c r="AH171" i="2"/>
  <c r="AH170" i="2"/>
  <c r="AH169" i="2"/>
  <c r="AH168" i="2"/>
  <c r="AH167" i="2"/>
  <c r="AH166" i="2"/>
  <c r="AH165" i="2"/>
  <c r="AH164" i="2"/>
  <c r="AH163" i="2"/>
  <c r="AH162" i="2"/>
  <c r="AH161" i="2"/>
  <c r="AH160" i="2"/>
  <c r="AH159" i="2"/>
  <c r="AH158" i="2"/>
  <c r="AH157" i="2"/>
  <c r="AH156" i="2"/>
  <c r="AH155" i="2"/>
  <c r="AH154" i="2"/>
  <c r="AH153" i="2"/>
  <c r="AH152" i="2"/>
  <c r="AH151" i="2"/>
  <c r="AH150" i="2"/>
  <c r="AH149" i="2"/>
  <c r="AH148" i="2"/>
  <c r="AH147" i="2"/>
  <c r="AH146" i="2"/>
  <c r="AH145" i="2"/>
  <c r="AH144" i="2"/>
  <c r="AH143" i="2"/>
  <c r="AH142" i="2"/>
  <c r="AH141" i="2"/>
  <c r="AH140" i="2"/>
  <c r="AH139" i="2"/>
  <c r="AH138" i="2"/>
  <c r="AH137" i="2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22" i="2"/>
  <c r="AH121" i="2"/>
  <c r="AH120" i="2"/>
  <c r="AH119" i="2"/>
  <c r="AH118" i="2"/>
  <c r="AH117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42" i="2" l="1"/>
  <c r="S242" i="2"/>
  <c r="AW116" i="2"/>
  <c r="AW115" i="2"/>
  <c r="AW114" i="2"/>
  <c r="AW113" i="2"/>
  <c r="AW112" i="2"/>
  <c r="AW111" i="2"/>
  <c r="AW110" i="2"/>
  <c r="AW109" i="2"/>
  <c r="AW108" i="2"/>
  <c r="AW107" i="2"/>
  <c r="AW106" i="2"/>
  <c r="AW105" i="2"/>
  <c r="AW104" i="2"/>
  <c r="AW103" i="2"/>
  <c r="AW102" i="2"/>
  <c r="AW101" i="2"/>
  <c r="AW100" i="2"/>
  <c r="AW99" i="2"/>
  <c r="AW98" i="2"/>
  <c r="AW97" i="2"/>
  <c r="AW96" i="2"/>
  <c r="AW95" i="2"/>
  <c r="AW94" i="2"/>
  <c r="AW93" i="2"/>
  <c r="AW92" i="2"/>
  <c r="AW91" i="2"/>
  <c r="AW90" i="2"/>
  <c r="AW89" i="2"/>
  <c r="AW88" i="2"/>
  <c r="AW87" i="2"/>
  <c r="AW86" i="2"/>
  <c r="AW85" i="2"/>
  <c r="AW84" i="2"/>
  <c r="AW83" i="2"/>
  <c r="AW82" i="2"/>
  <c r="AW81" i="2"/>
  <c r="AW80" i="2"/>
  <c r="AW79" i="2"/>
  <c r="AW78" i="2"/>
  <c r="AW77" i="2"/>
  <c r="AW76" i="2"/>
  <c r="AW75" i="2"/>
  <c r="AW74" i="2"/>
  <c r="AW73" i="2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W3" i="2"/>
  <c r="AR116" i="2"/>
  <c r="AR115" i="2"/>
  <c r="AR114" i="2"/>
  <c r="AR113" i="2"/>
  <c r="AR112" i="2"/>
  <c r="AR111" i="2"/>
  <c r="AR110" i="2"/>
  <c r="AR109" i="2"/>
  <c r="AR108" i="2"/>
  <c r="AR107" i="2"/>
  <c r="AR106" i="2"/>
  <c r="AR105" i="2"/>
  <c r="AR104" i="2"/>
  <c r="AR103" i="2"/>
  <c r="AR102" i="2"/>
  <c r="AR101" i="2"/>
  <c r="AR100" i="2"/>
  <c r="AR99" i="2"/>
  <c r="AR98" i="2"/>
  <c r="AR97" i="2"/>
  <c r="AR96" i="2"/>
  <c r="AR95" i="2"/>
  <c r="AR94" i="2"/>
  <c r="AR93" i="2"/>
  <c r="AR92" i="2"/>
  <c r="AR91" i="2"/>
  <c r="AR90" i="2"/>
  <c r="AR89" i="2"/>
  <c r="AR88" i="2"/>
  <c r="AR87" i="2"/>
  <c r="AR86" i="2"/>
  <c r="AR85" i="2"/>
  <c r="AR84" i="2"/>
  <c r="AR83" i="2"/>
  <c r="AR82" i="2"/>
  <c r="AR81" i="2"/>
  <c r="AR80" i="2"/>
  <c r="AR79" i="2"/>
  <c r="AR78" i="2"/>
  <c r="AR77" i="2"/>
  <c r="AR76" i="2"/>
  <c r="AR75" i="2"/>
  <c r="AR74" i="2"/>
  <c r="AR73" i="2"/>
  <c r="AR72" i="2"/>
  <c r="AR71" i="2"/>
  <c r="AR70" i="2"/>
  <c r="AR69" i="2"/>
  <c r="AR68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R3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E11" i="1"/>
  <c r="E7" i="1"/>
  <c r="E8" i="1"/>
  <c r="E6" i="1"/>
  <c r="E5" i="1"/>
  <c r="E2" i="1"/>
  <c r="Q70" i="3" l="1"/>
  <c r="L70" i="3"/>
  <c r="AW242" i="2"/>
  <c r="AU124" i="4" s="1"/>
  <c r="AR242" i="2"/>
  <c r="AM242" i="2"/>
  <c r="AH242" i="2"/>
  <c r="AC242" i="2"/>
  <c r="X242" i="2"/>
  <c r="D242" i="2"/>
  <c r="I242" i="2"/>
  <c r="V124" i="6" l="1"/>
  <c r="B137" i="6" s="1"/>
  <c r="V70" i="5"/>
  <c r="B83" i="5" s="1"/>
  <c r="V124" i="4"/>
  <c r="B136" i="4" s="1"/>
  <c r="AU70" i="3"/>
  <c r="AP70" i="3"/>
  <c r="AK70" i="3"/>
  <c r="AF70" i="3"/>
  <c r="AA70" i="3"/>
  <c r="V70" i="3"/>
  <c r="G70" i="3"/>
  <c r="B70" i="3"/>
  <c r="B82" i="3" l="1"/>
</calcChain>
</file>

<file path=xl/sharedStrings.xml><?xml version="1.0" encoding="utf-8"?>
<sst xmlns="http://schemas.openxmlformats.org/spreadsheetml/2006/main" count="557" uniqueCount="76">
  <si>
    <t>Au-197</t>
  </si>
  <si>
    <t>Al-27</t>
    <phoneticPr fontId="1" type="noConversion"/>
  </si>
  <si>
    <t>Ni-58</t>
    <phoneticPr fontId="1" type="noConversion"/>
  </si>
  <si>
    <t>Fe-54</t>
    <phoneticPr fontId="1" type="noConversion"/>
  </si>
  <si>
    <t>Cu-63</t>
    <phoneticPr fontId="1" type="noConversion"/>
  </si>
  <si>
    <t>Ti-48</t>
    <phoneticPr fontId="1" type="noConversion"/>
  </si>
  <si>
    <t>total</t>
  </si>
  <si>
    <t>Al-27</t>
    <phoneticPr fontId="1" type="noConversion"/>
  </si>
  <si>
    <t>Ni-58</t>
    <phoneticPr fontId="1" type="noConversion"/>
  </si>
  <si>
    <t>Fe-54</t>
    <phoneticPr fontId="1" type="noConversion"/>
  </si>
  <si>
    <t>Cu-63</t>
    <phoneticPr fontId="1" type="noConversion"/>
  </si>
  <si>
    <t>Ti-48</t>
    <phoneticPr fontId="1" type="noConversion"/>
  </si>
  <si>
    <t>Na-23</t>
    <phoneticPr fontId="1" type="noConversion"/>
  </si>
  <si>
    <t>Na-23</t>
    <phoneticPr fontId="1" type="noConversion"/>
  </si>
  <si>
    <t>Fe-56</t>
    <phoneticPr fontId="1" type="noConversion"/>
  </si>
  <si>
    <t>(n,r)</t>
    <phoneticPr fontId="1" type="noConversion"/>
  </si>
  <si>
    <t>Au-198</t>
    <phoneticPr fontId="1" type="noConversion"/>
  </si>
  <si>
    <t>Mn-56</t>
    <phoneticPr fontId="1" type="noConversion"/>
  </si>
  <si>
    <t>(n,p)</t>
    <phoneticPr fontId="1" type="noConversion"/>
  </si>
  <si>
    <t>ASTM</t>
    <phoneticPr fontId="1" type="noConversion"/>
  </si>
  <si>
    <t>Na-24</t>
    <phoneticPr fontId="1" type="noConversion"/>
  </si>
  <si>
    <t>(n,a)</t>
    <phoneticPr fontId="1" type="noConversion"/>
  </si>
  <si>
    <t>E720-16</t>
    <phoneticPr fontId="1" type="noConversion"/>
  </si>
  <si>
    <t>E720-16</t>
    <phoneticPr fontId="1" type="noConversion"/>
  </si>
  <si>
    <t>E263-18</t>
    <phoneticPr fontId="1" type="noConversion"/>
  </si>
  <si>
    <t>E266-92</t>
    <phoneticPr fontId="1" type="noConversion"/>
  </si>
  <si>
    <t>E264-19</t>
    <phoneticPr fontId="1" type="noConversion"/>
  </si>
  <si>
    <t>Co-58</t>
    <phoneticPr fontId="1" type="noConversion"/>
  </si>
  <si>
    <t>Mn-54</t>
    <phoneticPr fontId="1" type="noConversion"/>
  </si>
  <si>
    <t>Co-60</t>
    <phoneticPr fontId="1" type="noConversion"/>
  </si>
  <si>
    <t>E523-92</t>
    <phoneticPr fontId="1" type="noConversion"/>
  </si>
  <si>
    <t>Sc-48</t>
    <phoneticPr fontId="1" type="noConversion"/>
  </si>
  <si>
    <t>E526-92</t>
    <phoneticPr fontId="1" type="noConversion"/>
  </si>
  <si>
    <t>Co-59</t>
    <phoneticPr fontId="1" type="noConversion"/>
  </si>
  <si>
    <t>Co-60</t>
    <phoneticPr fontId="1" type="noConversion"/>
  </si>
  <si>
    <t>S-32</t>
    <phoneticPr fontId="1" type="noConversion"/>
  </si>
  <si>
    <t>P-32</t>
    <phoneticPr fontId="1" type="noConversion"/>
  </si>
  <si>
    <t>ENDF/B-VIII.0</t>
  </si>
  <si>
    <t>ENDF/B-VIII.1</t>
  </si>
  <si>
    <t>IRDF-2002G</t>
  </si>
  <si>
    <t>ENDF/B-VI</t>
  </si>
  <si>
    <t>EAF-2010</t>
  </si>
  <si>
    <t>Au-197</t>
    <phoneticPr fontId="1" type="noConversion"/>
  </si>
  <si>
    <t>Fe-56</t>
    <phoneticPr fontId="1" type="noConversion"/>
  </si>
  <si>
    <t>S-32</t>
    <phoneticPr fontId="1" type="noConversion"/>
  </si>
  <si>
    <t>Co-59</t>
    <phoneticPr fontId="1" type="noConversion"/>
  </si>
  <si>
    <t>Activation Material</t>
  </si>
  <si>
    <t>Activation Reaction</t>
  </si>
  <si>
    <t>Activation Product</t>
  </si>
  <si>
    <t>Half-life of Activation Product (hr)</t>
  </si>
  <si>
    <t>Cross-section Database</t>
  </si>
  <si>
    <t>Mass (g)</t>
  </si>
  <si>
    <t>Atomic Weight</t>
  </si>
  <si>
    <t>Irradiation Time (hr)</t>
  </si>
  <si>
    <t>Cooling Time (hr)</t>
  </si>
  <si>
    <t>Energy</t>
  </si>
  <si>
    <t>Flux</t>
  </si>
  <si>
    <t>Coefficient</t>
  </si>
  <si>
    <t>Activity</t>
  </si>
  <si>
    <t>No.</t>
    <phoneticPr fontId="1" type="noConversion"/>
  </si>
  <si>
    <t>activity error</t>
  </si>
  <si>
    <t>sum</t>
    <phoneticPr fontId="1" type="noConversion"/>
  </si>
  <si>
    <t>sum</t>
    <phoneticPr fontId="1" type="noConversion"/>
  </si>
  <si>
    <t>ERRE</t>
    <phoneticPr fontId="1" type="noConversion"/>
  </si>
  <si>
    <t>ri</t>
  </si>
  <si>
    <t>ri</t>
    <phoneticPr fontId="1" type="noConversion"/>
  </si>
  <si>
    <t>ri</t>
    <phoneticPr fontId="1" type="noConversion"/>
  </si>
  <si>
    <t>ri</t>
    <phoneticPr fontId="1" type="noConversion"/>
  </si>
  <si>
    <t>ERRE</t>
    <phoneticPr fontId="1" type="noConversion"/>
  </si>
  <si>
    <t>ERRE</t>
    <phoneticPr fontId="1" type="noConversion"/>
  </si>
  <si>
    <t>ERRE</t>
    <phoneticPr fontId="1" type="noConversion"/>
  </si>
  <si>
    <t>ERRE</t>
    <phoneticPr fontId="1" type="noConversion"/>
  </si>
  <si>
    <t>ri</t>
    <phoneticPr fontId="1" type="noConversion"/>
  </si>
  <si>
    <t>DEV</t>
  </si>
  <si>
    <t>DEV</t>
    <phoneticPr fontId="1" type="noConversion"/>
  </si>
  <si>
    <t>Flux(ground truth)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</si>
</sst>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_ "/>
    <numFmt numFmtId="177" formatCode="0.00_ "/>
    <numFmt numFmtId="178" formatCode="0.000E+00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11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76" fontId="0" fillId="0" borderId="0" xfId="0" applyNumberFormat="1"/>
    <xf numFmtId="176" fontId="0" fillId="0" borderId="1" xfId="0" applyNumberFormat="1" applyBorder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/>
    <xf numFmtId="177" fontId="0" fillId="0" borderId="0" xfId="0" applyNumberFormat="1"/>
    <xf numFmtId="0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11" fontId="4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64</xdr:row>
      <xdr:rowOff>114300</xdr:rowOff>
    </xdr:from>
    <xdr:to>
      <xdr:col>2</xdr:col>
      <xdr:colOff>73189</xdr:colOff>
      <xdr:row>68</xdr:row>
      <xdr:rowOff>162054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1899900"/>
          <a:ext cx="1171739" cy="784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12</xdr:col>
      <xdr:colOff>204046</xdr:colOff>
      <xdr:row>81</xdr:row>
      <xdr:rowOff>95250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22300"/>
          <a:ext cx="6058746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165100</xdr:rowOff>
    </xdr:from>
    <xdr:to>
      <xdr:col>2</xdr:col>
      <xdr:colOff>35091</xdr:colOff>
      <xdr:row>73</xdr:row>
      <xdr:rowOff>162054</xdr:rowOff>
    </xdr:to>
    <xdr:pic>
      <xdr:nvPicPr>
        <xdr:cNvPr id="5" name="圖片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237"/>
        <a:stretch/>
      </xdr:blipFill>
      <xdr:spPr>
        <a:xfrm>
          <a:off x="0" y="13303250"/>
          <a:ext cx="1190791" cy="644654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70</xdr:row>
      <xdr:rowOff>127000</xdr:rowOff>
    </xdr:from>
    <xdr:to>
      <xdr:col>8</xdr:col>
      <xdr:colOff>292100</xdr:colOff>
      <xdr:row>74</xdr:row>
      <xdr:rowOff>19401</xdr:rowOff>
    </xdr:to>
    <xdr:pic>
      <xdr:nvPicPr>
        <xdr:cNvPr id="6" name="圖片 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9134" r="28073"/>
        <a:stretch/>
      </xdr:blipFill>
      <xdr:spPr>
        <a:xfrm>
          <a:off x="1352550" y="13265150"/>
          <a:ext cx="3009900" cy="7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83319</xdr:colOff>
      <xdr:row>88</xdr:row>
      <xdr:rowOff>25466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906750"/>
          <a:ext cx="5938019" cy="7620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64</xdr:row>
      <xdr:rowOff>114300</xdr:rowOff>
    </xdr:from>
    <xdr:to>
      <xdr:col>2</xdr:col>
      <xdr:colOff>73189</xdr:colOff>
      <xdr:row>68</xdr:row>
      <xdr:rowOff>162054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1899900"/>
          <a:ext cx="1171739" cy="78435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77</xdr:row>
      <xdr:rowOff>6350</xdr:rowOff>
    </xdr:from>
    <xdr:to>
      <xdr:col>12</xdr:col>
      <xdr:colOff>172296</xdr:colOff>
      <xdr:row>80</xdr:row>
      <xdr:rowOff>101600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328650"/>
          <a:ext cx="6058746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38100</xdr:rowOff>
    </xdr:from>
    <xdr:to>
      <xdr:col>2</xdr:col>
      <xdr:colOff>35091</xdr:colOff>
      <xdr:row>74</xdr:row>
      <xdr:rowOff>35054</xdr:rowOff>
    </xdr:to>
    <xdr:pic>
      <xdr:nvPicPr>
        <xdr:cNvPr id="7" name="圖片 6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237"/>
        <a:stretch/>
      </xdr:blipFill>
      <xdr:spPr>
        <a:xfrm>
          <a:off x="0" y="13176250"/>
          <a:ext cx="1190791" cy="644654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71</xdr:row>
      <xdr:rowOff>0</xdr:rowOff>
    </xdr:from>
    <xdr:to>
      <xdr:col>8</xdr:col>
      <xdr:colOff>241300</xdr:colOff>
      <xdr:row>74</xdr:row>
      <xdr:rowOff>108301</xdr:rowOff>
    </xdr:to>
    <xdr:pic>
      <xdr:nvPicPr>
        <xdr:cNvPr id="8" name="圖片 7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9134" r="28073"/>
        <a:stretch/>
      </xdr:blipFill>
      <xdr:spPr>
        <a:xfrm>
          <a:off x="1352550" y="13138150"/>
          <a:ext cx="3009900" cy="7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12</xdr:col>
      <xdr:colOff>32519</xdr:colOff>
      <xdr:row>87</xdr:row>
      <xdr:rowOff>25466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722600"/>
          <a:ext cx="5938019" cy="7620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118</xdr:row>
      <xdr:rowOff>12700</xdr:rowOff>
    </xdr:from>
    <xdr:to>
      <xdr:col>2</xdr:col>
      <xdr:colOff>60489</xdr:colOff>
      <xdr:row>122</xdr:row>
      <xdr:rowOff>60454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21742400"/>
          <a:ext cx="1171739" cy="784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82550</xdr:rowOff>
    </xdr:from>
    <xdr:to>
      <xdr:col>12</xdr:col>
      <xdr:colOff>127846</xdr:colOff>
      <xdr:row>134</xdr:row>
      <xdr:rowOff>177800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10850"/>
          <a:ext cx="6058746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38100</xdr:rowOff>
    </xdr:from>
    <xdr:to>
      <xdr:col>1</xdr:col>
      <xdr:colOff>631991</xdr:colOff>
      <xdr:row>128</xdr:row>
      <xdr:rowOff>104904</xdr:rowOff>
    </xdr:to>
    <xdr:pic>
      <xdr:nvPicPr>
        <xdr:cNvPr id="5" name="圖片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237"/>
        <a:stretch/>
      </xdr:blipFill>
      <xdr:spPr>
        <a:xfrm>
          <a:off x="0" y="23279100"/>
          <a:ext cx="1190791" cy="64465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125</xdr:row>
      <xdr:rowOff>0</xdr:rowOff>
    </xdr:from>
    <xdr:to>
      <xdr:col>8</xdr:col>
      <xdr:colOff>215900</xdr:colOff>
      <xdr:row>128</xdr:row>
      <xdr:rowOff>178151</xdr:rowOff>
    </xdr:to>
    <xdr:pic>
      <xdr:nvPicPr>
        <xdr:cNvPr id="6" name="圖片 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9134" r="28073"/>
        <a:stretch/>
      </xdr:blipFill>
      <xdr:spPr>
        <a:xfrm>
          <a:off x="1352550" y="23241000"/>
          <a:ext cx="3009900" cy="7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12</xdr:col>
      <xdr:colOff>7119</xdr:colOff>
      <xdr:row>142</xdr:row>
      <xdr:rowOff>25466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660350"/>
          <a:ext cx="5938019" cy="7620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118</xdr:row>
      <xdr:rowOff>12700</xdr:rowOff>
    </xdr:from>
    <xdr:to>
      <xdr:col>1</xdr:col>
      <xdr:colOff>758989</xdr:colOff>
      <xdr:row>122</xdr:row>
      <xdr:rowOff>60454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21742400"/>
          <a:ext cx="1171739" cy="784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127000</xdr:rowOff>
    </xdr:from>
    <xdr:to>
      <xdr:col>11</xdr:col>
      <xdr:colOff>546946</xdr:colOff>
      <xdr:row>134</xdr:row>
      <xdr:rowOff>38100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55300"/>
          <a:ext cx="6058746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38100</xdr:rowOff>
    </xdr:from>
    <xdr:to>
      <xdr:col>1</xdr:col>
      <xdr:colOff>631991</xdr:colOff>
      <xdr:row>128</xdr:row>
      <xdr:rowOff>92204</xdr:rowOff>
    </xdr:to>
    <xdr:pic>
      <xdr:nvPicPr>
        <xdr:cNvPr id="6" name="圖片 5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237"/>
        <a:stretch/>
      </xdr:blipFill>
      <xdr:spPr>
        <a:xfrm>
          <a:off x="0" y="23279100"/>
          <a:ext cx="1190791" cy="644654"/>
        </a:xfrm>
        <a:prstGeom prst="rect">
          <a:avLst/>
        </a:prstGeom>
      </xdr:spPr>
    </xdr:pic>
    <xdr:clientData/>
  </xdr:twoCellAnchor>
  <xdr:twoCellAnchor editAs="oneCell">
    <xdr:from>
      <xdr:col>1</xdr:col>
      <xdr:colOff>793750</xdr:colOff>
      <xdr:row>125</xdr:row>
      <xdr:rowOff>0</xdr:rowOff>
    </xdr:from>
    <xdr:to>
      <xdr:col>8</xdr:col>
      <xdr:colOff>76200</xdr:colOff>
      <xdr:row>128</xdr:row>
      <xdr:rowOff>165451</xdr:rowOff>
    </xdr:to>
    <xdr:pic>
      <xdr:nvPicPr>
        <xdr:cNvPr id="7" name="圖片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9134" r="28073"/>
        <a:stretch/>
      </xdr:blipFill>
      <xdr:spPr>
        <a:xfrm>
          <a:off x="1352550" y="23241000"/>
          <a:ext cx="3009900" cy="7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11</xdr:col>
      <xdr:colOff>426219</xdr:colOff>
      <xdr:row>141</xdr:row>
      <xdr:rowOff>25466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501600"/>
          <a:ext cx="5938019" cy="7620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247</xdr:row>
      <xdr:rowOff>6350</xdr:rowOff>
    </xdr:from>
    <xdr:to>
      <xdr:col>2</xdr:col>
      <xdr:colOff>130339</xdr:colOff>
      <xdr:row>251</xdr:row>
      <xdr:rowOff>54104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45504100"/>
          <a:ext cx="1171739" cy="784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120650</xdr:rowOff>
    </xdr:from>
    <xdr:to>
      <xdr:col>1</xdr:col>
      <xdr:colOff>631991</xdr:colOff>
      <xdr:row>256</xdr:row>
      <xdr:rowOff>28704</xdr:rowOff>
    </xdr:to>
    <xdr:pic>
      <xdr:nvPicPr>
        <xdr:cNvPr id="4" name="圖片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0237"/>
        <a:stretch/>
      </xdr:blipFill>
      <xdr:spPr>
        <a:xfrm>
          <a:off x="0" y="46539150"/>
          <a:ext cx="1190791" cy="64465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252</xdr:row>
      <xdr:rowOff>82550</xdr:rowOff>
    </xdr:from>
    <xdr:to>
      <xdr:col>8</xdr:col>
      <xdr:colOff>215900</xdr:colOff>
      <xdr:row>256</xdr:row>
      <xdr:rowOff>101951</xdr:rowOff>
    </xdr:to>
    <xdr:pic>
      <xdr:nvPicPr>
        <xdr:cNvPr id="5" name="圖片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9134" r="28073"/>
        <a:stretch/>
      </xdr:blipFill>
      <xdr:spPr>
        <a:xfrm>
          <a:off x="1352550" y="46501050"/>
          <a:ext cx="3009900" cy="7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12</xdr:col>
      <xdr:colOff>127846</xdr:colOff>
      <xdr:row>262</xdr:row>
      <xdr:rowOff>95250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701200"/>
          <a:ext cx="6058746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12</xdr:col>
      <xdr:colOff>4003</xdr:colOff>
      <xdr:row>269</xdr:row>
      <xdr:rowOff>25506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806100"/>
          <a:ext cx="5934903" cy="762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246</xdr:row>
      <xdr:rowOff>31750</xdr:rowOff>
    </xdr:from>
    <xdr:to>
      <xdr:col>2</xdr:col>
      <xdr:colOff>16039</xdr:colOff>
      <xdr:row>250</xdr:row>
      <xdr:rowOff>79504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45345350"/>
          <a:ext cx="1171739" cy="784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146050</xdr:rowOff>
    </xdr:from>
    <xdr:to>
      <xdr:col>12</xdr:col>
      <xdr:colOff>127846</xdr:colOff>
      <xdr:row>263</xdr:row>
      <xdr:rowOff>57150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564550"/>
          <a:ext cx="6058746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146050</xdr:rowOff>
    </xdr:from>
    <xdr:to>
      <xdr:col>1</xdr:col>
      <xdr:colOff>631991</xdr:colOff>
      <xdr:row>256</xdr:row>
      <xdr:rowOff>54104</xdr:rowOff>
    </xdr:to>
    <xdr:pic>
      <xdr:nvPicPr>
        <xdr:cNvPr id="5" name="圖片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0237"/>
        <a:stretch/>
      </xdr:blipFill>
      <xdr:spPr>
        <a:xfrm>
          <a:off x="0" y="46564550"/>
          <a:ext cx="1190791" cy="64465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252</xdr:row>
      <xdr:rowOff>25400</xdr:rowOff>
    </xdr:from>
    <xdr:to>
      <xdr:col>8</xdr:col>
      <xdr:colOff>196850</xdr:colOff>
      <xdr:row>256</xdr:row>
      <xdr:rowOff>44801</xdr:rowOff>
    </xdr:to>
    <xdr:pic>
      <xdr:nvPicPr>
        <xdr:cNvPr id="7" name="圖片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9134" r="28073"/>
        <a:stretch/>
      </xdr:blipFill>
      <xdr:spPr>
        <a:xfrm>
          <a:off x="1333500" y="46443900"/>
          <a:ext cx="3009900" cy="7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12</xdr:col>
      <xdr:colOff>4003</xdr:colOff>
      <xdr:row>270</xdr:row>
      <xdr:rowOff>25506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996600"/>
          <a:ext cx="5934903" cy="762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E17" sqref="E17"/>
    </sheetView>
  </sheetViews>
  <sheetFormatPr defaultRowHeight="14.5" x14ac:dyDescent="0.3"/>
  <cols>
    <col min="1" max="1" width="8.8984375" bestFit="1" customWidth="1"/>
    <col min="2" max="7" width="18.8984375" customWidth="1"/>
    <col min="10" max="10" width="12.59765625" customWidth="1"/>
    <col min="11" max="11" width="12.69921875" customWidth="1"/>
  </cols>
  <sheetData>
    <row r="1" spans="1:11" ht="86.5" customHeight="1" x14ac:dyDescent="0.3">
      <c r="A1" s="6" t="s">
        <v>59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19</v>
      </c>
      <c r="H1" s="10" t="s">
        <v>51</v>
      </c>
      <c r="I1" s="10" t="s">
        <v>52</v>
      </c>
      <c r="J1" s="11" t="s">
        <v>53</v>
      </c>
      <c r="K1" s="11" t="s">
        <v>54</v>
      </c>
    </row>
    <row r="2" spans="1:11" x14ac:dyDescent="0.3">
      <c r="A2" s="6">
        <v>1</v>
      </c>
      <c r="B2" s="9" t="s">
        <v>0</v>
      </c>
      <c r="C2" s="9" t="s">
        <v>15</v>
      </c>
      <c r="D2" s="9" t="s">
        <v>16</v>
      </c>
      <c r="E2" s="12">
        <f>2.69*24</f>
        <v>64.56</v>
      </c>
      <c r="F2" s="8" t="s">
        <v>38</v>
      </c>
      <c r="G2" s="8" t="s">
        <v>22</v>
      </c>
      <c r="H2" s="12">
        <v>1</v>
      </c>
      <c r="I2" s="12">
        <v>197</v>
      </c>
      <c r="J2" s="9">
        <v>6</v>
      </c>
      <c r="K2" s="9">
        <v>6</v>
      </c>
    </row>
    <row r="3" spans="1:11" x14ac:dyDescent="0.3">
      <c r="A3" s="6">
        <v>2</v>
      </c>
      <c r="B3" s="9" t="s">
        <v>14</v>
      </c>
      <c r="C3" s="9" t="s">
        <v>18</v>
      </c>
      <c r="D3" s="9" t="s">
        <v>17</v>
      </c>
      <c r="E3" s="12">
        <v>2.5787800000000001</v>
      </c>
      <c r="F3" s="8" t="s">
        <v>37</v>
      </c>
      <c r="G3" s="8" t="s">
        <v>23</v>
      </c>
      <c r="H3" s="12">
        <v>1</v>
      </c>
      <c r="I3" s="12">
        <v>56</v>
      </c>
      <c r="J3" s="9">
        <v>6</v>
      </c>
      <c r="K3" s="9">
        <v>6</v>
      </c>
    </row>
    <row r="4" spans="1:11" x14ac:dyDescent="0.3">
      <c r="A4" s="6">
        <v>3</v>
      </c>
      <c r="B4" s="9" t="s">
        <v>1</v>
      </c>
      <c r="C4" s="9" t="s">
        <v>21</v>
      </c>
      <c r="D4" s="9" t="s">
        <v>20</v>
      </c>
      <c r="E4" s="12">
        <v>15</v>
      </c>
      <c r="F4" s="8" t="s">
        <v>39</v>
      </c>
      <c r="G4" s="8" t="s">
        <v>25</v>
      </c>
      <c r="H4" s="12">
        <v>1</v>
      </c>
      <c r="I4" s="12">
        <v>27</v>
      </c>
      <c r="J4" s="9">
        <v>6</v>
      </c>
      <c r="K4" s="9">
        <v>6</v>
      </c>
    </row>
    <row r="5" spans="1:11" x14ac:dyDescent="0.3">
      <c r="A5" s="6">
        <v>4</v>
      </c>
      <c r="B5" s="9" t="s">
        <v>2</v>
      </c>
      <c r="C5" s="9" t="s">
        <v>18</v>
      </c>
      <c r="D5" s="9" t="s">
        <v>27</v>
      </c>
      <c r="E5" s="12">
        <f>70.85*24</f>
        <v>1700.3999999999999</v>
      </c>
      <c r="F5" s="8" t="s">
        <v>40</v>
      </c>
      <c r="G5" s="8" t="s">
        <v>26</v>
      </c>
      <c r="H5" s="20">
        <v>5</v>
      </c>
      <c r="I5" s="12">
        <v>58</v>
      </c>
      <c r="J5" s="9">
        <v>6</v>
      </c>
      <c r="K5" s="9">
        <v>6</v>
      </c>
    </row>
    <row r="6" spans="1:11" x14ac:dyDescent="0.3">
      <c r="A6" s="6">
        <v>5</v>
      </c>
      <c r="B6" s="9" t="s">
        <v>3</v>
      </c>
      <c r="C6" s="9" t="s">
        <v>18</v>
      </c>
      <c r="D6" s="9" t="s">
        <v>28</v>
      </c>
      <c r="E6" s="12">
        <f>312.19*24</f>
        <v>7492.5599999999995</v>
      </c>
      <c r="F6" s="8" t="s">
        <v>38</v>
      </c>
      <c r="G6" s="8" t="s">
        <v>24</v>
      </c>
      <c r="H6" s="20">
        <v>5</v>
      </c>
      <c r="I6" s="12">
        <v>54</v>
      </c>
      <c r="J6" s="9">
        <v>6</v>
      </c>
      <c r="K6" s="9">
        <v>6</v>
      </c>
    </row>
    <row r="7" spans="1:11" x14ac:dyDescent="0.3">
      <c r="A7" s="6">
        <v>6</v>
      </c>
      <c r="B7" s="9" t="s">
        <v>4</v>
      </c>
      <c r="C7" s="9" t="s">
        <v>21</v>
      </c>
      <c r="D7" s="9" t="s">
        <v>29</v>
      </c>
      <c r="E7" s="12">
        <f>5.2711*365*24</f>
        <v>46174.835999999996</v>
      </c>
      <c r="F7" s="8" t="s">
        <v>40</v>
      </c>
      <c r="G7" s="8" t="s">
        <v>30</v>
      </c>
      <c r="H7" s="20">
        <v>50</v>
      </c>
      <c r="I7" s="12">
        <v>63</v>
      </c>
      <c r="J7" s="9">
        <v>6</v>
      </c>
      <c r="K7" s="9">
        <v>6</v>
      </c>
    </row>
    <row r="8" spans="1:11" x14ac:dyDescent="0.3">
      <c r="A8" s="6">
        <v>7</v>
      </c>
      <c r="B8" s="9" t="s">
        <v>5</v>
      </c>
      <c r="C8" s="9" t="s">
        <v>18</v>
      </c>
      <c r="D8" s="9" t="s">
        <v>31</v>
      </c>
      <c r="E8" s="12">
        <f>83.81*24</f>
        <v>2011.44</v>
      </c>
      <c r="F8" s="8" t="s">
        <v>41</v>
      </c>
      <c r="G8" s="8" t="s">
        <v>32</v>
      </c>
      <c r="H8" s="20">
        <v>50</v>
      </c>
      <c r="I8" s="12">
        <v>48</v>
      </c>
      <c r="J8" s="9">
        <v>6</v>
      </c>
      <c r="K8" s="9">
        <v>6</v>
      </c>
    </row>
    <row r="9" spans="1:11" x14ac:dyDescent="0.3">
      <c r="A9" s="6">
        <v>8</v>
      </c>
      <c r="B9" s="7" t="s">
        <v>13</v>
      </c>
      <c r="C9" s="9" t="s">
        <v>15</v>
      </c>
      <c r="D9" s="9" t="s">
        <v>20</v>
      </c>
      <c r="E9" s="12">
        <v>14.495799999999999</v>
      </c>
      <c r="F9" s="8" t="s">
        <v>38</v>
      </c>
      <c r="G9" s="8" t="s">
        <v>22</v>
      </c>
      <c r="H9" s="13">
        <v>1</v>
      </c>
      <c r="I9" s="13">
        <v>23</v>
      </c>
      <c r="J9" s="9">
        <v>6</v>
      </c>
      <c r="K9" s="9">
        <v>6</v>
      </c>
    </row>
    <row r="10" spans="1:11" ht="14.5" customHeight="1" x14ac:dyDescent="0.3">
      <c r="A10" s="6">
        <v>9</v>
      </c>
      <c r="B10" s="7" t="s">
        <v>33</v>
      </c>
      <c r="C10" s="7" t="s">
        <v>15</v>
      </c>
      <c r="D10" s="7" t="s">
        <v>34</v>
      </c>
      <c r="E10" s="12">
        <f>5.2711*365*24</f>
        <v>46174.835999999996</v>
      </c>
      <c r="F10" s="8" t="s">
        <v>38</v>
      </c>
      <c r="G10" s="8" t="s">
        <v>22</v>
      </c>
      <c r="H10" s="12">
        <v>1</v>
      </c>
      <c r="I10" s="12">
        <v>59</v>
      </c>
      <c r="J10" s="9">
        <v>6</v>
      </c>
      <c r="K10" s="9">
        <v>6</v>
      </c>
    </row>
    <row r="11" spans="1:11" x14ac:dyDescent="0.3">
      <c r="A11" s="6">
        <v>10</v>
      </c>
      <c r="B11" s="7" t="s">
        <v>35</v>
      </c>
      <c r="C11" s="9" t="s">
        <v>18</v>
      </c>
      <c r="D11" s="7" t="s">
        <v>36</v>
      </c>
      <c r="E11" s="12">
        <f>14.284*24</f>
        <v>342.81600000000003</v>
      </c>
      <c r="F11" s="8" t="s">
        <v>38</v>
      </c>
      <c r="G11" s="8" t="s">
        <v>22</v>
      </c>
      <c r="H11" s="12">
        <v>1</v>
      </c>
      <c r="I11" s="12">
        <v>32</v>
      </c>
      <c r="J11" s="9">
        <v>6</v>
      </c>
      <c r="K11" s="9">
        <v>6</v>
      </c>
    </row>
    <row r="18" ht="14.5" customHeight="1" x14ac:dyDescent="0.3"/>
    <row r="23" ht="14.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43"/>
  <sheetViews>
    <sheetView topLeftCell="A229" workbookViewId="0">
      <selection activeCell="D242" sqref="D242"/>
    </sheetView>
  </sheetViews>
  <sheetFormatPr defaultRowHeight="14.5" x14ac:dyDescent="0.3"/>
  <cols>
    <col min="2" max="2" width="10.8984375" customWidth="1"/>
    <col min="3" max="3" width="9.3984375" bestFit="1" customWidth="1"/>
    <col min="4" max="4" width="11.59765625" bestFit="1" customWidth="1"/>
    <col min="5" max="5" width="3.296875" customWidth="1"/>
    <col min="7" max="7" width="11.8984375" customWidth="1"/>
    <col min="9" max="9" width="9.5" bestFit="1" customWidth="1"/>
    <col min="10" max="10" width="3.3984375" customWidth="1"/>
    <col min="12" max="12" width="11" customWidth="1"/>
    <col min="14" max="14" width="9.5" bestFit="1" customWidth="1"/>
    <col min="15" max="15" width="3.09765625" customWidth="1"/>
    <col min="19" max="19" width="9.5" bestFit="1" customWidth="1"/>
    <col min="20" max="20" width="2.19921875" customWidth="1"/>
    <col min="22" max="22" width="11.19921875" customWidth="1"/>
    <col min="24" max="24" width="9.5" bestFit="1" customWidth="1"/>
    <col min="25" max="25" width="3.3984375" customWidth="1"/>
    <col min="27" max="27" width="10.09765625" customWidth="1"/>
    <col min="29" max="29" width="9.5" bestFit="1" customWidth="1"/>
    <col min="30" max="30" width="3.19921875" customWidth="1"/>
    <col min="32" max="32" width="11.19921875" customWidth="1"/>
    <col min="34" max="34" width="9.5" bestFit="1" customWidth="1"/>
    <col min="35" max="35" width="3.3984375" customWidth="1"/>
    <col min="37" max="37" width="10.3984375" customWidth="1"/>
    <col min="39" max="39" width="9.5" bestFit="1" customWidth="1"/>
    <col min="40" max="40" width="3.3984375" customWidth="1"/>
    <col min="42" max="42" width="11" customWidth="1"/>
    <col min="44" max="44" width="9.5" bestFit="1" customWidth="1"/>
    <col min="45" max="45" width="3.3984375" customWidth="1"/>
    <col min="47" max="47" width="11.296875" customWidth="1"/>
    <col min="49" max="49" width="9.5" bestFit="1" customWidth="1"/>
  </cols>
  <sheetData>
    <row r="1" spans="1:49" x14ac:dyDescent="0.3">
      <c r="A1" s="26" t="s">
        <v>42</v>
      </c>
      <c r="B1" s="26"/>
      <c r="C1" s="26"/>
      <c r="D1" s="27"/>
      <c r="F1" s="26" t="s">
        <v>43</v>
      </c>
      <c r="G1" s="26"/>
      <c r="H1" s="26"/>
      <c r="I1" s="27"/>
      <c r="K1" s="26" t="s">
        <v>7</v>
      </c>
      <c r="L1" s="26"/>
      <c r="M1" s="26"/>
      <c r="N1" s="27"/>
      <c r="P1" s="26" t="s">
        <v>8</v>
      </c>
      <c r="Q1" s="26"/>
      <c r="R1" s="26"/>
      <c r="S1" s="27"/>
      <c r="U1" s="26" t="s">
        <v>9</v>
      </c>
      <c r="V1" s="26"/>
      <c r="W1" s="26"/>
      <c r="X1" s="27"/>
      <c r="Z1" s="26" t="s">
        <v>10</v>
      </c>
      <c r="AA1" s="26"/>
      <c r="AB1" s="26"/>
      <c r="AC1" s="27"/>
      <c r="AE1" s="26" t="s">
        <v>11</v>
      </c>
      <c r="AF1" s="26"/>
      <c r="AG1" s="26"/>
      <c r="AH1" s="27"/>
      <c r="AJ1" s="26" t="s">
        <v>12</v>
      </c>
      <c r="AK1" s="26"/>
      <c r="AL1" s="26"/>
      <c r="AM1" s="27"/>
      <c r="AO1" s="26" t="s">
        <v>45</v>
      </c>
      <c r="AP1" s="26"/>
      <c r="AQ1" s="26"/>
      <c r="AR1" s="27"/>
      <c r="AT1" s="26" t="s">
        <v>44</v>
      </c>
      <c r="AU1" s="26"/>
      <c r="AV1" s="26"/>
      <c r="AW1" s="27"/>
    </row>
    <row r="2" spans="1:49" ht="29" x14ac:dyDescent="0.3">
      <c r="A2" s="1" t="s">
        <v>55</v>
      </c>
      <c r="B2" s="25" t="s">
        <v>75</v>
      </c>
      <c r="C2" s="1" t="s">
        <v>57</v>
      </c>
      <c r="D2" s="1" t="s">
        <v>58</v>
      </c>
      <c r="F2" s="1" t="s">
        <v>55</v>
      </c>
      <c r="G2" s="25" t="s">
        <v>75</v>
      </c>
      <c r="H2" s="1" t="s">
        <v>57</v>
      </c>
      <c r="I2" s="1" t="s">
        <v>58</v>
      </c>
      <c r="K2" s="1" t="s">
        <v>55</v>
      </c>
      <c r="L2" s="25" t="s">
        <v>75</v>
      </c>
      <c r="M2" s="1" t="s">
        <v>57</v>
      </c>
      <c r="N2" s="1" t="s">
        <v>58</v>
      </c>
      <c r="P2" s="1" t="s">
        <v>55</v>
      </c>
      <c r="Q2" s="25" t="s">
        <v>75</v>
      </c>
      <c r="R2" s="1" t="s">
        <v>57</v>
      </c>
      <c r="S2" s="1" t="s">
        <v>58</v>
      </c>
      <c r="U2" s="1" t="s">
        <v>55</v>
      </c>
      <c r="V2" s="25" t="s">
        <v>75</v>
      </c>
      <c r="W2" s="1" t="s">
        <v>57</v>
      </c>
      <c r="X2" s="1" t="s">
        <v>58</v>
      </c>
      <c r="Z2" s="1" t="s">
        <v>55</v>
      </c>
      <c r="AA2" s="25" t="s">
        <v>75</v>
      </c>
      <c r="AB2" s="1" t="s">
        <v>57</v>
      </c>
      <c r="AC2" s="1" t="s">
        <v>58</v>
      </c>
      <c r="AE2" s="1" t="s">
        <v>55</v>
      </c>
      <c r="AF2" s="25" t="s">
        <v>75</v>
      </c>
      <c r="AG2" s="1" t="s">
        <v>57</v>
      </c>
      <c r="AH2" s="1" t="s">
        <v>58</v>
      </c>
      <c r="AJ2" s="1" t="s">
        <v>55</v>
      </c>
      <c r="AK2" s="25" t="s">
        <v>75</v>
      </c>
      <c r="AL2" s="1" t="s">
        <v>57</v>
      </c>
      <c r="AM2" s="1" t="s">
        <v>58</v>
      </c>
      <c r="AO2" s="1" t="s">
        <v>55</v>
      </c>
      <c r="AP2" s="25" t="s">
        <v>75</v>
      </c>
      <c r="AQ2" s="1" t="s">
        <v>57</v>
      </c>
      <c r="AR2" s="1" t="s">
        <v>58</v>
      </c>
      <c r="AT2" s="1" t="s">
        <v>55</v>
      </c>
      <c r="AU2" s="25" t="s">
        <v>75</v>
      </c>
      <c r="AV2" s="1" t="s">
        <v>57</v>
      </c>
      <c r="AW2" s="1" t="s">
        <v>58</v>
      </c>
    </row>
    <row r="3" spans="1:49" x14ac:dyDescent="0.3">
      <c r="A3" s="2">
        <v>9.9999999999999994E-12</v>
      </c>
      <c r="B3" s="2">
        <v>0</v>
      </c>
      <c r="C3" s="3">
        <v>0</v>
      </c>
      <c r="D3" s="5">
        <f>B3*C3</f>
        <v>0</v>
      </c>
      <c r="F3" s="2">
        <v>9.9999999999999994E-12</v>
      </c>
      <c r="G3" s="2">
        <v>0</v>
      </c>
      <c r="H3" s="3">
        <v>0</v>
      </c>
      <c r="I3" s="5">
        <f>G3*H3</f>
        <v>0</v>
      </c>
      <c r="K3" s="2">
        <v>9.9999999999999994E-12</v>
      </c>
      <c r="L3" s="2">
        <v>0</v>
      </c>
      <c r="M3" s="3">
        <v>0</v>
      </c>
      <c r="N3" s="5">
        <f>L3*M3</f>
        <v>0</v>
      </c>
      <c r="P3" s="2">
        <v>9.9999999999999994E-12</v>
      </c>
      <c r="Q3" s="2">
        <v>0</v>
      </c>
      <c r="R3" s="3">
        <v>0</v>
      </c>
      <c r="S3" s="5">
        <f>Q3*R3</f>
        <v>0</v>
      </c>
      <c r="U3" s="2">
        <v>9.9999999999999994E-12</v>
      </c>
      <c r="V3" s="2">
        <v>0</v>
      </c>
      <c r="W3" s="16">
        <v>0</v>
      </c>
      <c r="X3" s="5">
        <f>V3*W3</f>
        <v>0</v>
      </c>
      <c r="Z3" s="2">
        <v>9.9999999999999994E-12</v>
      </c>
      <c r="AA3" s="2">
        <v>0</v>
      </c>
      <c r="AB3" s="3">
        <v>0</v>
      </c>
      <c r="AC3" s="5">
        <f>AA3*AB3</f>
        <v>0</v>
      </c>
      <c r="AE3" s="2">
        <v>9.9999999999999994E-12</v>
      </c>
      <c r="AF3" s="2">
        <v>0</v>
      </c>
      <c r="AG3" s="3">
        <v>0</v>
      </c>
      <c r="AH3" s="5">
        <f>AF3*AG3</f>
        <v>0</v>
      </c>
      <c r="AJ3" s="2">
        <v>9.9999999999999994E-12</v>
      </c>
      <c r="AK3" s="2">
        <v>0</v>
      </c>
      <c r="AL3" s="3">
        <v>0</v>
      </c>
      <c r="AM3" s="5">
        <f>AK3*AL3</f>
        <v>0</v>
      </c>
      <c r="AO3" s="2">
        <v>9.9999999999999994E-12</v>
      </c>
      <c r="AP3" s="2">
        <v>0</v>
      </c>
      <c r="AQ3" s="3">
        <v>0</v>
      </c>
      <c r="AR3" s="5">
        <f>AP3*AQ3</f>
        <v>0</v>
      </c>
      <c r="AT3" s="2">
        <v>9.9999999999999994E-12</v>
      </c>
      <c r="AU3" s="2">
        <v>0</v>
      </c>
      <c r="AV3" s="3">
        <v>0</v>
      </c>
      <c r="AW3" s="5">
        <f>AU3*AV3</f>
        <v>0</v>
      </c>
    </row>
    <row r="4" spans="1:49" x14ac:dyDescent="0.3">
      <c r="A4" s="2">
        <v>1.1286E-11</v>
      </c>
      <c r="B4" s="2">
        <v>0</v>
      </c>
      <c r="C4" s="3">
        <v>0.85811430480011197</v>
      </c>
      <c r="D4" s="5">
        <f t="shared" ref="D4:D67" si="0">B4*C4</f>
        <v>0</v>
      </c>
      <c r="F4" s="2">
        <v>1.1286E-11</v>
      </c>
      <c r="G4" s="2">
        <v>0</v>
      </c>
      <c r="H4" s="3">
        <v>0</v>
      </c>
      <c r="I4" s="5">
        <f t="shared" ref="I4:I67" si="1">G4*H4</f>
        <v>0</v>
      </c>
      <c r="K4" s="2">
        <v>1.1286E-11</v>
      </c>
      <c r="L4" s="2">
        <v>0</v>
      </c>
      <c r="M4" s="3">
        <v>0</v>
      </c>
      <c r="N4" s="5">
        <f t="shared" ref="N4:N67" si="2">L4*M4</f>
        <v>0</v>
      </c>
      <c r="P4" s="2">
        <v>1.1286E-11</v>
      </c>
      <c r="Q4" s="2">
        <v>0</v>
      </c>
      <c r="R4" s="3">
        <v>0</v>
      </c>
      <c r="S4" s="5">
        <f t="shared" ref="S4:S67" si="3">Q4*R4</f>
        <v>0</v>
      </c>
      <c r="U4" s="2">
        <v>1.1286E-11</v>
      </c>
      <c r="V4" s="2">
        <v>0</v>
      </c>
      <c r="W4" s="16">
        <v>0</v>
      </c>
      <c r="X4" s="5">
        <f t="shared" ref="X4:X67" si="4">V4*W4</f>
        <v>0</v>
      </c>
      <c r="Z4" s="2">
        <v>1.1286E-11</v>
      </c>
      <c r="AA4" s="2">
        <v>0</v>
      </c>
      <c r="AB4" s="3">
        <v>0</v>
      </c>
      <c r="AC4" s="5">
        <f t="shared" ref="AC4:AC67" si="5">AA4*AB4</f>
        <v>0</v>
      </c>
      <c r="AE4" s="2">
        <v>1.1286E-11</v>
      </c>
      <c r="AF4" s="2">
        <v>0</v>
      </c>
      <c r="AG4" s="3">
        <v>0</v>
      </c>
      <c r="AH4" s="5">
        <f t="shared" ref="AH4:AH67" si="6">AF4*AG4</f>
        <v>0</v>
      </c>
      <c r="AJ4" s="2">
        <v>1.1286E-11</v>
      </c>
      <c r="AK4" s="2">
        <v>0</v>
      </c>
      <c r="AL4" s="3">
        <v>0.12705358853903601</v>
      </c>
      <c r="AM4" s="5">
        <f t="shared" ref="AM4:AM67" si="7">AK4*AL4</f>
        <v>0</v>
      </c>
      <c r="AO4" s="2">
        <v>1.1286E-11</v>
      </c>
      <c r="AP4" s="2">
        <v>0</v>
      </c>
      <c r="AQ4" s="3">
        <v>1.67662680943733E-3</v>
      </c>
      <c r="AR4" s="5">
        <f t="shared" ref="AR4:AR67" si="8">AP4*AQ4</f>
        <v>0</v>
      </c>
      <c r="AT4" s="2">
        <v>1.1286E-11</v>
      </c>
      <c r="AU4" s="2">
        <v>0</v>
      </c>
      <c r="AV4" s="3">
        <v>0</v>
      </c>
      <c r="AW4" s="5">
        <f t="shared" ref="AW4:AW67" si="9">AU4*AV4</f>
        <v>0</v>
      </c>
    </row>
    <row r="5" spans="1:49" x14ac:dyDescent="0.3">
      <c r="A5" s="2">
        <v>1.2738E-11</v>
      </c>
      <c r="B5" s="2">
        <v>0</v>
      </c>
      <c r="C5" s="3">
        <v>0.797026723039575</v>
      </c>
      <c r="D5" s="1">
        <f t="shared" si="0"/>
        <v>0</v>
      </c>
      <c r="F5" s="2">
        <v>1.2738E-11</v>
      </c>
      <c r="G5" s="2">
        <v>0</v>
      </c>
      <c r="H5" s="3">
        <v>0</v>
      </c>
      <c r="I5" s="1">
        <f t="shared" si="1"/>
        <v>0</v>
      </c>
      <c r="K5" s="2">
        <v>1.2738E-11</v>
      </c>
      <c r="L5" s="2">
        <v>0</v>
      </c>
      <c r="M5" s="3">
        <v>0</v>
      </c>
      <c r="N5" s="1">
        <f t="shared" si="2"/>
        <v>0</v>
      </c>
      <c r="P5" s="2">
        <v>1.2738E-11</v>
      </c>
      <c r="Q5" s="2">
        <v>0</v>
      </c>
      <c r="R5" s="3">
        <v>0</v>
      </c>
      <c r="S5" s="1">
        <f t="shared" si="3"/>
        <v>0</v>
      </c>
      <c r="U5" s="2">
        <v>1.2738E-11</v>
      </c>
      <c r="V5" s="2">
        <v>0</v>
      </c>
      <c r="W5" s="16">
        <v>0</v>
      </c>
      <c r="X5" s="1">
        <f t="shared" si="4"/>
        <v>0</v>
      </c>
      <c r="Z5" s="2">
        <v>1.2738E-11</v>
      </c>
      <c r="AA5" s="2">
        <v>0</v>
      </c>
      <c r="AB5" s="3">
        <v>0</v>
      </c>
      <c r="AC5" s="1">
        <f t="shared" si="5"/>
        <v>0</v>
      </c>
      <c r="AE5" s="2">
        <v>1.2738E-11</v>
      </c>
      <c r="AF5" s="2">
        <v>0</v>
      </c>
      <c r="AG5" s="3">
        <v>0</v>
      </c>
      <c r="AH5" s="1">
        <f t="shared" si="6"/>
        <v>0</v>
      </c>
      <c r="AJ5" s="2">
        <v>1.2738E-11</v>
      </c>
      <c r="AK5" s="2">
        <v>0</v>
      </c>
      <c r="AL5" s="3">
        <v>0.118008595730083</v>
      </c>
      <c r="AM5" s="1">
        <f t="shared" si="7"/>
        <v>0</v>
      </c>
      <c r="AO5" s="2">
        <v>1.2738E-11</v>
      </c>
      <c r="AP5" s="2">
        <v>0</v>
      </c>
      <c r="AQ5" s="3">
        <v>1.55726882365014E-3</v>
      </c>
      <c r="AR5" s="1">
        <f t="shared" si="8"/>
        <v>0</v>
      </c>
      <c r="AT5" s="2">
        <v>1.2738E-11</v>
      </c>
      <c r="AU5" s="2">
        <v>0</v>
      </c>
      <c r="AV5" s="3">
        <v>0</v>
      </c>
      <c r="AW5" s="1">
        <f t="shared" si="9"/>
        <v>0</v>
      </c>
    </row>
    <row r="6" spans="1:49" x14ac:dyDescent="0.3">
      <c r="A6" s="2">
        <v>1.4375999999999999E-11</v>
      </c>
      <c r="B6" s="2">
        <v>0</v>
      </c>
      <c r="C6" s="3">
        <v>0.75888799166517595</v>
      </c>
      <c r="D6" s="1">
        <f t="shared" si="0"/>
        <v>0</v>
      </c>
      <c r="F6" s="2">
        <v>1.4375999999999999E-11</v>
      </c>
      <c r="G6" s="2">
        <v>0</v>
      </c>
      <c r="H6" s="3">
        <v>0</v>
      </c>
      <c r="I6" s="1">
        <f t="shared" si="1"/>
        <v>0</v>
      </c>
      <c r="K6" s="2">
        <v>1.4375999999999999E-11</v>
      </c>
      <c r="L6" s="2">
        <v>0</v>
      </c>
      <c r="M6" s="3">
        <v>0</v>
      </c>
      <c r="N6" s="1">
        <f t="shared" si="2"/>
        <v>0</v>
      </c>
      <c r="P6" s="2">
        <v>1.4375999999999999E-11</v>
      </c>
      <c r="Q6" s="2">
        <v>0</v>
      </c>
      <c r="R6" s="3">
        <v>0</v>
      </c>
      <c r="S6" s="1">
        <f t="shared" si="3"/>
        <v>0</v>
      </c>
      <c r="U6" s="2">
        <v>1.4375999999999999E-11</v>
      </c>
      <c r="V6" s="2">
        <v>0</v>
      </c>
      <c r="W6" s="16">
        <v>0</v>
      </c>
      <c r="X6" s="1">
        <f t="shared" si="4"/>
        <v>0</v>
      </c>
      <c r="Z6" s="2">
        <v>1.4375999999999999E-11</v>
      </c>
      <c r="AA6" s="2">
        <v>0</v>
      </c>
      <c r="AB6" s="3">
        <v>0</v>
      </c>
      <c r="AC6" s="1">
        <f t="shared" si="5"/>
        <v>0</v>
      </c>
      <c r="AE6" s="2">
        <v>1.4375999999999999E-11</v>
      </c>
      <c r="AF6" s="2">
        <v>0</v>
      </c>
      <c r="AG6" s="3">
        <v>0</v>
      </c>
      <c r="AH6" s="1">
        <f t="shared" si="6"/>
        <v>0</v>
      </c>
      <c r="AJ6" s="2">
        <v>1.4375999999999999E-11</v>
      </c>
      <c r="AK6" s="2">
        <v>0</v>
      </c>
      <c r="AL6" s="3">
        <v>0.112361693335417</v>
      </c>
      <c r="AM6" s="1">
        <f t="shared" si="7"/>
        <v>0</v>
      </c>
      <c r="AO6" s="2">
        <v>1.4375999999999999E-11</v>
      </c>
      <c r="AP6" s="2">
        <v>0</v>
      </c>
      <c r="AQ6" s="3">
        <v>1.4827481963981899E-3</v>
      </c>
      <c r="AR6" s="1">
        <f t="shared" si="8"/>
        <v>0</v>
      </c>
      <c r="AT6" s="2">
        <v>1.4375999999999999E-11</v>
      </c>
      <c r="AU6" s="2">
        <v>0</v>
      </c>
      <c r="AV6" s="3">
        <v>0</v>
      </c>
      <c r="AW6" s="1">
        <f t="shared" si="9"/>
        <v>0</v>
      </c>
    </row>
    <row r="7" spans="1:49" x14ac:dyDescent="0.3">
      <c r="A7" s="2">
        <v>1.6225000000000001E-11</v>
      </c>
      <c r="B7" s="2">
        <v>0</v>
      </c>
      <c r="C7" s="3">
        <v>0.72257458465834101</v>
      </c>
      <c r="D7" s="1">
        <f t="shared" si="0"/>
        <v>0</v>
      </c>
      <c r="F7" s="2">
        <v>1.6225000000000001E-11</v>
      </c>
      <c r="G7" s="2">
        <v>0</v>
      </c>
      <c r="H7" s="3">
        <v>0</v>
      </c>
      <c r="I7" s="1">
        <f t="shared" si="1"/>
        <v>0</v>
      </c>
      <c r="K7" s="2">
        <v>1.6225000000000001E-11</v>
      </c>
      <c r="L7" s="2">
        <v>0</v>
      </c>
      <c r="M7" s="3">
        <v>0</v>
      </c>
      <c r="N7" s="1">
        <f t="shared" si="2"/>
        <v>0</v>
      </c>
      <c r="P7" s="2">
        <v>1.6225000000000001E-11</v>
      </c>
      <c r="Q7" s="2">
        <v>0</v>
      </c>
      <c r="R7" s="3">
        <v>0</v>
      </c>
      <c r="S7" s="1">
        <f t="shared" si="3"/>
        <v>0</v>
      </c>
      <c r="U7" s="2">
        <v>1.6225000000000001E-11</v>
      </c>
      <c r="V7" s="2">
        <v>0</v>
      </c>
      <c r="W7" s="16">
        <v>0</v>
      </c>
      <c r="X7" s="1">
        <f t="shared" si="4"/>
        <v>0</v>
      </c>
      <c r="Z7" s="2">
        <v>1.6225000000000001E-11</v>
      </c>
      <c r="AA7" s="2">
        <v>0</v>
      </c>
      <c r="AB7" s="3">
        <v>0</v>
      </c>
      <c r="AC7" s="1">
        <f t="shared" si="5"/>
        <v>0</v>
      </c>
      <c r="AE7" s="2">
        <v>1.6225000000000001E-11</v>
      </c>
      <c r="AF7" s="2">
        <v>0</v>
      </c>
      <c r="AG7" s="3">
        <v>0</v>
      </c>
      <c r="AH7" s="1">
        <f t="shared" si="6"/>
        <v>0</v>
      </c>
      <c r="AJ7" s="2">
        <v>1.6225000000000001E-11</v>
      </c>
      <c r="AK7" s="2">
        <v>0</v>
      </c>
      <c r="AL7" s="3">
        <v>0.106985324712827</v>
      </c>
      <c r="AM7" s="1">
        <f t="shared" si="7"/>
        <v>0</v>
      </c>
      <c r="AO7" s="2">
        <v>1.6225000000000001E-11</v>
      </c>
      <c r="AP7" s="2">
        <v>0</v>
      </c>
      <c r="AQ7" s="3">
        <v>1.41180242720531E-3</v>
      </c>
      <c r="AR7" s="1">
        <f t="shared" si="8"/>
        <v>0</v>
      </c>
      <c r="AT7" s="2">
        <v>1.6225000000000001E-11</v>
      </c>
      <c r="AU7" s="2">
        <v>0</v>
      </c>
      <c r="AV7" s="3">
        <v>0</v>
      </c>
      <c r="AW7" s="1">
        <f t="shared" si="9"/>
        <v>0</v>
      </c>
    </row>
    <row r="8" spans="1:49" x14ac:dyDescent="0.3">
      <c r="A8" s="2">
        <v>1.8312999999999999E-11</v>
      </c>
      <c r="B8" s="2">
        <v>0</v>
      </c>
      <c r="C8" s="3">
        <v>0.67153880138618205</v>
      </c>
      <c r="D8" s="1">
        <f t="shared" si="0"/>
        <v>0</v>
      </c>
      <c r="F8" s="2">
        <v>1.8312999999999999E-11</v>
      </c>
      <c r="G8" s="2">
        <v>0</v>
      </c>
      <c r="H8" s="3">
        <v>0</v>
      </c>
      <c r="I8" s="1">
        <f t="shared" si="1"/>
        <v>0</v>
      </c>
      <c r="K8" s="2">
        <v>1.8312999999999999E-11</v>
      </c>
      <c r="L8" s="2">
        <v>0</v>
      </c>
      <c r="M8" s="3">
        <v>0</v>
      </c>
      <c r="N8" s="1">
        <f t="shared" si="2"/>
        <v>0</v>
      </c>
      <c r="P8" s="2">
        <v>1.8312999999999999E-11</v>
      </c>
      <c r="Q8" s="2">
        <v>0</v>
      </c>
      <c r="R8" s="3">
        <v>0</v>
      </c>
      <c r="S8" s="1">
        <f t="shared" si="3"/>
        <v>0</v>
      </c>
      <c r="U8" s="2">
        <v>1.8312999999999999E-11</v>
      </c>
      <c r="V8" s="2">
        <v>0</v>
      </c>
      <c r="W8" s="16">
        <v>0</v>
      </c>
      <c r="X8" s="1">
        <f t="shared" si="4"/>
        <v>0</v>
      </c>
      <c r="Z8" s="2">
        <v>1.8312999999999999E-11</v>
      </c>
      <c r="AA8" s="2">
        <v>0</v>
      </c>
      <c r="AB8" s="3">
        <v>0</v>
      </c>
      <c r="AC8" s="1">
        <f t="shared" si="5"/>
        <v>0</v>
      </c>
      <c r="AE8" s="2">
        <v>1.8312999999999999E-11</v>
      </c>
      <c r="AF8" s="2">
        <v>0</v>
      </c>
      <c r="AG8" s="3">
        <v>0</v>
      </c>
      <c r="AH8" s="1">
        <f t="shared" si="6"/>
        <v>0</v>
      </c>
      <c r="AJ8" s="2">
        <v>1.8312999999999999E-11</v>
      </c>
      <c r="AK8" s="2">
        <v>0</v>
      </c>
      <c r="AL8" s="3">
        <v>9.9428512698996899E-2</v>
      </c>
      <c r="AM8" s="1">
        <f t="shared" si="7"/>
        <v>0</v>
      </c>
      <c r="AO8" s="2">
        <v>1.8312999999999999E-11</v>
      </c>
      <c r="AP8" s="2">
        <v>0</v>
      </c>
      <c r="AQ8" s="3">
        <v>1.3120831860768301E-3</v>
      </c>
      <c r="AR8" s="1">
        <f t="shared" si="8"/>
        <v>0</v>
      </c>
      <c r="AT8" s="2">
        <v>1.8312999999999999E-11</v>
      </c>
      <c r="AU8" s="2">
        <v>0</v>
      </c>
      <c r="AV8" s="3">
        <v>0</v>
      </c>
      <c r="AW8" s="1">
        <f t="shared" si="9"/>
        <v>0</v>
      </c>
    </row>
    <row r="9" spans="1:49" x14ac:dyDescent="0.3">
      <c r="A9" s="2">
        <v>2.0668E-11</v>
      </c>
      <c r="B9" s="2">
        <v>0</v>
      </c>
      <c r="C9" s="3">
        <v>0.62373353832184797</v>
      </c>
      <c r="D9" s="1">
        <f t="shared" si="0"/>
        <v>0</v>
      </c>
      <c r="F9" s="2">
        <v>2.0668E-11</v>
      </c>
      <c r="G9" s="2">
        <v>0</v>
      </c>
      <c r="H9" s="3">
        <v>0</v>
      </c>
      <c r="I9" s="1">
        <f t="shared" si="1"/>
        <v>0</v>
      </c>
      <c r="K9" s="2">
        <v>2.0668E-11</v>
      </c>
      <c r="L9" s="2">
        <v>0</v>
      </c>
      <c r="M9" s="3">
        <v>0</v>
      </c>
      <c r="N9" s="1">
        <f t="shared" si="2"/>
        <v>0</v>
      </c>
      <c r="P9" s="2">
        <v>2.0668E-11</v>
      </c>
      <c r="Q9" s="2">
        <v>0</v>
      </c>
      <c r="R9" s="3">
        <v>0</v>
      </c>
      <c r="S9" s="1">
        <f t="shared" si="3"/>
        <v>0</v>
      </c>
      <c r="U9" s="2">
        <v>2.0668E-11</v>
      </c>
      <c r="V9" s="2">
        <v>0</v>
      </c>
      <c r="W9" s="16">
        <v>0</v>
      </c>
      <c r="X9" s="1">
        <f t="shared" si="4"/>
        <v>0</v>
      </c>
      <c r="Z9" s="2">
        <v>2.0668E-11</v>
      </c>
      <c r="AA9" s="2">
        <v>0</v>
      </c>
      <c r="AB9" s="3">
        <v>0</v>
      </c>
      <c r="AC9" s="1">
        <f t="shared" si="5"/>
        <v>0</v>
      </c>
      <c r="AE9" s="2">
        <v>2.0668E-11</v>
      </c>
      <c r="AF9" s="2">
        <v>0</v>
      </c>
      <c r="AG9" s="3">
        <v>0</v>
      </c>
      <c r="AH9" s="1">
        <f t="shared" si="6"/>
        <v>0</v>
      </c>
      <c r="AJ9" s="2">
        <v>2.0668E-11</v>
      </c>
      <c r="AK9" s="2">
        <v>0</v>
      </c>
      <c r="AL9" s="3">
        <v>9.2350035760430702E-2</v>
      </c>
      <c r="AM9" s="1">
        <f t="shared" si="7"/>
        <v>0</v>
      </c>
      <c r="AO9" s="2">
        <v>2.0668E-11</v>
      </c>
      <c r="AP9" s="2">
        <v>0</v>
      </c>
      <c r="AQ9" s="3">
        <v>1.21867738321719E-3</v>
      </c>
      <c r="AR9" s="1">
        <f t="shared" si="8"/>
        <v>0</v>
      </c>
      <c r="AT9" s="2">
        <v>2.0668E-11</v>
      </c>
      <c r="AU9" s="2">
        <v>0</v>
      </c>
      <c r="AV9" s="3">
        <v>0</v>
      </c>
      <c r="AW9" s="1">
        <f t="shared" si="9"/>
        <v>0</v>
      </c>
    </row>
    <row r="10" spans="1:49" x14ac:dyDescent="0.3">
      <c r="A10" s="2">
        <v>2.3326E-11</v>
      </c>
      <c r="B10" s="2">
        <v>0</v>
      </c>
      <c r="C10" s="3">
        <v>0.59388653507356703</v>
      </c>
      <c r="D10" s="1">
        <f t="shared" si="0"/>
        <v>0</v>
      </c>
      <c r="F10" s="2">
        <v>2.3326E-11</v>
      </c>
      <c r="G10" s="2">
        <v>0</v>
      </c>
      <c r="H10" s="3">
        <v>0</v>
      </c>
      <c r="I10" s="1">
        <f t="shared" si="1"/>
        <v>0</v>
      </c>
      <c r="K10" s="2">
        <v>2.3326E-11</v>
      </c>
      <c r="L10" s="2">
        <v>0</v>
      </c>
      <c r="M10" s="3">
        <v>0</v>
      </c>
      <c r="N10" s="1">
        <f t="shared" si="2"/>
        <v>0</v>
      </c>
      <c r="P10" s="2">
        <v>2.3326E-11</v>
      </c>
      <c r="Q10" s="2">
        <v>0</v>
      </c>
      <c r="R10" s="3">
        <v>0</v>
      </c>
      <c r="S10" s="1">
        <f t="shared" si="3"/>
        <v>0</v>
      </c>
      <c r="U10" s="2">
        <v>2.3326E-11</v>
      </c>
      <c r="V10" s="2">
        <v>0</v>
      </c>
      <c r="W10" s="16">
        <v>0</v>
      </c>
      <c r="X10" s="1">
        <f t="shared" si="4"/>
        <v>0</v>
      </c>
      <c r="Z10" s="2">
        <v>2.3326E-11</v>
      </c>
      <c r="AA10" s="2">
        <v>0</v>
      </c>
      <c r="AB10" s="3">
        <v>0</v>
      </c>
      <c r="AC10" s="1">
        <f t="shared" si="5"/>
        <v>0</v>
      </c>
      <c r="AE10" s="2">
        <v>2.3326E-11</v>
      </c>
      <c r="AF10" s="2">
        <v>0</v>
      </c>
      <c r="AG10" s="3">
        <v>0</v>
      </c>
      <c r="AH10" s="1">
        <f t="shared" si="6"/>
        <v>0</v>
      </c>
      <c r="AJ10" s="2">
        <v>2.3326E-11</v>
      </c>
      <c r="AK10" s="2">
        <v>0</v>
      </c>
      <c r="AL10" s="3">
        <v>8.7931317483195201E-2</v>
      </c>
      <c r="AM10" s="1">
        <f t="shared" si="7"/>
        <v>0</v>
      </c>
      <c r="AO10" s="2">
        <v>2.3326E-11</v>
      </c>
      <c r="AP10" s="2">
        <v>0</v>
      </c>
      <c r="AQ10" s="3">
        <v>1.1603584905620101E-3</v>
      </c>
      <c r="AR10" s="1">
        <f t="shared" si="8"/>
        <v>0</v>
      </c>
      <c r="AT10" s="2">
        <v>2.3326E-11</v>
      </c>
      <c r="AU10" s="2">
        <v>0</v>
      </c>
      <c r="AV10" s="3">
        <v>0</v>
      </c>
      <c r="AW10" s="1">
        <f t="shared" si="9"/>
        <v>0</v>
      </c>
    </row>
    <row r="11" spans="1:49" x14ac:dyDescent="0.3">
      <c r="A11" s="2">
        <v>2.6327000000000001E-11</v>
      </c>
      <c r="B11" s="2">
        <v>0</v>
      </c>
      <c r="C11" s="3">
        <v>0.56546975659908705</v>
      </c>
      <c r="D11" s="1">
        <f t="shared" si="0"/>
        <v>0</v>
      </c>
      <c r="F11" s="2">
        <v>2.6327000000000001E-11</v>
      </c>
      <c r="G11" s="2">
        <v>0</v>
      </c>
      <c r="H11" s="3">
        <v>0</v>
      </c>
      <c r="I11" s="1">
        <f t="shared" si="1"/>
        <v>0</v>
      </c>
      <c r="K11" s="2">
        <v>2.6327000000000001E-11</v>
      </c>
      <c r="L11" s="2">
        <v>0</v>
      </c>
      <c r="M11" s="3">
        <v>0</v>
      </c>
      <c r="N11" s="1">
        <f t="shared" si="2"/>
        <v>0</v>
      </c>
      <c r="P11" s="2">
        <v>2.6327000000000001E-11</v>
      </c>
      <c r="Q11" s="2">
        <v>0</v>
      </c>
      <c r="R11" s="3">
        <v>0</v>
      </c>
      <c r="S11" s="1">
        <f t="shared" si="3"/>
        <v>0</v>
      </c>
      <c r="U11" s="2">
        <v>2.6327000000000001E-11</v>
      </c>
      <c r="V11" s="2">
        <v>0</v>
      </c>
      <c r="W11" s="16">
        <v>0</v>
      </c>
      <c r="X11" s="1">
        <f t="shared" si="4"/>
        <v>0</v>
      </c>
      <c r="Z11" s="2">
        <v>2.6327000000000001E-11</v>
      </c>
      <c r="AA11" s="2">
        <v>0</v>
      </c>
      <c r="AB11" s="3">
        <v>0</v>
      </c>
      <c r="AC11" s="1">
        <f t="shared" si="5"/>
        <v>0</v>
      </c>
      <c r="AE11" s="2">
        <v>2.6327000000000001E-11</v>
      </c>
      <c r="AF11" s="2">
        <v>0</v>
      </c>
      <c r="AG11" s="3">
        <v>0</v>
      </c>
      <c r="AH11" s="1">
        <f t="shared" si="6"/>
        <v>0</v>
      </c>
      <c r="AJ11" s="2">
        <v>2.6327000000000001E-11</v>
      </c>
      <c r="AK11" s="2">
        <v>0</v>
      </c>
      <c r="AL11" s="3">
        <v>8.3723831191040404E-2</v>
      </c>
      <c r="AM11" s="1">
        <f t="shared" si="7"/>
        <v>0</v>
      </c>
      <c r="AO11" s="2">
        <v>2.6327000000000001E-11</v>
      </c>
      <c r="AP11" s="2">
        <v>0</v>
      </c>
      <c r="AQ11" s="3">
        <v>1.1048333173154601E-3</v>
      </c>
      <c r="AR11" s="1">
        <f t="shared" si="8"/>
        <v>0</v>
      </c>
      <c r="AT11" s="2">
        <v>2.6327000000000001E-11</v>
      </c>
      <c r="AU11" s="2">
        <v>0</v>
      </c>
      <c r="AV11" s="3">
        <v>0</v>
      </c>
      <c r="AW11" s="1">
        <f t="shared" si="9"/>
        <v>0</v>
      </c>
    </row>
    <row r="12" spans="1:49" x14ac:dyDescent="0.3">
      <c r="A12" s="2">
        <v>2.9713E-11</v>
      </c>
      <c r="B12" s="2">
        <v>0</v>
      </c>
      <c r="C12" s="3">
        <v>0.52552983590018099</v>
      </c>
      <c r="D12" s="1">
        <f t="shared" si="0"/>
        <v>0</v>
      </c>
      <c r="F12" s="2">
        <v>2.9713E-11</v>
      </c>
      <c r="G12" s="2">
        <v>0</v>
      </c>
      <c r="H12" s="3">
        <v>0</v>
      </c>
      <c r="I12" s="1">
        <f t="shared" si="1"/>
        <v>0</v>
      </c>
      <c r="K12" s="2">
        <v>2.9713E-11</v>
      </c>
      <c r="L12" s="2">
        <v>0</v>
      </c>
      <c r="M12" s="3">
        <v>0</v>
      </c>
      <c r="N12" s="1">
        <f t="shared" si="2"/>
        <v>0</v>
      </c>
      <c r="P12" s="2">
        <v>2.9713E-11</v>
      </c>
      <c r="Q12" s="2">
        <v>0</v>
      </c>
      <c r="R12" s="3">
        <v>0</v>
      </c>
      <c r="S12" s="1">
        <f t="shared" si="3"/>
        <v>0</v>
      </c>
      <c r="U12" s="2">
        <v>2.9713E-11</v>
      </c>
      <c r="V12" s="2">
        <v>0</v>
      </c>
      <c r="W12" s="16">
        <v>0</v>
      </c>
      <c r="X12" s="1">
        <f t="shared" si="4"/>
        <v>0</v>
      </c>
      <c r="Z12" s="2">
        <v>2.9713E-11</v>
      </c>
      <c r="AA12" s="2">
        <v>0</v>
      </c>
      <c r="AB12" s="3">
        <v>0</v>
      </c>
      <c r="AC12" s="1">
        <f t="shared" si="5"/>
        <v>0</v>
      </c>
      <c r="AE12" s="2">
        <v>2.9713E-11</v>
      </c>
      <c r="AF12" s="2">
        <v>0</v>
      </c>
      <c r="AG12" s="3">
        <v>0</v>
      </c>
      <c r="AH12" s="1">
        <f t="shared" si="6"/>
        <v>0</v>
      </c>
      <c r="AJ12" s="2">
        <v>2.9713E-11</v>
      </c>
      <c r="AK12" s="2">
        <v>0</v>
      </c>
      <c r="AL12" s="3">
        <v>7.7810070754897695E-2</v>
      </c>
      <c r="AM12" s="1">
        <f t="shared" si="7"/>
        <v>0</v>
      </c>
      <c r="AO12" s="2">
        <v>2.9713E-11</v>
      </c>
      <c r="AP12" s="2">
        <v>0</v>
      </c>
      <c r="AQ12" s="3">
        <v>1.02680216106977E-3</v>
      </c>
      <c r="AR12" s="1">
        <f t="shared" si="8"/>
        <v>0</v>
      </c>
      <c r="AT12" s="2">
        <v>2.9713E-11</v>
      </c>
      <c r="AU12" s="2">
        <v>0</v>
      </c>
      <c r="AV12" s="3">
        <v>0</v>
      </c>
      <c r="AW12" s="1">
        <f t="shared" si="9"/>
        <v>0</v>
      </c>
    </row>
    <row r="13" spans="1:49" x14ac:dyDescent="0.3">
      <c r="A13" s="2">
        <v>3.3534999999999997E-11</v>
      </c>
      <c r="B13" s="2">
        <v>0</v>
      </c>
      <c r="C13" s="3">
        <v>0.48811783748896997</v>
      </c>
      <c r="D13" s="1">
        <f t="shared" si="0"/>
        <v>0</v>
      </c>
      <c r="F13" s="2">
        <v>3.3534999999999997E-11</v>
      </c>
      <c r="G13" s="2">
        <v>0</v>
      </c>
      <c r="H13" s="3">
        <v>0</v>
      </c>
      <c r="I13" s="1">
        <f t="shared" si="1"/>
        <v>0</v>
      </c>
      <c r="K13" s="2">
        <v>3.3534999999999997E-11</v>
      </c>
      <c r="L13" s="2">
        <v>0</v>
      </c>
      <c r="M13" s="3">
        <v>0</v>
      </c>
      <c r="N13" s="1">
        <f t="shared" si="2"/>
        <v>0</v>
      </c>
      <c r="P13" s="2">
        <v>3.3534999999999997E-11</v>
      </c>
      <c r="Q13" s="2">
        <v>0</v>
      </c>
      <c r="R13" s="3">
        <v>0</v>
      </c>
      <c r="S13" s="1">
        <f t="shared" si="3"/>
        <v>0</v>
      </c>
      <c r="U13" s="2">
        <v>3.3534999999999997E-11</v>
      </c>
      <c r="V13" s="2">
        <v>0</v>
      </c>
      <c r="W13" s="16">
        <v>0</v>
      </c>
      <c r="X13" s="1">
        <f t="shared" si="4"/>
        <v>0</v>
      </c>
      <c r="Z13" s="2">
        <v>3.3534999999999997E-11</v>
      </c>
      <c r="AA13" s="2">
        <v>0</v>
      </c>
      <c r="AB13" s="3">
        <v>0</v>
      </c>
      <c r="AC13" s="1">
        <f t="shared" si="5"/>
        <v>0</v>
      </c>
      <c r="AE13" s="2">
        <v>3.3534999999999997E-11</v>
      </c>
      <c r="AF13" s="2">
        <v>0</v>
      </c>
      <c r="AG13" s="3">
        <v>0</v>
      </c>
      <c r="AH13" s="1">
        <f t="shared" si="6"/>
        <v>0</v>
      </c>
      <c r="AJ13" s="2">
        <v>3.3534999999999997E-11</v>
      </c>
      <c r="AK13" s="2">
        <v>0</v>
      </c>
      <c r="AL13" s="3">
        <v>7.2270744742424994E-2</v>
      </c>
      <c r="AM13" s="1">
        <f t="shared" si="7"/>
        <v>0</v>
      </c>
      <c r="AO13" s="2">
        <v>3.3534999999999997E-11</v>
      </c>
      <c r="AP13" s="2">
        <v>0</v>
      </c>
      <c r="AQ13" s="3">
        <v>9.5370596312156504E-4</v>
      </c>
      <c r="AR13" s="1">
        <f t="shared" si="8"/>
        <v>0</v>
      </c>
      <c r="AT13" s="2">
        <v>3.3534999999999997E-11</v>
      </c>
      <c r="AU13" s="2">
        <v>0</v>
      </c>
      <c r="AV13" s="3">
        <v>0</v>
      </c>
      <c r="AW13" s="1">
        <f t="shared" si="9"/>
        <v>0</v>
      </c>
    </row>
    <row r="14" spans="1:49" x14ac:dyDescent="0.3">
      <c r="A14" s="2">
        <v>3.7847999999999999E-11</v>
      </c>
      <c r="B14" s="2">
        <v>0</v>
      </c>
      <c r="C14" s="3">
        <v>0.464762266932782</v>
      </c>
      <c r="D14" s="1">
        <f t="shared" si="0"/>
        <v>0</v>
      </c>
      <c r="F14" s="2">
        <v>3.7847999999999999E-11</v>
      </c>
      <c r="G14" s="2">
        <v>0</v>
      </c>
      <c r="H14" s="3">
        <v>0</v>
      </c>
      <c r="I14" s="1">
        <f t="shared" si="1"/>
        <v>0</v>
      </c>
      <c r="K14" s="2">
        <v>3.7847999999999999E-11</v>
      </c>
      <c r="L14" s="2">
        <v>0</v>
      </c>
      <c r="M14" s="3">
        <v>0</v>
      </c>
      <c r="N14" s="1">
        <f t="shared" si="2"/>
        <v>0</v>
      </c>
      <c r="P14" s="2">
        <v>3.7847999999999999E-11</v>
      </c>
      <c r="Q14" s="2">
        <v>0</v>
      </c>
      <c r="R14" s="3">
        <v>0</v>
      </c>
      <c r="S14" s="1">
        <f t="shared" si="3"/>
        <v>0</v>
      </c>
      <c r="U14" s="2">
        <v>3.7847999999999999E-11</v>
      </c>
      <c r="V14" s="2">
        <v>0</v>
      </c>
      <c r="W14" s="16">
        <v>0</v>
      </c>
      <c r="X14" s="1">
        <f t="shared" si="4"/>
        <v>0</v>
      </c>
      <c r="Z14" s="2">
        <v>3.7847999999999999E-11</v>
      </c>
      <c r="AA14" s="2">
        <v>0</v>
      </c>
      <c r="AB14" s="3">
        <v>0</v>
      </c>
      <c r="AC14" s="1">
        <f t="shared" si="5"/>
        <v>0</v>
      </c>
      <c r="AE14" s="2">
        <v>3.7847999999999999E-11</v>
      </c>
      <c r="AF14" s="2">
        <v>0</v>
      </c>
      <c r="AG14" s="3">
        <v>0</v>
      </c>
      <c r="AH14" s="1">
        <f t="shared" si="6"/>
        <v>0</v>
      </c>
      <c r="AJ14" s="2">
        <v>3.7847999999999999E-11</v>
      </c>
      <c r="AK14" s="2">
        <v>0</v>
      </c>
      <c r="AL14" s="3">
        <v>6.8812617395023298E-2</v>
      </c>
      <c r="AM14" s="1">
        <f t="shared" si="7"/>
        <v>0</v>
      </c>
      <c r="AO14" s="2">
        <v>3.7847999999999999E-11</v>
      </c>
      <c r="AP14" s="2">
        <v>0</v>
      </c>
      <c r="AQ14" s="3">
        <v>9.0806724822963805E-4</v>
      </c>
      <c r="AR14" s="1">
        <f t="shared" si="8"/>
        <v>0</v>
      </c>
      <c r="AT14" s="2">
        <v>3.7847999999999999E-11</v>
      </c>
      <c r="AU14" s="2">
        <v>0</v>
      </c>
      <c r="AV14" s="3">
        <v>0</v>
      </c>
      <c r="AW14" s="1">
        <f t="shared" si="9"/>
        <v>0</v>
      </c>
    </row>
    <row r="15" spans="1:49" x14ac:dyDescent="0.3">
      <c r="A15" s="2">
        <v>4.2716E-11</v>
      </c>
      <c r="B15" s="2">
        <v>0</v>
      </c>
      <c r="C15" s="3">
        <v>0.442524059481127</v>
      </c>
      <c r="D15" s="1">
        <f t="shared" si="0"/>
        <v>0</v>
      </c>
      <c r="F15" s="2">
        <v>4.2716E-11</v>
      </c>
      <c r="G15" s="2">
        <v>0</v>
      </c>
      <c r="H15" s="3">
        <v>0</v>
      </c>
      <c r="I15" s="1">
        <f t="shared" si="1"/>
        <v>0</v>
      </c>
      <c r="K15" s="2">
        <v>4.2716E-11</v>
      </c>
      <c r="L15" s="2">
        <v>0</v>
      </c>
      <c r="M15" s="3">
        <v>0</v>
      </c>
      <c r="N15" s="1">
        <f t="shared" si="2"/>
        <v>0</v>
      </c>
      <c r="P15" s="2">
        <v>4.2716E-11</v>
      </c>
      <c r="Q15" s="2">
        <v>0</v>
      </c>
      <c r="R15" s="3">
        <v>0</v>
      </c>
      <c r="S15" s="1">
        <f t="shared" si="3"/>
        <v>0</v>
      </c>
      <c r="U15" s="2">
        <v>4.2716E-11</v>
      </c>
      <c r="V15" s="2">
        <v>0</v>
      </c>
      <c r="W15" s="16">
        <v>0</v>
      </c>
      <c r="X15" s="1">
        <f t="shared" si="4"/>
        <v>0</v>
      </c>
      <c r="Z15" s="2">
        <v>4.2716E-11</v>
      </c>
      <c r="AA15" s="2">
        <v>0</v>
      </c>
      <c r="AB15" s="3">
        <v>0</v>
      </c>
      <c r="AC15" s="1">
        <f t="shared" si="5"/>
        <v>0</v>
      </c>
      <c r="AE15" s="2">
        <v>4.2716E-11</v>
      </c>
      <c r="AF15" s="2">
        <v>0</v>
      </c>
      <c r="AG15" s="3">
        <v>0</v>
      </c>
      <c r="AH15" s="1">
        <f t="shared" si="6"/>
        <v>0</v>
      </c>
      <c r="AJ15" s="2">
        <v>4.2716E-11</v>
      </c>
      <c r="AK15" s="2">
        <v>0</v>
      </c>
      <c r="AL15" s="3">
        <v>6.5519652875863393E-2</v>
      </c>
      <c r="AM15" s="1">
        <f t="shared" si="7"/>
        <v>0</v>
      </c>
      <c r="AO15" s="2">
        <v>4.2716E-11</v>
      </c>
      <c r="AP15" s="2">
        <v>0</v>
      </c>
      <c r="AQ15" s="3">
        <v>8.6461572155894302E-4</v>
      </c>
      <c r="AR15" s="1">
        <f t="shared" si="8"/>
        <v>0</v>
      </c>
      <c r="AT15" s="2">
        <v>4.2716E-11</v>
      </c>
      <c r="AU15" s="2">
        <v>0</v>
      </c>
      <c r="AV15" s="3">
        <v>0</v>
      </c>
      <c r="AW15" s="1">
        <f t="shared" si="9"/>
        <v>0</v>
      </c>
    </row>
    <row r="16" spans="1:49" x14ac:dyDescent="0.3">
      <c r="A16" s="2">
        <v>4.8211000000000003E-11</v>
      </c>
      <c r="B16" s="2">
        <v>0</v>
      </c>
      <c r="C16" s="3">
        <v>0.41126828483065098</v>
      </c>
      <c r="D16" s="1">
        <f t="shared" si="0"/>
        <v>0</v>
      </c>
      <c r="F16" s="2">
        <v>4.8211000000000003E-11</v>
      </c>
      <c r="G16" s="2">
        <v>0</v>
      </c>
      <c r="H16" s="3">
        <v>0</v>
      </c>
      <c r="I16" s="1">
        <f t="shared" si="1"/>
        <v>0</v>
      </c>
      <c r="K16" s="2">
        <v>4.8211000000000003E-11</v>
      </c>
      <c r="L16" s="2">
        <v>0</v>
      </c>
      <c r="M16" s="3">
        <v>0</v>
      </c>
      <c r="N16" s="1">
        <f t="shared" si="2"/>
        <v>0</v>
      </c>
      <c r="P16" s="2">
        <v>4.8211000000000003E-11</v>
      </c>
      <c r="Q16" s="2">
        <v>0</v>
      </c>
      <c r="R16" s="3">
        <v>0</v>
      </c>
      <c r="S16" s="1">
        <f t="shared" si="3"/>
        <v>0</v>
      </c>
      <c r="U16" s="2">
        <v>4.8211000000000003E-11</v>
      </c>
      <c r="V16" s="2">
        <v>0</v>
      </c>
      <c r="W16" s="16">
        <v>0</v>
      </c>
      <c r="X16" s="1">
        <f t="shared" si="4"/>
        <v>0</v>
      </c>
      <c r="Z16" s="2">
        <v>4.8211000000000003E-11</v>
      </c>
      <c r="AA16" s="2">
        <v>0</v>
      </c>
      <c r="AB16" s="3">
        <v>0</v>
      </c>
      <c r="AC16" s="1">
        <f t="shared" si="5"/>
        <v>0</v>
      </c>
      <c r="AE16" s="2">
        <v>4.8211000000000003E-11</v>
      </c>
      <c r="AF16" s="2">
        <v>0</v>
      </c>
      <c r="AG16" s="3">
        <v>0</v>
      </c>
      <c r="AH16" s="1">
        <f t="shared" si="6"/>
        <v>0</v>
      </c>
      <c r="AJ16" s="2">
        <v>4.8211000000000003E-11</v>
      </c>
      <c r="AK16" s="2">
        <v>0</v>
      </c>
      <c r="AL16" s="3">
        <v>6.0891908051906397E-2</v>
      </c>
      <c r="AM16" s="1">
        <f t="shared" si="7"/>
        <v>0</v>
      </c>
      <c r="AO16" s="2">
        <v>4.8211000000000003E-11</v>
      </c>
      <c r="AP16" s="2">
        <v>0</v>
      </c>
      <c r="AQ16" s="3">
        <v>8.0354630186756603E-4</v>
      </c>
      <c r="AR16" s="1">
        <f t="shared" si="8"/>
        <v>0</v>
      </c>
      <c r="AT16" s="2">
        <v>4.8211000000000003E-11</v>
      </c>
      <c r="AU16" s="2">
        <v>0</v>
      </c>
      <c r="AV16" s="3">
        <v>0</v>
      </c>
      <c r="AW16" s="1">
        <f t="shared" si="9"/>
        <v>0</v>
      </c>
    </row>
    <row r="17" spans="1:49" x14ac:dyDescent="0.3">
      <c r="A17" s="2">
        <v>5.4412E-11</v>
      </c>
      <c r="B17" s="2">
        <v>0</v>
      </c>
      <c r="C17" s="3">
        <v>0.38199158371092201</v>
      </c>
      <c r="D17" s="1">
        <f t="shared" si="0"/>
        <v>0</v>
      </c>
      <c r="F17" s="2">
        <v>5.4412E-11</v>
      </c>
      <c r="G17" s="2">
        <v>0</v>
      </c>
      <c r="H17" s="3">
        <v>0</v>
      </c>
      <c r="I17" s="1">
        <f t="shared" si="1"/>
        <v>0</v>
      </c>
      <c r="K17" s="2">
        <v>5.4412E-11</v>
      </c>
      <c r="L17" s="2">
        <v>0</v>
      </c>
      <c r="M17" s="3">
        <v>0</v>
      </c>
      <c r="N17" s="1">
        <f t="shared" si="2"/>
        <v>0</v>
      </c>
      <c r="P17" s="2">
        <v>5.4412E-11</v>
      </c>
      <c r="Q17" s="2">
        <v>0</v>
      </c>
      <c r="R17" s="3">
        <v>0</v>
      </c>
      <c r="S17" s="1">
        <f t="shared" si="3"/>
        <v>0</v>
      </c>
      <c r="U17" s="2">
        <v>5.4412E-11</v>
      </c>
      <c r="V17" s="2">
        <v>0</v>
      </c>
      <c r="W17" s="16">
        <v>0</v>
      </c>
      <c r="X17" s="1">
        <f t="shared" si="4"/>
        <v>0</v>
      </c>
      <c r="Z17" s="2">
        <v>5.4412E-11</v>
      </c>
      <c r="AA17" s="2">
        <v>0</v>
      </c>
      <c r="AB17" s="3">
        <v>0</v>
      </c>
      <c r="AC17" s="1">
        <f t="shared" si="5"/>
        <v>0</v>
      </c>
      <c r="AE17" s="2">
        <v>5.4412E-11</v>
      </c>
      <c r="AF17" s="2">
        <v>0</v>
      </c>
      <c r="AG17" s="3">
        <v>0</v>
      </c>
      <c r="AH17" s="1">
        <f t="shared" si="6"/>
        <v>0</v>
      </c>
      <c r="AJ17" s="2">
        <v>5.4412E-11</v>
      </c>
      <c r="AK17" s="2">
        <v>0</v>
      </c>
      <c r="AL17" s="3">
        <v>5.6557241481031299E-2</v>
      </c>
      <c r="AM17" s="1">
        <f t="shared" si="7"/>
        <v>0</v>
      </c>
      <c r="AO17" s="2">
        <v>5.4412E-11</v>
      </c>
      <c r="AP17" s="2">
        <v>0</v>
      </c>
      <c r="AQ17" s="3">
        <v>7.4634214001589405E-4</v>
      </c>
      <c r="AR17" s="1">
        <f t="shared" si="8"/>
        <v>0</v>
      </c>
      <c r="AT17" s="2">
        <v>5.4412E-11</v>
      </c>
      <c r="AU17" s="2">
        <v>0</v>
      </c>
      <c r="AV17" s="3">
        <v>0</v>
      </c>
      <c r="AW17" s="1">
        <f t="shared" si="9"/>
        <v>0</v>
      </c>
    </row>
    <row r="18" spans="1:49" x14ac:dyDescent="0.3">
      <c r="A18" s="2">
        <v>6.1411000000000006E-11</v>
      </c>
      <c r="B18" s="2">
        <v>0</v>
      </c>
      <c r="C18" s="3">
        <v>0.363713311101732</v>
      </c>
      <c r="D18" s="1">
        <f t="shared" si="0"/>
        <v>0</v>
      </c>
      <c r="F18" s="2">
        <v>6.1411000000000006E-11</v>
      </c>
      <c r="G18" s="2">
        <v>0</v>
      </c>
      <c r="H18" s="3">
        <v>0</v>
      </c>
      <c r="I18" s="1">
        <f t="shared" si="1"/>
        <v>0</v>
      </c>
      <c r="K18" s="2">
        <v>6.1411000000000006E-11</v>
      </c>
      <c r="L18" s="2">
        <v>0</v>
      </c>
      <c r="M18" s="3">
        <v>0</v>
      </c>
      <c r="N18" s="1">
        <f t="shared" si="2"/>
        <v>0</v>
      </c>
      <c r="P18" s="2">
        <v>6.1411000000000006E-11</v>
      </c>
      <c r="Q18" s="2">
        <v>0</v>
      </c>
      <c r="R18" s="3">
        <v>0</v>
      </c>
      <c r="S18" s="1">
        <f t="shared" si="3"/>
        <v>0</v>
      </c>
      <c r="U18" s="2">
        <v>6.1411000000000006E-11</v>
      </c>
      <c r="V18" s="2">
        <v>0</v>
      </c>
      <c r="W18" s="16">
        <v>0</v>
      </c>
      <c r="X18" s="1">
        <f t="shared" si="4"/>
        <v>0</v>
      </c>
      <c r="Z18" s="2">
        <v>6.1411000000000006E-11</v>
      </c>
      <c r="AA18" s="2">
        <v>0</v>
      </c>
      <c r="AB18" s="3">
        <v>0</v>
      </c>
      <c r="AC18" s="1">
        <f t="shared" si="5"/>
        <v>0</v>
      </c>
      <c r="AE18" s="2">
        <v>6.1411000000000006E-11</v>
      </c>
      <c r="AF18" s="2">
        <v>0</v>
      </c>
      <c r="AG18" s="3">
        <v>0</v>
      </c>
      <c r="AH18" s="1">
        <f t="shared" si="6"/>
        <v>0</v>
      </c>
      <c r="AJ18" s="2">
        <v>6.1411000000000006E-11</v>
      </c>
      <c r="AK18" s="2">
        <v>0</v>
      </c>
      <c r="AL18" s="3">
        <v>5.3850923565448502E-2</v>
      </c>
      <c r="AM18" s="1">
        <f t="shared" si="7"/>
        <v>0</v>
      </c>
      <c r="AO18" s="2">
        <v>6.1411000000000006E-11</v>
      </c>
      <c r="AP18" s="2">
        <v>0</v>
      </c>
      <c r="AQ18" s="3">
        <v>7.1062939990443796E-4</v>
      </c>
      <c r="AR18" s="1">
        <f t="shared" si="8"/>
        <v>0</v>
      </c>
      <c r="AT18" s="2">
        <v>6.1411000000000006E-11</v>
      </c>
      <c r="AU18" s="2">
        <v>0</v>
      </c>
      <c r="AV18" s="3">
        <v>0</v>
      </c>
      <c r="AW18" s="1">
        <f t="shared" si="9"/>
        <v>0</v>
      </c>
    </row>
    <row r="19" spans="1:49" x14ac:dyDescent="0.3">
      <c r="A19" s="2">
        <v>6.9310000000000004E-11</v>
      </c>
      <c r="B19" s="2">
        <v>0</v>
      </c>
      <c r="C19" s="3">
        <v>0.34630926338552798</v>
      </c>
      <c r="D19" s="1">
        <f t="shared" si="0"/>
        <v>0</v>
      </c>
      <c r="F19" s="2">
        <v>6.9310000000000004E-11</v>
      </c>
      <c r="G19" s="2">
        <v>0</v>
      </c>
      <c r="H19" s="3">
        <v>0</v>
      </c>
      <c r="I19" s="1">
        <f t="shared" si="1"/>
        <v>0</v>
      </c>
      <c r="K19" s="2">
        <v>6.9310000000000004E-11</v>
      </c>
      <c r="L19" s="2">
        <v>0</v>
      </c>
      <c r="M19" s="3">
        <v>0</v>
      </c>
      <c r="N19" s="1">
        <f t="shared" si="2"/>
        <v>0</v>
      </c>
      <c r="P19" s="2">
        <v>6.9310000000000004E-11</v>
      </c>
      <c r="Q19" s="2">
        <v>0</v>
      </c>
      <c r="R19" s="3">
        <v>0</v>
      </c>
      <c r="S19" s="1">
        <f t="shared" si="3"/>
        <v>0</v>
      </c>
      <c r="U19" s="2">
        <v>6.9310000000000004E-11</v>
      </c>
      <c r="V19" s="2">
        <v>0</v>
      </c>
      <c r="W19" s="16">
        <v>0</v>
      </c>
      <c r="X19" s="1">
        <f t="shared" si="4"/>
        <v>0</v>
      </c>
      <c r="Z19" s="2">
        <v>6.9310000000000004E-11</v>
      </c>
      <c r="AA19" s="2">
        <v>0</v>
      </c>
      <c r="AB19" s="3">
        <v>0</v>
      </c>
      <c r="AC19" s="1">
        <f t="shared" si="5"/>
        <v>0</v>
      </c>
      <c r="AE19" s="2">
        <v>6.9310000000000004E-11</v>
      </c>
      <c r="AF19" s="2">
        <v>0</v>
      </c>
      <c r="AG19" s="3">
        <v>0</v>
      </c>
      <c r="AH19" s="1">
        <f t="shared" si="6"/>
        <v>0</v>
      </c>
      <c r="AJ19" s="2">
        <v>6.9310000000000004E-11</v>
      </c>
      <c r="AK19" s="2">
        <v>0</v>
      </c>
      <c r="AL19" s="3">
        <v>5.1273991366945403E-2</v>
      </c>
      <c r="AM19" s="1">
        <f t="shared" si="7"/>
        <v>0</v>
      </c>
      <c r="AO19" s="2">
        <v>6.9310000000000004E-11</v>
      </c>
      <c r="AP19" s="2">
        <v>0</v>
      </c>
      <c r="AQ19" s="3">
        <v>6.7662505597082599E-4</v>
      </c>
      <c r="AR19" s="1">
        <f t="shared" si="8"/>
        <v>0</v>
      </c>
      <c r="AT19" s="2">
        <v>6.9310000000000004E-11</v>
      </c>
      <c r="AU19" s="2">
        <v>0</v>
      </c>
      <c r="AV19" s="3">
        <v>0</v>
      </c>
      <c r="AW19" s="1">
        <f t="shared" si="9"/>
        <v>0</v>
      </c>
    </row>
    <row r="20" spans="1:49" x14ac:dyDescent="0.3">
      <c r="A20" s="2">
        <v>7.8225000000000006E-11</v>
      </c>
      <c r="B20" s="2">
        <v>0</v>
      </c>
      <c r="C20" s="3">
        <v>0.32974010938103199</v>
      </c>
      <c r="D20" s="1">
        <f t="shared" si="0"/>
        <v>0</v>
      </c>
      <c r="F20" s="2">
        <v>7.8225000000000006E-11</v>
      </c>
      <c r="G20" s="2">
        <v>0</v>
      </c>
      <c r="H20" s="3">
        <v>0</v>
      </c>
      <c r="I20" s="1">
        <f t="shared" si="1"/>
        <v>0</v>
      </c>
      <c r="K20" s="2">
        <v>7.8225000000000006E-11</v>
      </c>
      <c r="L20" s="2">
        <v>0</v>
      </c>
      <c r="M20" s="3">
        <v>0</v>
      </c>
      <c r="N20" s="1">
        <f t="shared" si="2"/>
        <v>0</v>
      </c>
      <c r="P20" s="2">
        <v>7.8225000000000006E-11</v>
      </c>
      <c r="Q20" s="2">
        <v>0</v>
      </c>
      <c r="R20" s="3">
        <v>0</v>
      </c>
      <c r="S20" s="1">
        <f t="shared" si="3"/>
        <v>0</v>
      </c>
      <c r="U20" s="2">
        <v>7.8225000000000006E-11</v>
      </c>
      <c r="V20" s="2">
        <v>0</v>
      </c>
      <c r="W20" s="16">
        <v>0</v>
      </c>
      <c r="X20" s="1">
        <f t="shared" si="4"/>
        <v>0</v>
      </c>
      <c r="Z20" s="2">
        <v>7.8225000000000006E-11</v>
      </c>
      <c r="AA20" s="2">
        <v>0</v>
      </c>
      <c r="AB20" s="3">
        <v>0</v>
      </c>
      <c r="AC20" s="1">
        <f t="shared" si="5"/>
        <v>0</v>
      </c>
      <c r="AE20" s="2">
        <v>7.8225000000000006E-11</v>
      </c>
      <c r="AF20" s="2">
        <v>0</v>
      </c>
      <c r="AG20" s="3">
        <v>0</v>
      </c>
      <c r="AH20" s="1">
        <f t="shared" si="6"/>
        <v>0</v>
      </c>
      <c r="AJ20" s="2">
        <v>7.8225000000000006E-11</v>
      </c>
      <c r="AK20" s="2">
        <v>0</v>
      </c>
      <c r="AL20" s="3">
        <v>4.8820514706822402E-2</v>
      </c>
      <c r="AM20" s="1">
        <f t="shared" si="7"/>
        <v>0</v>
      </c>
      <c r="AO20" s="2">
        <v>7.8225000000000006E-11</v>
      </c>
      <c r="AP20" s="2">
        <v>0</v>
      </c>
      <c r="AQ20" s="3">
        <v>6.4424823739007097E-4</v>
      </c>
      <c r="AR20" s="1">
        <f t="shared" si="8"/>
        <v>0</v>
      </c>
      <c r="AT20" s="2">
        <v>7.8225000000000006E-11</v>
      </c>
      <c r="AU20" s="2">
        <v>0</v>
      </c>
      <c r="AV20" s="3">
        <v>0</v>
      </c>
      <c r="AW20" s="1">
        <f t="shared" si="9"/>
        <v>0</v>
      </c>
    </row>
    <row r="21" spans="1:49" x14ac:dyDescent="0.3">
      <c r="A21" s="2">
        <v>8.8286000000000004E-11</v>
      </c>
      <c r="B21" s="2">
        <v>0</v>
      </c>
      <c r="C21" s="3">
        <v>0.30645158061111599</v>
      </c>
      <c r="D21" s="1">
        <f t="shared" si="0"/>
        <v>0</v>
      </c>
      <c r="F21" s="2">
        <v>8.8286000000000004E-11</v>
      </c>
      <c r="G21" s="2">
        <v>0</v>
      </c>
      <c r="H21" s="3">
        <v>0</v>
      </c>
      <c r="I21" s="1">
        <f t="shared" si="1"/>
        <v>0</v>
      </c>
      <c r="K21" s="2">
        <v>8.8286000000000004E-11</v>
      </c>
      <c r="L21" s="2">
        <v>0</v>
      </c>
      <c r="M21" s="3">
        <v>0</v>
      </c>
      <c r="N21" s="1">
        <f t="shared" si="2"/>
        <v>0</v>
      </c>
      <c r="P21" s="2">
        <v>8.8286000000000004E-11</v>
      </c>
      <c r="Q21" s="2">
        <v>0</v>
      </c>
      <c r="R21" s="3">
        <v>0</v>
      </c>
      <c r="S21" s="1">
        <f t="shared" si="3"/>
        <v>0</v>
      </c>
      <c r="U21" s="2">
        <v>8.8286000000000004E-11</v>
      </c>
      <c r="V21" s="2">
        <v>0</v>
      </c>
      <c r="W21" s="16">
        <v>0</v>
      </c>
      <c r="X21" s="1">
        <f t="shared" si="4"/>
        <v>0</v>
      </c>
      <c r="Z21" s="2">
        <v>8.8286000000000004E-11</v>
      </c>
      <c r="AA21" s="2">
        <v>0</v>
      </c>
      <c r="AB21" s="3">
        <v>0</v>
      </c>
      <c r="AC21" s="1">
        <f t="shared" si="5"/>
        <v>0</v>
      </c>
      <c r="AE21" s="2">
        <v>8.8286000000000004E-11</v>
      </c>
      <c r="AF21" s="2">
        <v>0</v>
      </c>
      <c r="AG21" s="3">
        <v>0</v>
      </c>
      <c r="AH21" s="1">
        <f t="shared" si="6"/>
        <v>0</v>
      </c>
      <c r="AJ21" s="2">
        <v>8.8286000000000004E-11</v>
      </c>
      <c r="AK21" s="2">
        <v>0</v>
      </c>
      <c r="AL21" s="3">
        <v>4.5372238317425602E-2</v>
      </c>
      <c r="AM21" s="1">
        <f t="shared" si="7"/>
        <v>0</v>
      </c>
      <c r="AO21" s="2">
        <v>8.8286000000000004E-11</v>
      </c>
      <c r="AP21" s="2">
        <v>0</v>
      </c>
      <c r="AQ21" s="3">
        <v>5.9874369454869102E-4</v>
      </c>
      <c r="AR21" s="1">
        <f t="shared" si="8"/>
        <v>0</v>
      </c>
      <c r="AT21" s="2">
        <v>8.8286000000000004E-11</v>
      </c>
      <c r="AU21" s="2">
        <v>0</v>
      </c>
      <c r="AV21" s="3">
        <v>0</v>
      </c>
      <c r="AW21" s="1">
        <f t="shared" si="9"/>
        <v>0</v>
      </c>
    </row>
    <row r="22" spans="1:49" x14ac:dyDescent="0.3">
      <c r="A22" s="2">
        <v>9.9641999999999996E-11</v>
      </c>
      <c r="B22" s="2">
        <v>0</v>
      </c>
      <c r="C22" s="3">
        <v>0.284636183358216</v>
      </c>
      <c r="D22" s="1">
        <f t="shared" si="0"/>
        <v>0</v>
      </c>
      <c r="F22" s="2">
        <v>9.9641999999999996E-11</v>
      </c>
      <c r="G22" s="2">
        <v>0</v>
      </c>
      <c r="H22" s="3">
        <v>0</v>
      </c>
      <c r="I22" s="1">
        <f t="shared" si="1"/>
        <v>0</v>
      </c>
      <c r="K22" s="2">
        <v>9.9641999999999996E-11</v>
      </c>
      <c r="L22" s="2">
        <v>0</v>
      </c>
      <c r="M22" s="3">
        <v>0</v>
      </c>
      <c r="N22" s="1">
        <f t="shared" si="2"/>
        <v>0</v>
      </c>
      <c r="P22" s="2">
        <v>9.9641999999999996E-11</v>
      </c>
      <c r="Q22" s="2">
        <v>0</v>
      </c>
      <c r="R22" s="3">
        <v>0</v>
      </c>
      <c r="S22" s="1">
        <f t="shared" si="3"/>
        <v>0</v>
      </c>
      <c r="U22" s="2">
        <v>9.9641999999999996E-11</v>
      </c>
      <c r="V22" s="2">
        <v>0</v>
      </c>
      <c r="W22" s="16">
        <v>0</v>
      </c>
      <c r="X22" s="1">
        <f t="shared" si="4"/>
        <v>0</v>
      </c>
      <c r="Z22" s="2">
        <v>9.9641999999999996E-11</v>
      </c>
      <c r="AA22" s="2">
        <v>0</v>
      </c>
      <c r="AB22" s="3">
        <v>0</v>
      </c>
      <c r="AC22" s="1">
        <f t="shared" si="5"/>
        <v>0</v>
      </c>
      <c r="AE22" s="2">
        <v>9.9641999999999996E-11</v>
      </c>
      <c r="AF22" s="2">
        <v>0</v>
      </c>
      <c r="AG22" s="3">
        <v>0</v>
      </c>
      <c r="AH22" s="1">
        <f t="shared" si="6"/>
        <v>0</v>
      </c>
      <c r="AJ22" s="2">
        <v>9.9641999999999996E-11</v>
      </c>
      <c r="AK22" s="2">
        <v>0</v>
      </c>
      <c r="AL22" s="3">
        <v>4.21422023061181E-2</v>
      </c>
      <c r="AM22" s="1">
        <f t="shared" si="7"/>
        <v>0</v>
      </c>
      <c r="AO22" s="2">
        <v>9.9641999999999996E-11</v>
      </c>
      <c r="AP22" s="2">
        <v>0</v>
      </c>
      <c r="AQ22" s="3">
        <v>5.5611925586081397E-4</v>
      </c>
      <c r="AR22" s="1">
        <f t="shared" si="8"/>
        <v>0</v>
      </c>
      <c r="AT22" s="2">
        <v>9.9641999999999996E-11</v>
      </c>
      <c r="AU22" s="2">
        <v>0</v>
      </c>
      <c r="AV22" s="3">
        <v>0</v>
      </c>
      <c r="AW22" s="1">
        <f t="shared" si="9"/>
        <v>0</v>
      </c>
    </row>
    <row r="23" spans="1:49" x14ac:dyDescent="0.3">
      <c r="A23" s="2">
        <v>1.1246000000000001E-10</v>
      </c>
      <c r="B23" s="2">
        <v>0</v>
      </c>
      <c r="C23" s="3">
        <v>0.27101686794968599</v>
      </c>
      <c r="D23" s="1">
        <f t="shared" si="0"/>
        <v>0</v>
      </c>
      <c r="F23" s="2">
        <v>1.1246000000000001E-10</v>
      </c>
      <c r="G23" s="2">
        <v>0</v>
      </c>
      <c r="H23" s="3">
        <v>0</v>
      </c>
      <c r="I23" s="1">
        <f t="shared" si="1"/>
        <v>0</v>
      </c>
      <c r="K23" s="2">
        <v>1.1246000000000001E-10</v>
      </c>
      <c r="L23" s="2">
        <v>0</v>
      </c>
      <c r="M23" s="3">
        <v>0</v>
      </c>
      <c r="N23" s="1">
        <f t="shared" si="2"/>
        <v>0</v>
      </c>
      <c r="P23" s="2">
        <v>1.1246000000000001E-10</v>
      </c>
      <c r="Q23" s="2">
        <v>0</v>
      </c>
      <c r="R23" s="3">
        <v>0</v>
      </c>
      <c r="S23" s="1">
        <f t="shared" si="3"/>
        <v>0</v>
      </c>
      <c r="U23" s="2">
        <v>1.1246000000000001E-10</v>
      </c>
      <c r="V23" s="2">
        <v>0</v>
      </c>
      <c r="W23" s="16">
        <v>0</v>
      </c>
      <c r="X23" s="1">
        <f t="shared" si="4"/>
        <v>0</v>
      </c>
      <c r="Z23" s="2">
        <v>1.1246000000000001E-10</v>
      </c>
      <c r="AA23" s="2">
        <v>0</v>
      </c>
      <c r="AB23" s="3">
        <v>0</v>
      </c>
      <c r="AC23" s="1">
        <f t="shared" si="5"/>
        <v>0</v>
      </c>
      <c r="AE23" s="2">
        <v>1.1246000000000001E-10</v>
      </c>
      <c r="AF23" s="2">
        <v>0</v>
      </c>
      <c r="AG23" s="3">
        <v>0</v>
      </c>
      <c r="AH23" s="1">
        <f t="shared" si="6"/>
        <v>0</v>
      </c>
      <c r="AJ23" s="2">
        <v>1.1246000000000001E-10</v>
      </c>
      <c r="AK23" s="2">
        <v>0</v>
      </c>
      <c r="AL23" s="3">
        <v>4.0125647489845602E-2</v>
      </c>
      <c r="AM23" s="1">
        <f t="shared" si="7"/>
        <v>0</v>
      </c>
      <c r="AO23" s="2">
        <v>1.1246000000000001E-10</v>
      </c>
      <c r="AP23" s="2">
        <v>0</v>
      </c>
      <c r="AQ23" s="3">
        <v>5.2950907849360002E-4</v>
      </c>
      <c r="AR23" s="1">
        <f t="shared" si="8"/>
        <v>0</v>
      </c>
      <c r="AT23" s="2">
        <v>1.1246000000000001E-10</v>
      </c>
      <c r="AU23" s="2">
        <v>0</v>
      </c>
      <c r="AV23" s="3">
        <v>0</v>
      </c>
      <c r="AW23" s="1">
        <f t="shared" si="9"/>
        <v>0</v>
      </c>
    </row>
    <row r="24" spans="1:49" x14ac:dyDescent="0.3">
      <c r="A24" s="2">
        <v>1.2692000000000001E-10</v>
      </c>
      <c r="B24" s="2">
        <v>0</v>
      </c>
      <c r="C24" s="3">
        <v>0.25805009259420297</v>
      </c>
      <c r="D24" s="1">
        <f t="shared" si="0"/>
        <v>0</v>
      </c>
      <c r="F24" s="2">
        <v>1.2692000000000001E-10</v>
      </c>
      <c r="G24" s="2">
        <v>0</v>
      </c>
      <c r="H24" s="3">
        <v>0</v>
      </c>
      <c r="I24" s="1">
        <f t="shared" si="1"/>
        <v>0</v>
      </c>
      <c r="K24" s="2">
        <v>1.2692000000000001E-10</v>
      </c>
      <c r="L24" s="2">
        <v>0</v>
      </c>
      <c r="M24" s="3">
        <v>0</v>
      </c>
      <c r="N24" s="1">
        <f t="shared" si="2"/>
        <v>0</v>
      </c>
      <c r="P24" s="2">
        <v>1.2692000000000001E-10</v>
      </c>
      <c r="Q24" s="2">
        <v>0</v>
      </c>
      <c r="R24" s="3">
        <v>0</v>
      </c>
      <c r="S24" s="1">
        <f t="shared" si="3"/>
        <v>0</v>
      </c>
      <c r="U24" s="2">
        <v>1.2692000000000001E-10</v>
      </c>
      <c r="V24" s="2">
        <v>0</v>
      </c>
      <c r="W24" s="16">
        <v>0</v>
      </c>
      <c r="X24" s="1">
        <f t="shared" si="4"/>
        <v>0</v>
      </c>
      <c r="Z24" s="2">
        <v>1.2692000000000001E-10</v>
      </c>
      <c r="AA24" s="2">
        <v>0</v>
      </c>
      <c r="AB24" s="3">
        <v>0</v>
      </c>
      <c r="AC24" s="1">
        <f t="shared" si="5"/>
        <v>0</v>
      </c>
      <c r="AE24" s="2">
        <v>1.2692000000000001E-10</v>
      </c>
      <c r="AF24" s="2">
        <v>0</v>
      </c>
      <c r="AG24" s="3">
        <v>0</v>
      </c>
      <c r="AH24" s="1">
        <f t="shared" si="6"/>
        <v>0</v>
      </c>
      <c r="AJ24" s="2">
        <v>1.2692000000000001E-10</v>
      </c>
      <c r="AK24" s="2">
        <v>0</v>
      </c>
      <c r="AL24" s="3">
        <v>3.8205592854228303E-2</v>
      </c>
      <c r="AM24" s="1">
        <f t="shared" si="7"/>
        <v>0</v>
      </c>
      <c r="AO24" s="2">
        <v>1.2692000000000001E-10</v>
      </c>
      <c r="AP24" s="2">
        <v>0</v>
      </c>
      <c r="AQ24" s="3">
        <v>5.0417169763327795E-4</v>
      </c>
      <c r="AR24" s="1">
        <f t="shared" si="8"/>
        <v>0</v>
      </c>
      <c r="AT24" s="2">
        <v>1.2692000000000001E-10</v>
      </c>
      <c r="AU24" s="2">
        <v>0</v>
      </c>
      <c r="AV24" s="3">
        <v>0</v>
      </c>
      <c r="AW24" s="1">
        <f t="shared" si="9"/>
        <v>0</v>
      </c>
    </row>
    <row r="25" spans="1:49" x14ac:dyDescent="0.3">
      <c r="A25" s="2">
        <v>1.4325E-10</v>
      </c>
      <c r="B25" s="2">
        <v>0</v>
      </c>
      <c r="C25" s="3">
        <v>0.23982545341403</v>
      </c>
      <c r="D25" s="1">
        <f t="shared" si="0"/>
        <v>0</v>
      </c>
      <c r="F25" s="2">
        <v>1.4325E-10</v>
      </c>
      <c r="G25" s="2">
        <v>0</v>
      </c>
      <c r="H25" s="3">
        <v>0</v>
      </c>
      <c r="I25" s="1">
        <f t="shared" si="1"/>
        <v>0</v>
      </c>
      <c r="K25" s="2">
        <v>1.4325E-10</v>
      </c>
      <c r="L25" s="2">
        <v>0</v>
      </c>
      <c r="M25" s="3">
        <v>0</v>
      </c>
      <c r="N25" s="1">
        <f t="shared" si="2"/>
        <v>0</v>
      </c>
      <c r="P25" s="2">
        <v>1.4325E-10</v>
      </c>
      <c r="Q25" s="2">
        <v>0</v>
      </c>
      <c r="R25" s="3">
        <v>0</v>
      </c>
      <c r="S25" s="1">
        <f t="shared" si="3"/>
        <v>0</v>
      </c>
      <c r="U25" s="2">
        <v>1.4325E-10</v>
      </c>
      <c r="V25" s="2">
        <v>0</v>
      </c>
      <c r="W25" s="16">
        <v>0</v>
      </c>
      <c r="X25" s="1">
        <f t="shared" si="4"/>
        <v>0</v>
      </c>
      <c r="Z25" s="2">
        <v>1.4325E-10</v>
      </c>
      <c r="AA25" s="2">
        <v>0</v>
      </c>
      <c r="AB25" s="3">
        <v>0</v>
      </c>
      <c r="AC25" s="1">
        <f t="shared" si="5"/>
        <v>0</v>
      </c>
      <c r="AE25" s="2">
        <v>1.4325E-10</v>
      </c>
      <c r="AF25" s="2">
        <v>0</v>
      </c>
      <c r="AG25" s="3">
        <v>0</v>
      </c>
      <c r="AH25" s="1">
        <f t="shared" si="6"/>
        <v>0</v>
      </c>
      <c r="AJ25" s="2">
        <v>1.4325E-10</v>
      </c>
      <c r="AK25" s="2">
        <v>0</v>
      </c>
      <c r="AL25" s="3">
        <v>3.5507042982644399E-2</v>
      </c>
      <c r="AM25" s="1">
        <f t="shared" si="7"/>
        <v>0</v>
      </c>
      <c r="AO25" s="2">
        <v>1.4325E-10</v>
      </c>
      <c r="AP25" s="2">
        <v>0</v>
      </c>
      <c r="AQ25" s="3">
        <v>4.6856096503970302E-4</v>
      </c>
      <c r="AR25" s="1">
        <f t="shared" si="8"/>
        <v>0</v>
      </c>
      <c r="AT25" s="2">
        <v>1.4325E-10</v>
      </c>
      <c r="AU25" s="2">
        <v>0</v>
      </c>
      <c r="AV25" s="3">
        <v>0</v>
      </c>
      <c r="AW25" s="1">
        <f t="shared" si="9"/>
        <v>0</v>
      </c>
    </row>
    <row r="26" spans="1:49" x14ac:dyDescent="0.3">
      <c r="A26" s="2">
        <v>1.6167E-10</v>
      </c>
      <c r="B26" s="2">
        <v>0</v>
      </c>
      <c r="C26" s="3">
        <v>0.22275393295773599</v>
      </c>
      <c r="D26" s="1">
        <f t="shared" si="0"/>
        <v>0</v>
      </c>
      <c r="F26" s="2">
        <v>1.6167E-10</v>
      </c>
      <c r="G26" s="2">
        <v>0</v>
      </c>
      <c r="H26" s="3">
        <v>0</v>
      </c>
      <c r="I26" s="1">
        <f t="shared" si="1"/>
        <v>0</v>
      </c>
      <c r="K26" s="2">
        <v>1.6167E-10</v>
      </c>
      <c r="L26" s="2">
        <v>0</v>
      </c>
      <c r="M26" s="3">
        <v>0</v>
      </c>
      <c r="N26" s="1">
        <f t="shared" si="2"/>
        <v>0</v>
      </c>
      <c r="P26" s="2">
        <v>1.6167E-10</v>
      </c>
      <c r="Q26" s="2">
        <v>0</v>
      </c>
      <c r="R26" s="3">
        <v>0</v>
      </c>
      <c r="S26" s="1">
        <f t="shared" si="3"/>
        <v>0</v>
      </c>
      <c r="U26" s="2">
        <v>1.6167E-10</v>
      </c>
      <c r="V26" s="2">
        <v>0</v>
      </c>
      <c r="W26" s="16">
        <v>0</v>
      </c>
      <c r="X26" s="1">
        <f t="shared" si="4"/>
        <v>0</v>
      </c>
      <c r="Z26" s="2">
        <v>1.6167E-10</v>
      </c>
      <c r="AA26" s="2">
        <v>0</v>
      </c>
      <c r="AB26" s="3">
        <v>0</v>
      </c>
      <c r="AC26" s="1">
        <f t="shared" si="5"/>
        <v>0</v>
      </c>
      <c r="AE26" s="2">
        <v>1.6167E-10</v>
      </c>
      <c r="AF26" s="2">
        <v>0</v>
      </c>
      <c r="AG26" s="3">
        <v>0</v>
      </c>
      <c r="AH26" s="1">
        <f t="shared" si="6"/>
        <v>0</v>
      </c>
      <c r="AJ26" s="2">
        <v>1.6167E-10</v>
      </c>
      <c r="AK26" s="2">
        <v>0</v>
      </c>
      <c r="AL26" s="3">
        <v>3.2979292059553897E-2</v>
      </c>
      <c r="AM26" s="1">
        <f t="shared" si="7"/>
        <v>0</v>
      </c>
      <c r="AO26" s="2">
        <v>1.6167E-10</v>
      </c>
      <c r="AP26" s="2">
        <v>0</v>
      </c>
      <c r="AQ26" s="3">
        <v>4.3520450669263101E-4</v>
      </c>
      <c r="AR26" s="1">
        <f t="shared" si="8"/>
        <v>0</v>
      </c>
      <c r="AT26" s="2">
        <v>1.6167E-10</v>
      </c>
      <c r="AU26" s="2">
        <v>0</v>
      </c>
      <c r="AV26" s="3">
        <v>0</v>
      </c>
      <c r="AW26" s="1">
        <f t="shared" si="9"/>
        <v>0</v>
      </c>
    </row>
    <row r="27" spans="1:49" x14ac:dyDescent="0.3">
      <c r="A27" s="2">
        <v>1.8246999999999999E-10</v>
      </c>
      <c r="B27" s="2">
        <v>0</v>
      </c>
      <c r="C27" s="3">
        <v>0.212095182830976</v>
      </c>
      <c r="D27" s="1">
        <f t="shared" si="0"/>
        <v>0</v>
      </c>
      <c r="F27" s="2">
        <v>1.8246999999999999E-10</v>
      </c>
      <c r="G27" s="2">
        <v>0</v>
      </c>
      <c r="H27" s="3">
        <v>0</v>
      </c>
      <c r="I27" s="1">
        <f t="shared" si="1"/>
        <v>0</v>
      </c>
      <c r="K27" s="2">
        <v>1.8246999999999999E-10</v>
      </c>
      <c r="L27" s="2">
        <v>0</v>
      </c>
      <c r="M27" s="3">
        <v>0</v>
      </c>
      <c r="N27" s="1">
        <f t="shared" si="2"/>
        <v>0</v>
      </c>
      <c r="P27" s="2">
        <v>1.8246999999999999E-10</v>
      </c>
      <c r="Q27" s="2">
        <v>0</v>
      </c>
      <c r="R27" s="3">
        <v>0</v>
      </c>
      <c r="S27" s="1">
        <f t="shared" si="3"/>
        <v>0</v>
      </c>
      <c r="U27" s="2">
        <v>1.8246999999999999E-10</v>
      </c>
      <c r="V27" s="2">
        <v>0</v>
      </c>
      <c r="W27" s="16">
        <v>0</v>
      </c>
      <c r="X27" s="1">
        <f t="shared" si="4"/>
        <v>0</v>
      </c>
      <c r="Z27" s="2">
        <v>1.8246999999999999E-10</v>
      </c>
      <c r="AA27" s="2">
        <v>0</v>
      </c>
      <c r="AB27" s="3">
        <v>0</v>
      </c>
      <c r="AC27" s="1">
        <f t="shared" si="5"/>
        <v>0</v>
      </c>
      <c r="AE27" s="2">
        <v>1.8246999999999999E-10</v>
      </c>
      <c r="AF27" s="2">
        <v>0</v>
      </c>
      <c r="AG27" s="3">
        <v>0</v>
      </c>
      <c r="AH27" s="1">
        <f t="shared" si="6"/>
        <v>0</v>
      </c>
      <c r="AJ27" s="2">
        <v>1.8246999999999999E-10</v>
      </c>
      <c r="AK27" s="2">
        <v>0</v>
      </c>
      <c r="AL27" s="3">
        <v>3.1401178389112702E-2</v>
      </c>
      <c r="AM27" s="1">
        <f t="shared" si="7"/>
        <v>0</v>
      </c>
      <c r="AO27" s="2">
        <v>1.8246999999999999E-10</v>
      </c>
      <c r="AP27" s="2">
        <v>0</v>
      </c>
      <c r="AQ27" s="3">
        <v>4.1437935027190901E-4</v>
      </c>
      <c r="AR27" s="1">
        <f t="shared" si="8"/>
        <v>0</v>
      </c>
      <c r="AT27" s="2">
        <v>1.8246999999999999E-10</v>
      </c>
      <c r="AU27" s="2">
        <v>0</v>
      </c>
      <c r="AV27" s="3">
        <v>0</v>
      </c>
      <c r="AW27" s="1">
        <f t="shared" si="9"/>
        <v>0</v>
      </c>
    </row>
    <row r="28" spans="1:49" x14ac:dyDescent="0.3">
      <c r="A28" s="2">
        <v>2.0593999999999999E-10</v>
      </c>
      <c r="B28" s="2">
        <v>0</v>
      </c>
      <c r="C28" s="3">
        <v>0.20194773806085001</v>
      </c>
      <c r="D28" s="1">
        <f t="shared" si="0"/>
        <v>0</v>
      </c>
      <c r="F28" s="2">
        <v>2.0593999999999999E-10</v>
      </c>
      <c r="G28" s="2">
        <v>0</v>
      </c>
      <c r="H28" s="3">
        <v>0</v>
      </c>
      <c r="I28" s="1">
        <f t="shared" si="1"/>
        <v>0</v>
      </c>
      <c r="K28" s="2">
        <v>2.0593999999999999E-10</v>
      </c>
      <c r="L28" s="2">
        <v>0</v>
      </c>
      <c r="M28" s="3">
        <v>0</v>
      </c>
      <c r="N28" s="1">
        <f t="shared" si="2"/>
        <v>0</v>
      </c>
      <c r="P28" s="2">
        <v>2.0593999999999999E-10</v>
      </c>
      <c r="Q28" s="2">
        <v>0</v>
      </c>
      <c r="R28" s="3">
        <v>0</v>
      </c>
      <c r="S28" s="1">
        <f t="shared" si="3"/>
        <v>0</v>
      </c>
      <c r="U28" s="2">
        <v>2.0593999999999999E-10</v>
      </c>
      <c r="V28" s="2">
        <v>0</v>
      </c>
      <c r="W28" s="16">
        <v>0</v>
      </c>
      <c r="X28" s="1">
        <f t="shared" si="4"/>
        <v>0</v>
      </c>
      <c r="Z28" s="2">
        <v>2.0593999999999999E-10</v>
      </c>
      <c r="AA28" s="2">
        <v>0</v>
      </c>
      <c r="AB28" s="3">
        <v>0</v>
      </c>
      <c r="AC28" s="1">
        <f t="shared" si="5"/>
        <v>0</v>
      </c>
      <c r="AE28" s="2">
        <v>2.0593999999999999E-10</v>
      </c>
      <c r="AF28" s="2">
        <v>0</v>
      </c>
      <c r="AG28" s="3">
        <v>0</v>
      </c>
      <c r="AH28" s="1">
        <f t="shared" si="6"/>
        <v>0</v>
      </c>
      <c r="AJ28" s="2">
        <v>2.0593999999999999E-10</v>
      </c>
      <c r="AK28" s="2">
        <v>0</v>
      </c>
      <c r="AL28" s="3">
        <v>2.9898637739783799E-2</v>
      </c>
      <c r="AM28" s="1">
        <f t="shared" si="7"/>
        <v>0</v>
      </c>
      <c r="AO28" s="2">
        <v>2.0593999999999999E-10</v>
      </c>
      <c r="AP28" s="2">
        <v>0</v>
      </c>
      <c r="AQ28" s="3">
        <v>3.9455129436380599E-4</v>
      </c>
      <c r="AR28" s="1">
        <f t="shared" si="8"/>
        <v>0</v>
      </c>
      <c r="AT28" s="2">
        <v>2.0593999999999999E-10</v>
      </c>
      <c r="AU28" s="2">
        <v>0</v>
      </c>
      <c r="AV28" s="3">
        <v>0</v>
      </c>
      <c r="AW28" s="1">
        <f t="shared" si="9"/>
        <v>0</v>
      </c>
    </row>
    <row r="29" spans="1:49" x14ac:dyDescent="0.3">
      <c r="A29" s="2">
        <v>2.3242999999999999E-10</v>
      </c>
      <c r="B29" s="2">
        <v>0</v>
      </c>
      <c r="C29" s="3">
        <v>0.18768660928507599</v>
      </c>
      <c r="D29" s="1">
        <f t="shared" si="0"/>
        <v>0</v>
      </c>
      <c r="F29" s="2">
        <v>2.3242999999999999E-10</v>
      </c>
      <c r="G29" s="2">
        <v>0</v>
      </c>
      <c r="H29" s="3">
        <v>0</v>
      </c>
      <c r="I29" s="1">
        <f t="shared" si="1"/>
        <v>0</v>
      </c>
      <c r="K29" s="2">
        <v>2.3242999999999999E-10</v>
      </c>
      <c r="L29" s="2">
        <v>0</v>
      </c>
      <c r="M29" s="3">
        <v>0</v>
      </c>
      <c r="N29" s="1">
        <f t="shared" si="2"/>
        <v>0</v>
      </c>
      <c r="P29" s="2">
        <v>2.3242999999999999E-10</v>
      </c>
      <c r="Q29" s="2">
        <v>0</v>
      </c>
      <c r="R29" s="3">
        <v>0</v>
      </c>
      <c r="S29" s="1">
        <f t="shared" si="3"/>
        <v>0</v>
      </c>
      <c r="U29" s="2">
        <v>2.3242999999999999E-10</v>
      </c>
      <c r="V29" s="2">
        <v>0</v>
      </c>
      <c r="W29" s="16">
        <v>0</v>
      </c>
      <c r="X29" s="1">
        <f t="shared" si="4"/>
        <v>0</v>
      </c>
      <c r="Z29" s="2">
        <v>2.3242999999999999E-10</v>
      </c>
      <c r="AA29" s="2">
        <v>0</v>
      </c>
      <c r="AB29" s="3">
        <v>0</v>
      </c>
      <c r="AC29" s="1">
        <f t="shared" si="5"/>
        <v>0</v>
      </c>
      <c r="AE29" s="2">
        <v>2.3242999999999999E-10</v>
      </c>
      <c r="AF29" s="2">
        <v>0</v>
      </c>
      <c r="AG29" s="3">
        <v>0</v>
      </c>
      <c r="AH29" s="1">
        <f t="shared" si="6"/>
        <v>0</v>
      </c>
      <c r="AJ29" s="2">
        <v>2.3242999999999999E-10</v>
      </c>
      <c r="AK29" s="2">
        <v>0</v>
      </c>
      <c r="AL29" s="3">
        <v>2.77868324912597E-2</v>
      </c>
      <c r="AM29" s="1">
        <f t="shared" si="7"/>
        <v>0</v>
      </c>
      <c r="AO29" s="2">
        <v>2.3242999999999999E-10</v>
      </c>
      <c r="AP29" s="2">
        <v>0</v>
      </c>
      <c r="AQ29" s="3">
        <v>3.6668348376938298E-4</v>
      </c>
      <c r="AR29" s="1">
        <f t="shared" si="8"/>
        <v>0</v>
      </c>
      <c r="AT29" s="2">
        <v>2.3242999999999999E-10</v>
      </c>
      <c r="AU29" s="2">
        <v>0</v>
      </c>
      <c r="AV29" s="3">
        <v>0</v>
      </c>
      <c r="AW29" s="1">
        <f t="shared" si="9"/>
        <v>0</v>
      </c>
    </row>
    <row r="30" spans="1:49" x14ac:dyDescent="0.3">
      <c r="A30" s="2">
        <v>2.6233000000000001E-10</v>
      </c>
      <c r="B30" s="2">
        <v>0</v>
      </c>
      <c r="C30" s="3">
        <v>0.174327237229185</v>
      </c>
      <c r="D30" s="1">
        <f t="shared" si="0"/>
        <v>0</v>
      </c>
      <c r="F30" s="2">
        <v>2.6233000000000001E-10</v>
      </c>
      <c r="G30" s="2">
        <v>0</v>
      </c>
      <c r="H30" s="3">
        <v>0</v>
      </c>
      <c r="I30" s="1">
        <f t="shared" si="1"/>
        <v>0</v>
      </c>
      <c r="K30" s="2">
        <v>2.6233000000000001E-10</v>
      </c>
      <c r="L30" s="2">
        <v>0</v>
      </c>
      <c r="M30" s="3">
        <v>0</v>
      </c>
      <c r="N30" s="1">
        <f t="shared" si="2"/>
        <v>0</v>
      </c>
      <c r="P30" s="2">
        <v>2.6233000000000001E-10</v>
      </c>
      <c r="Q30" s="2">
        <v>0</v>
      </c>
      <c r="R30" s="3">
        <v>0</v>
      </c>
      <c r="S30" s="1">
        <f t="shared" si="3"/>
        <v>0</v>
      </c>
      <c r="U30" s="2">
        <v>2.6233000000000001E-10</v>
      </c>
      <c r="V30" s="2">
        <v>0</v>
      </c>
      <c r="W30" s="16">
        <v>0</v>
      </c>
      <c r="X30" s="1">
        <f t="shared" si="4"/>
        <v>0</v>
      </c>
      <c r="Z30" s="2">
        <v>2.6233000000000001E-10</v>
      </c>
      <c r="AA30" s="2">
        <v>0</v>
      </c>
      <c r="AB30" s="3">
        <v>0</v>
      </c>
      <c r="AC30" s="1">
        <f t="shared" si="5"/>
        <v>0</v>
      </c>
      <c r="AE30" s="2">
        <v>2.6233000000000001E-10</v>
      </c>
      <c r="AF30" s="2">
        <v>0</v>
      </c>
      <c r="AG30" s="3">
        <v>0</v>
      </c>
      <c r="AH30" s="1">
        <f t="shared" si="6"/>
        <v>0</v>
      </c>
      <c r="AJ30" s="2">
        <v>2.6233000000000001E-10</v>
      </c>
      <c r="AK30" s="2">
        <v>0</v>
      </c>
      <c r="AL30" s="3">
        <v>2.5808676807309801E-2</v>
      </c>
      <c r="AM30" s="1">
        <f t="shared" si="7"/>
        <v>0</v>
      </c>
      <c r="AO30" s="2">
        <v>2.6233000000000001E-10</v>
      </c>
      <c r="AP30" s="2">
        <v>0</v>
      </c>
      <c r="AQ30" s="3">
        <v>3.4057920855165899E-4</v>
      </c>
      <c r="AR30" s="1">
        <f t="shared" si="8"/>
        <v>0</v>
      </c>
      <c r="AT30" s="2">
        <v>2.6233000000000001E-10</v>
      </c>
      <c r="AU30" s="2">
        <v>0</v>
      </c>
      <c r="AV30" s="3">
        <v>0</v>
      </c>
      <c r="AW30" s="1">
        <f t="shared" si="9"/>
        <v>0</v>
      </c>
    </row>
    <row r="31" spans="1:49" x14ac:dyDescent="0.3">
      <c r="A31" s="2">
        <v>2.9606999999999999E-10</v>
      </c>
      <c r="B31" s="2">
        <v>0</v>
      </c>
      <c r="C31" s="3">
        <v>0.16598706023885501</v>
      </c>
      <c r="D31" s="1">
        <f t="shared" si="0"/>
        <v>0</v>
      </c>
      <c r="F31" s="2">
        <v>2.9606999999999999E-10</v>
      </c>
      <c r="G31" s="2">
        <v>0</v>
      </c>
      <c r="H31" s="3">
        <v>0</v>
      </c>
      <c r="I31" s="1">
        <f t="shared" si="1"/>
        <v>0</v>
      </c>
      <c r="K31" s="2">
        <v>2.9606999999999999E-10</v>
      </c>
      <c r="L31" s="2">
        <v>0</v>
      </c>
      <c r="M31" s="3">
        <v>0</v>
      </c>
      <c r="N31" s="1">
        <f t="shared" si="2"/>
        <v>0</v>
      </c>
      <c r="P31" s="2">
        <v>2.9606999999999999E-10</v>
      </c>
      <c r="Q31" s="2">
        <v>0</v>
      </c>
      <c r="R31" s="3">
        <v>0</v>
      </c>
      <c r="S31" s="1">
        <f t="shared" si="3"/>
        <v>0</v>
      </c>
      <c r="U31" s="2">
        <v>2.9606999999999999E-10</v>
      </c>
      <c r="V31" s="2">
        <v>0</v>
      </c>
      <c r="W31" s="16">
        <v>0</v>
      </c>
      <c r="X31" s="1">
        <f t="shared" si="4"/>
        <v>0</v>
      </c>
      <c r="Z31" s="2">
        <v>2.9606999999999999E-10</v>
      </c>
      <c r="AA31" s="2">
        <v>0</v>
      </c>
      <c r="AB31" s="3">
        <v>0</v>
      </c>
      <c r="AC31" s="1">
        <f t="shared" si="5"/>
        <v>0</v>
      </c>
      <c r="AE31" s="2">
        <v>2.9606999999999999E-10</v>
      </c>
      <c r="AF31" s="2">
        <v>0</v>
      </c>
      <c r="AG31" s="3">
        <v>0</v>
      </c>
      <c r="AH31" s="1">
        <f t="shared" si="6"/>
        <v>0</v>
      </c>
      <c r="AJ31" s="2">
        <v>2.9606999999999999E-10</v>
      </c>
      <c r="AK31" s="2">
        <v>0</v>
      </c>
      <c r="AL31" s="3">
        <v>2.45736803358362E-2</v>
      </c>
      <c r="AM31" s="1">
        <f t="shared" si="7"/>
        <v>0</v>
      </c>
      <c r="AO31" s="2">
        <v>2.9606999999999999E-10</v>
      </c>
      <c r="AP31" s="2">
        <v>0</v>
      </c>
      <c r="AQ31" s="3">
        <v>3.2428281833019198E-4</v>
      </c>
      <c r="AR31" s="1">
        <f t="shared" si="8"/>
        <v>0</v>
      </c>
      <c r="AT31" s="2">
        <v>2.9606999999999999E-10</v>
      </c>
      <c r="AU31" s="2">
        <v>0</v>
      </c>
      <c r="AV31" s="3">
        <v>0</v>
      </c>
      <c r="AW31" s="1">
        <f t="shared" si="9"/>
        <v>0</v>
      </c>
    </row>
    <row r="32" spans="1:49" x14ac:dyDescent="0.3">
      <c r="A32" s="2">
        <v>3.3414999999999998E-10</v>
      </c>
      <c r="B32" s="2">
        <v>0</v>
      </c>
      <c r="C32" s="3">
        <v>0.158046094738512</v>
      </c>
      <c r="D32" s="1">
        <f t="shared" si="0"/>
        <v>0</v>
      </c>
      <c r="F32" s="2">
        <v>3.3414999999999998E-10</v>
      </c>
      <c r="G32" s="2">
        <v>0</v>
      </c>
      <c r="H32" s="3">
        <v>0</v>
      </c>
      <c r="I32" s="1">
        <f t="shared" si="1"/>
        <v>0</v>
      </c>
      <c r="K32" s="2">
        <v>3.3414999999999998E-10</v>
      </c>
      <c r="L32" s="2">
        <v>0</v>
      </c>
      <c r="M32" s="3">
        <v>0</v>
      </c>
      <c r="N32" s="1">
        <f t="shared" si="2"/>
        <v>0</v>
      </c>
      <c r="P32" s="2">
        <v>3.3414999999999998E-10</v>
      </c>
      <c r="Q32" s="2">
        <v>0</v>
      </c>
      <c r="R32" s="3">
        <v>0</v>
      </c>
      <c r="S32" s="1">
        <f t="shared" si="3"/>
        <v>0</v>
      </c>
      <c r="U32" s="2">
        <v>3.3414999999999998E-10</v>
      </c>
      <c r="V32" s="2">
        <v>0</v>
      </c>
      <c r="W32" s="16">
        <v>0</v>
      </c>
      <c r="X32" s="1">
        <f t="shared" si="4"/>
        <v>0</v>
      </c>
      <c r="Z32" s="2">
        <v>3.3414999999999998E-10</v>
      </c>
      <c r="AA32" s="2">
        <v>0</v>
      </c>
      <c r="AB32" s="3">
        <v>0</v>
      </c>
      <c r="AC32" s="1">
        <f t="shared" si="5"/>
        <v>0</v>
      </c>
      <c r="AE32" s="2">
        <v>3.3414999999999998E-10</v>
      </c>
      <c r="AF32" s="2">
        <v>0</v>
      </c>
      <c r="AG32" s="3">
        <v>0</v>
      </c>
      <c r="AH32" s="1">
        <f t="shared" si="6"/>
        <v>0</v>
      </c>
      <c r="AJ32" s="2">
        <v>3.3414999999999998E-10</v>
      </c>
      <c r="AK32" s="2">
        <v>0</v>
      </c>
      <c r="AL32" s="3">
        <v>2.3397789612392202E-2</v>
      </c>
      <c r="AM32" s="1">
        <f t="shared" si="7"/>
        <v>0</v>
      </c>
      <c r="AO32" s="2">
        <v>3.3414999999999998E-10</v>
      </c>
      <c r="AP32" s="2">
        <v>0</v>
      </c>
      <c r="AQ32" s="3">
        <v>3.0876572878586799E-4</v>
      </c>
      <c r="AR32" s="1">
        <f t="shared" si="8"/>
        <v>0</v>
      </c>
      <c r="AT32" s="2">
        <v>3.3414999999999998E-10</v>
      </c>
      <c r="AU32" s="2">
        <v>0</v>
      </c>
      <c r="AV32" s="3">
        <v>0</v>
      </c>
      <c r="AW32" s="1">
        <f t="shared" si="9"/>
        <v>0</v>
      </c>
    </row>
    <row r="33" spans="1:49" x14ac:dyDescent="0.3">
      <c r="A33" s="2">
        <v>3.7713000000000002E-10</v>
      </c>
      <c r="B33" s="2">
        <v>0</v>
      </c>
      <c r="C33" s="3">
        <v>0.14688569327234199</v>
      </c>
      <c r="D33" s="1">
        <f t="shared" si="0"/>
        <v>0</v>
      </c>
      <c r="F33" s="2">
        <v>3.7713000000000002E-10</v>
      </c>
      <c r="G33" s="2">
        <v>0</v>
      </c>
      <c r="H33" s="3">
        <v>0</v>
      </c>
      <c r="I33" s="1">
        <f t="shared" si="1"/>
        <v>0</v>
      </c>
      <c r="K33" s="2">
        <v>3.7713000000000002E-10</v>
      </c>
      <c r="L33" s="2">
        <v>0</v>
      </c>
      <c r="M33" s="3">
        <v>0</v>
      </c>
      <c r="N33" s="1">
        <f t="shared" si="2"/>
        <v>0</v>
      </c>
      <c r="P33" s="2">
        <v>3.7713000000000002E-10</v>
      </c>
      <c r="Q33" s="2">
        <v>0</v>
      </c>
      <c r="R33" s="3">
        <v>0</v>
      </c>
      <c r="S33" s="1">
        <f t="shared" si="3"/>
        <v>0</v>
      </c>
      <c r="U33" s="2">
        <v>3.7713000000000002E-10</v>
      </c>
      <c r="V33" s="2">
        <v>0</v>
      </c>
      <c r="W33" s="16">
        <v>0</v>
      </c>
      <c r="X33" s="1">
        <f t="shared" si="4"/>
        <v>0</v>
      </c>
      <c r="Z33" s="2">
        <v>3.7713000000000002E-10</v>
      </c>
      <c r="AA33" s="2">
        <v>0</v>
      </c>
      <c r="AB33" s="3">
        <v>0</v>
      </c>
      <c r="AC33" s="1">
        <f t="shared" si="5"/>
        <v>0</v>
      </c>
      <c r="AE33" s="2">
        <v>3.7713000000000002E-10</v>
      </c>
      <c r="AF33" s="2">
        <v>0</v>
      </c>
      <c r="AG33" s="3">
        <v>0</v>
      </c>
      <c r="AH33" s="1">
        <f t="shared" si="6"/>
        <v>0</v>
      </c>
      <c r="AJ33" s="2">
        <v>3.7713000000000002E-10</v>
      </c>
      <c r="AK33" s="2">
        <v>0</v>
      </c>
      <c r="AL33" s="3">
        <v>2.1745156630276902E-2</v>
      </c>
      <c r="AM33" s="1">
        <f t="shared" si="7"/>
        <v>0</v>
      </c>
      <c r="AO33" s="2">
        <v>3.7713000000000002E-10</v>
      </c>
      <c r="AP33" s="2">
        <v>0</v>
      </c>
      <c r="AQ33" s="3">
        <v>2.8695725665223902E-4</v>
      </c>
      <c r="AR33" s="1">
        <f t="shared" si="8"/>
        <v>0</v>
      </c>
      <c r="AT33" s="2">
        <v>3.7713000000000002E-10</v>
      </c>
      <c r="AU33" s="2">
        <v>0</v>
      </c>
      <c r="AV33" s="3">
        <v>0</v>
      </c>
      <c r="AW33" s="1">
        <f t="shared" si="9"/>
        <v>0</v>
      </c>
    </row>
    <row r="34" spans="1:49" x14ac:dyDescent="0.3">
      <c r="A34" s="2">
        <v>4.2563999999999999E-10</v>
      </c>
      <c r="B34" s="2">
        <v>0</v>
      </c>
      <c r="C34" s="3">
        <v>0.13643182284442901</v>
      </c>
      <c r="D34" s="1">
        <f t="shared" si="0"/>
        <v>0</v>
      </c>
      <c r="F34" s="2">
        <v>4.2563999999999999E-10</v>
      </c>
      <c r="G34" s="2">
        <v>0</v>
      </c>
      <c r="H34" s="3">
        <v>0</v>
      </c>
      <c r="I34" s="1">
        <f t="shared" si="1"/>
        <v>0</v>
      </c>
      <c r="K34" s="2">
        <v>4.2563999999999999E-10</v>
      </c>
      <c r="L34" s="2">
        <v>0</v>
      </c>
      <c r="M34" s="3">
        <v>0</v>
      </c>
      <c r="N34" s="1">
        <f t="shared" si="2"/>
        <v>0</v>
      </c>
      <c r="P34" s="2">
        <v>4.2563999999999999E-10</v>
      </c>
      <c r="Q34" s="2">
        <v>0</v>
      </c>
      <c r="R34" s="3">
        <v>0</v>
      </c>
      <c r="S34" s="1">
        <f t="shared" si="3"/>
        <v>0</v>
      </c>
      <c r="U34" s="2">
        <v>4.2563999999999999E-10</v>
      </c>
      <c r="V34" s="2">
        <v>0</v>
      </c>
      <c r="W34" s="16">
        <v>0</v>
      </c>
      <c r="X34" s="1">
        <f t="shared" si="4"/>
        <v>0</v>
      </c>
      <c r="Z34" s="2">
        <v>4.2563999999999999E-10</v>
      </c>
      <c r="AA34" s="2">
        <v>0</v>
      </c>
      <c r="AB34" s="3">
        <v>0</v>
      </c>
      <c r="AC34" s="1">
        <f t="shared" si="5"/>
        <v>0</v>
      </c>
      <c r="AE34" s="2">
        <v>4.2563999999999999E-10</v>
      </c>
      <c r="AF34" s="2">
        <v>0</v>
      </c>
      <c r="AG34" s="3">
        <v>0</v>
      </c>
      <c r="AH34" s="1">
        <f t="shared" si="6"/>
        <v>0</v>
      </c>
      <c r="AJ34" s="2">
        <v>4.2563999999999999E-10</v>
      </c>
      <c r="AK34" s="2">
        <v>0</v>
      </c>
      <c r="AL34" s="3">
        <v>2.0197110436134199E-2</v>
      </c>
      <c r="AM34" s="1">
        <f t="shared" si="7"/>
        <v>0</v>
      </c>
      <c r="AO34" s="2">
        <v>4.2563999999999999E-10</v>
      </c>
      <c r="AP34" s="2">
        <v>0</v>
      </c>
      <c r="AQ34" s="3">
        <v>2.6652910246326898E-4</v>
      </c>
      <c r="AR34" s="1">
        <f t="shared" si="8"/>
        <v>0</v>
      </c>
      <c r="AT34" s="2">
        <v>4.2563999999999999E-10</v>
      </c>
      <c r="AU34" s="2">
        <v>0</v>
      </c>
      <c r="AV34" s="3">
        <v>0</v>
      </c>
      <c r="AW34" s="1">
        <f t="shared" si="9"/>
        <v>0</v>
      </c>
    </row>
    <row r="35" spans="1:49" x14ac:dyDescent="0.3">
      <c r="A35" s="2">
        <v>4.8038000000000005E-10</v>
      </c>
      <c r="B35" s="2">
        <v>0</v>
      </c>
      <c r="C35" s="3">
        <v>0.12990534964537701</v>
      </c>
      <c r="D35" s="1">
        <f t="shared" si="0"/>
        <v>0</v>
      </c>
      <c r="F35" s="2">
        <v>4.8038000000000005E-10</v>
      </c>
      <c r="G35" s="2">
        <v>0</v>
      </c>
      <c r="H35" s="3">
        <v>0</v>
      </c>
      <c r="I35" s="1">
        <f t="shared" si="1"/>
        <v>0</v>
      </c>
      <c r="K35" s="2">
        <v>4.8038000000000005E-10</v>
      </c>
      <c r="L35" s="2">
        <v>0</v>
      </c>
      <c r="M35" s="3">
        <v>0</v>
      </c>
      <c r="N35" s="1">
        <f t="shared" si="2"/>
        <v>0</v>
      </c>
      <c r="P35" s="2">
        <v>4.8038000000000005E-10</v>
      </c>
      <c r="Q35" s="2">
        <v>0</v>
      </c>
      <c r="R35" s="3">
        <v>0</v>
      </c>
      <c r="S35" s="1">
        <f t="shared" si="3"/>
        <v>0</v>
      </c>
      <c r="U35" s="2">
        <v>4.8038000000000005E-10</v>
      </c>
      <c r="V35" s="2">
        <v>0</v>
      </c>
      <c r="W35" s="16">
        <v>0</v>
      </c>
      <c r="X35" s="1">
        <f t="shared" si="4"/>
        <v>0</v>
      </c>
      <c r="Z35" s="2">
        <v>4.8038000000000005E-10</v>
      </c>
      <c r="AA35" s="2">
        <v>0</v>
      </c>
      <c r="AB35" s="3">
        <v>0</v>
      </c>
      <c r="AC35" s="1">
        <f t="shared" si="5"/>
        <v>0</v>
      </c>
      <c r="AE35" s="2">
        <v>4.8038000000000005E-10</v>
      </c>
      <c r="AF35" s="2">
        <v>0</v>
      </c>
      <c r="AG35" s="3">
        <v>0</v>
      </c>
      <c r="AH35" s="1">
        <f t="shared" si="6"/>
        <v>0</v>
      </c>
      <c r="AJ35" s="2">
        <v>4.8038000000000005E-10</v>
      </c>
      <c r="AK35" s="2">
        <v>0</v>
      </c>
      <c r="AL35" s="3">
        <v>1.9230638337342301E-2</v>
      </c>
      <c r="AM35" s="1">
        <f t="shared" si="7"/>
        <v>0</v>
      </c>
      <c r="AO35" s="2">
        <v>4.8038000000000005E-10</v>
      </c>
      <c r="AP35" s="2">
        <v>0</v>
      </c>
      <c r="AQ35" s="3">
        <v>2.5377540576820699E-4</v>
      </c>
      <c r="AR35" s="1">
        <f t="shared" si="8"/>
        <v>0</v>
      </c>
      <c r="AT35" s="2">
        <v>4.8038000000000005E-10</v>
      </c>
      <c r="AU35" s="2">
        <v>0</v>
      </c>
      <c r="AV35" s="3">
        <v>0</v>
      </c>
      <c r="AW35" s="1">
        <f t="shared" si="9"/>
        <v>0</v>
      </c>
    </row>
    <row r="36" spans="1:49" x14ac:dyDescent="0.3">
      <c r="A36" s="2">
        <v>5.4217E-10</v>
      </c>
      <c r="B36" s="2">
        <v>12.0304</v>
      </c>
      <c r="C36" s="3">
        <v>0.1236913805594</v>
      </c>
      <c r="D36" s="1">
        <f t="shared" si="0"/>
        <v>1.4880567846818058</v>
      </c>
      <c r="F36" s="2">
        <v>5.4217E-10</v>
      </c>
      <c r="G36" s="2">
        <v>12.0304</v>
      </c>
      <c r="H36" s="3">
        <v>0</v>
      </c>
      <c r="I36" s="1">
        <f t="shared" si="1"/>
        <v>0</v>
      </c>
      <c r="K36" s="2">
        <v>5.4217E-10</v>
      </c>
      <c r="L36" s="2">
        <v>12.0304</v>
      </c>
      <c r="M36" s="3">
        <v>0</v>
      </c>
      <c r="N36" s="1">
        <f t="shared" si="2"/>
        <v>0</v>
      </c>
      <c r="P36" s="2">
        <v>5.4217E-10</v>
      </c>
      <c r="Q36" s="2">
        <v>12.0304</v>
      </c>
      <c r="R36" s="3">
        <v>0</v>
      </c>
      <c r="S36" s="1">
        <f t="shared" si="3"/>
        <v>0</v>
      </c>
      <c r="U36" s="2">
        <v>5.4217E-10</v>
      </c>
      <c r="V36" s="2">
        <v>12.0304</v>
      </c>
      <c r="W36" s="16">
        <v>0</v>
      </c>
      <c r="X36" s="1">
        <f t="shared" si="4"/>
        <v>0</v>
      </c>
      <c r="Z36" s="2">
        <v>5.4217E-10</v>
      </c>
      <c r="AA36" s="2">
        <v>12.0304</v>
      </c>
      <c r="AB36" s="3">
        <v>0</v>
      </c>
      <c r="AC36" s="1">
        <f t="shared" si="5"/>
        <v>0</v>
      </c>
      <c r="AE36" s="2">
        <v>5.4217E-10</v>
      </c>
      <c r="AF36" s="2">
        <v>12.0304</v>
      </c>
      <c r="AG36" s="3">
        <v>0</v>
      </c>
      <c r="AH36" s="1">
        <f t="shared" si="6"/>
        <v>0</v>
      </c>
      <c r="AJ36" s="2">
        <v>5.4217E-10</v>
      </c>
      <c r="AK36" s="2">
        <v>12.0304</v>
      </c>
      <c r="AL36" s="3">
        <v>1.8310431434354499E-2</v>
      </c>
      <c r="AM36" s="1">
        <f t="shared" si="7"/>
        <v>0.22028181432785837</v>
      </c>
      <c r="AO36" s="2">
        <v>5.4217E-10</v>
      </c>
      <c r="AP36" s="2">
        <v>12.0304</v>
      </c>
      <c r="AQ36" s="3">
        <v>2.41631916207136E-4</v>
      </c>
      <c r="AR36" s="1">
        <f t="shared" si="8"/>
        <v>2.9069286047383289E-3</v>
      </c>
      <c r="AT36" s="2">
        <v>5.4217E-10</v>
      </c>
      <c r="AU36" s="2">
        <v>12.0304</v>
      </c>
      <c r="AV36" s="3">
        <v>0</v>
      </c>
      <c r="AW36" s="1">
        <f t="shared" si="9"/>
        <v>0</v>
      </c>
    </row>
    <row r="37" spans="1:49" x14ac:dyDescent="0.3">
      <c r="A37" s="2">
        <v>6.1191000000000001E-10</v>
      </c>
      <c r="B37" s="2">
        <v>0</v>
      </c>
      <c r="C37" s="3">
        <v>0.11777489822637401</v>
      </c>
      <c r="D37" s="1">
        <f t="shared" si="0"/>
        <v>0</v>
      </c>
      <c r="F37" s="2">
        <v>6.1191000000000001E-10</v>
      </c>
      <c r="G37" s="2">
        <v>0</v>
      </c>
      <c r="H37" s="3">
        <v>0</v>
      </c>
      <c r="I37" s="1">
        <f t="shared" si="1"/>
        <v>0</v>
      </c>
      <c r="K37" s="2">
        <v>6.1191000000000001E-10</v>
      </c>
      <c r="L37" s="2">
        <v>0</v>
      </c>
      <c r="M37" s="3">
        <v>0</v>
      </c>
      <c r="N37" s="1">
        <f t="shared" si="2"/>
        <v>0</v>
      </c>
      <c r="P37" s="2">
        <v>6.1191000000000001E-10</v>
      </c>
      <c r="Q37" s="2">
        <v>0</v>
      </c>
      <c r="R37" s="3">
        <v>0</v>
      </c>
      <c r="S37" s="1">
        <f t="shared" si="3"/>
        <v>0</v>
      </c>
      <c r="U37" s="2">
        <v>6.1191000000000001E-10</v>
      </c>
      <c r="V37" s="2">
        <v>0</v>
      </c>
      <c r="W37" s="16">
        <v>0</v>
      </c>
      <c r="X37" s="1">
        <f t="shared" si="4"/>
        <v>0</v>
      </c>
      <c r="Z37" s="2">
        <v>6.1191000000000001E-10</v>
      </c>
      <c r="AA37" s="2">
        <v>0</v>
      </c>
      <c r="AB37" s="3">
        <v>0</v>
      </c>
      <c r="AC37" s="1">
        <f t="shared" si="5"/>
        <v>0</v>
      </c>
      <c r="AE37" s="2">
        <v>6.1191000000000001E-10</v>
      </c>
      <c r="AF37" s="2">
        <v>0</v>
      </c>
      <c r="AG37" s="3">
        <v>0</v>
      </c>
      <c r="AH37" s="1">
        <f t="shared" si="6"/>
        <v>0</v>
      </c>
      <c r="AJ37" s="2">
        <v>6.1191000000000001E-10</v>
      </c>
      <c r="AK37" s="2">
        <v>0</v>
      </c>
      <c r="AL37" s="3">
        <v>1.7434235279070402E-2</v>
      </c>
      <c r="AM37" s="1">
        <f t="shared" si="7"/>
        <v>0</v>
      </c>
      <c r="AO37" s="2">
        <v>6.1191000000000001E-10</v>
      </c>
      <c r="AP37" s="2">
        <v>0</v>
      </c>
      <c r="AQ37" s="3">
        <v>2.30070145193981E-4</v>
      </c>
      <c r="AR37" s="1">
        <f t="shared" si="8"/>
        <v>0</v>
      </c>
      <c r="AT37" s="2">
        <v>6.1191000000000001E-10</v>
      </c>
      <c r="AU37" s="2">
        <v>0</v>
      </c>
      <c r="AV37" s="3">
        <v>0</v>
      </c>
      <c r="AW37" s="1">
        <f t="shared" si="9"/>
        <v>0</v>
      </c>
    </row>
    <row r="38" spans="1:49" x14ac:dyDescent="0.3">
      <c r="A38" s="2">
        <v>6.9062000000000004E-10</v>
      </c>
      <c r="B38" s="2">
        <v>0</v>
      </c>
      <c r="C38" s="3">
        <v>0.109459839558634</v>
      </c>
      <c r="D38" s="1">
        <f t="shared" si="0"/>
        <v>0</v>
      </c>
      <c r="F38" s="2">
        <v>6.9062000000000004E-10</v>
      </c>
      <c r="G38" s="2">
        <v>0</v>
      </c>
      <c r="H38" s="3">
        <v>0</v>
      </c>
      <c r="I38" s="1">
        <f t="shared" si="1"/>
        <v>0</v>
      </c>
      <c r="K38" s="2">
        <v>6.9062000000000004E-10</v>
      </c>
      <c r="L38" s="2">
        <v>0</v>
      </c>
      <c r="M38" s="3">
        <v>0</v>
      </c>
      <c r="N38" s="1">
        <f t="shared" si="2"/>
        <v>0</v>
      </c>
      <c r="P38" s="2">
        <v>6.9062000000000004E-10</v>
      </c>
      <c r="Q38" s="2">
        <v>0</v>
      </c>
      <c r="R38" s="3">
        <v>0</v>
      </c>
      <c r="S38" s="1">
        <f t="shared" si="3"/>
        <v>0</v>
      </c>
      <c r="U38" s="2">
        <v>6.9062000000000004E-10</v>
      </c>
      <c r="V38" s="2">
        <v>0</v>
      </c>
      <c r="W38" s="16">
        <v>0</v>
      </c>
      <c r="X38" s="1">
        <f t="shared" si="4"/>
        <v>0</v>
      </c>
      <c r="Z38" s="2">
        <v>6.9062000000000004E-10</v>
      </c>
      <c r="AA38" s="2">
        <v>0</v>
      </c>
      <c r="AB38" s="3">
        <v>0</v>
      </c>
      <c r="AC38" s="1">
        <f t="shared" si="5"/>
        <v>0</v>
      </c>
      <c r="AE38" s="2">
        <v>6.9062000000000004E-10</v>
      </c>
      <c r="AF38" s="2">
        <v>0</v>
      </c>
      <c r="AG38" s="3">
        <v>0</v>
      </c>
      <c r="AH38" s="1">
        <f t="shared" si="6"/>
        <v>0</v>
      </c>
      <c r="AJ38" s="2">
        <v>6.9062000000000004E-10</v>
      </c>
      <c r="AK38" s="2">
        <v>0</v>
      </c>
      <c r="AL38" s="3">
        <v>1.6202816518713001E-2</v>
      </c>
      <c r="AM38" s="1">
        <f t="shared" si="7"/>
        <v>0</v>
      </c>
      <c r="AO38" s="2">
        <v>6.9062000000000004E-10</v>
      </c>
      <c r="AP38" s="2">
        <v>0</v>
      </c>
      <c r="AQ38" s="3">
        <v>2.1381970430489199E-4</v>
      </c>
      <c r="AR38" s="1">
        <f t="shared" si="8"/>
        <v>0</v>
      </c>
      <c r="AT38" s="2">
        <v>6.9062000000000004E-10</v>
      </c>
      <c r="AU38" s="2">
        <v>0</v>
      </c>
      <c r="AV38" s="3">
        <v>0</v>
      </c>
      <c r="AW38" s="1">
        <f t="shared" si="9"/>
        <v>0</v>
      </c>
    </row>
    <row r="39" spans="1:49" x14ac:dyDescent="0.3">
      <c r="A39" s="2">
        <v>7.7945000000000003E-10</v>
      </c>
      <c r="B39" s="2">
        <v>12.173299999999999</v>
      </c>
      <c r="C39" s="3">
        <v>0.10167128238575</v>
      </c>
      <c r="D39" s="1">
        <f t="shared" si="0"/>
        <v>1.2376750218664505</v>
      </c>
      <c r="F39" s="2">
        <v>7.7945000000000003E-10</v>
      </c>
      <c r="G39" s="2">
        <v>12.173299999999999</v>
      </c>
      <c r="H39" s="3">
        <v>0</v>
      </c>
      <c r="I39" s="1">
        <f t="shared" si="1"/>
        <v>0</v>
      </c>
      <c r="K39" s="2">
        <v>7.7945000000000003E-10</v>
      </c>
      <c r="L39" s="2">
        <v>12.173299999999999</v>
      </c>
      <c r="M39" s="3">
        <v>0</v>
      </c>
      <c r="N39" s="1">
        <f t="shared" si="2"/>
        <v>0</v>
      </c>
      <c r="P39" s="2">
        <v>7.7945000000000003E-10</v>
      </c>
      <c r="Q39" s="2">
        <v>12.173299999999999</v>
      </c>
      <c r="R39" s="3">
        <v>0</v>
      </c>
      <c r="S39" s="1">
        <f t="shared" si="3"/>
        <v>0</v>
      </c>
      <c r="U39" s="2">
        <v>7.7945000000000003E-10</v>
      </c>
      <c r="V39" s="2">
        <v>12.173299999999999</v>
      </c>
      <c r="W39" s="16">
        <v>0</v>
      </c>
      <c r="X39" s="1">
        <f t="shared" si="4"/>
        <v>0</v>
      </c>
      <c r="Z39" s="2">
        <v>7.7945000000000003E-10</v>
      </c>
      <c r="AA39" s="2">
        <v>12.173299999999999</v>
      </c>
      <c r="AB39" s="3">
        <v>0</v>
      </c>
      <c r="AC39" s="1">
        <f t="shared" si="5"/>
        <v>0</v>
      </c>
      <c r="AE39" s="2">
        <v>7.7945000000000003E-10</v>
      </c>
      <c r="AF39" s="2">
        <v>12.173299999999999</v>
      </c>
      <c r="AG39" s="3">
        <v>0</v>
      </c>
      <c r="AH39" s="1">
        <f t="shared" si="6"/>
        <v>0</v>
      </c>
      <c r="AJ39" s="2">
        <v>7.7945000000000003E-10</v>
      </c>
      <c r="AK39" s="2">
        <v>12.173299999999999</v>
      </c>
      <c r="AL39" s="3">
        <v>1.50493232470514E-2</v>
      </c>
      <c r="AM39" s="1">
        <f t="shared" si="7"/>
        <v>0.18319992668333079</v>
      </c>
      <c r="AO39" s="2">
        <v>7.7945000000000003E-10</v>
      </c>
      <c r="AP39" s="2">
        <v>12.173299999999999</v>
      </c>
      <c r="AQ39" s="3">
        <v>1.9859852846108899E-4</v>
      </c>
      <c r="AR39" s="1">
        <f t="shared" si="8"/>
        <v>2.4175994665153744E-3</v>
      </c>
      <c r="AT39" s="2">
        <v>7.7945000000000003E-10</v>
      </c>
      <c r="AU39" s="2">
        <v>12.173299999999999</v>
      </c>
      <c r="AV39" s="3">
        <v>0</v>
      </c>
      <c r="AW39" s="1">
        <f t="shared" si="9"/>
        <v>0</v>
      </c>
    </row>
    <row r="40" spans="1:49" x14ac:dyDescent="0.3">
      <c r="A40" s="2">
        <v>8.7969999999999997E-10</v>
      </c>
      <c r="B40" s="2">
        <v>0</v>
      </c>
      <c r="C40" s="3">
        <v>9.6808875711016998E-2</v>
      </c>
      <c r="D40" s="1">
        <f t="shared" si="0"/>
        <v>0</v>
      </c>
      <c r="F40" s="2">
        <v>8.7969999999999997E-10</v>
      </c>
      <c r="G40" s="2">
        <v>0</v>
      </c>
      <c r="H40" s="3">
        <v>0</v>
      </c>
      <c r="I40" s="1">
        <f t="shared" si="1"/>
        <v>0</v>
      </c>
      <c r="K40" s="2">
        <v>8.7969999999999997E-10</v>
      </c>
      <c r="L40" s="2">
        <v>0</v>
      </c>
      <c r="M40" s="3">
        <v>0</v>
      </c>
      <c r="N40" s="1">
        <f t="shared" si="2"/>
        <v>0</v>
      </c>
      <c r="P40" s="2">
        <v>8.7969999999999997E-10</v>
      </c>
      <c r="Q40" s="2">
        <v>0</v>
      </c>
      <c r="R40" s="3">
        <v>0</v>
      </c>
      <c r="S40" s="1">
        <f t="shared" si="3"/>
        <v>0</v>
      </c>
      <c r="U40" s="2">
        <v>8.7969999999999997E-10</v>
      </c>
      <c r="V40" s="2">
        <v>0</v>
      </c>
      <c r="W40" s="16">
        <v>0</v>
      </c>
      <c r="X40" s="1">
        <f t="shared" si="4"/>
        <v>0</v>
      </c>
      <c r="Z40" s="2">
        <v>8.7969999999999997E-10</v>
      </c>
      <c r="AA40" s="2">
        <v>0</v>
      </c>
      <c r="AB40" s="3">
        <v>0</v>
      </c>
      <c r="AC40" s="1">
        <f t="shared" si="5"/>
        <v>0</v>
      </c>
      <c r="AE40" s="2">
        <v>8.7969999999999997E-10</v>
      </c>
      <c r="AF40" s="2">
        <v>0</v>
      </c>
      <c r="AG40" s="3">
        <v>0</v>
      </c>
      <c r="AH40" s="1">
        <f t="shared" si="6"/>
        <v>0</v>
      </c>
      <c r="AJ40" s="2">
        <v>8.7969999999999997E-10</v>
      </c>
      <c r="AK40" s="2">
        <v>0</v>
      </c>
      <c r="AL40" s="3">
        <v>1.4329174108123901E-2</v>
      </c>
      <c r="AM40" s="1">
        <f t="shared" si="7"/>
        <v>0</v>
      </c>
      <c r="AO40" s="2">
        <v>8.7969999999999997E-10</v>
      </c>
      <c r="AP40" s="2">
        <v>0</v>
      </c>
      <c r="AQ40" s="3">
        <v>1.8909528753850401E-4</v>
      </c>
      <c r="AR40" s="1">
        <f t="shared" si="8"/>
        <v>0</v>
      </c>
      <c r="AT40" s="2">
        <v>8.7969999999999997E-10</v>
      </c>
      <c r="AU40" s="2">
        <v>0</v>
      </c>
      <c r="AV40" s="3">
        <v>0</v>
      </c>
      <c r="AW40" s="1">
        <f t="shared" si="9"/>
        <v>0</v>
      </c>
    </row>
    <row r="41" spans="1:49" x14ac:dyDescent="0.3">
      <c r="A41" s="2">
        <v>9.9286000000000002E-10</v>
      </c>
      <c r="B41" s="2">
        <v>8.7348599999999994</v>
      </c>
      <c r="C41" s="3">
        <v>9.2179416896316493E-2</v>
      </c>
      <c r="D41" s="1">
        <f t="shared" si="0"/>
        <v>0.80517430147095903</v>
      </c>
      <c r="F41" s="2">
        <v>9.9286000000000002E-10</v>
      </c>
      <c r="G41" s="2">
        <v>8.7348599999999994</v>
      </c>
      <c r="H41" s="3">
        <v>0</v>
      </c>
      <c r="I41" s="1">
        <f t="shared" si="1"/>
        <v>0</v>
      </c>
      <c r="K41" s="2">
        <v>9.9286000000000002E-10</v>
      </c>
      <c r="L41" s="2">
        <v>8.7348599999999994</v>
      </c>
      <c r="M41" s="3">
        <v>0</v>
      </c>
      <c r="N41" s="1">
        <f t="shared" si="2"/>
        <v>0</v>
      </c>
      <c r="P41" s="2">
        <v>9.9286000000000002E-10</v>
      </c>
      <c r="Q41" s="2">
        <v>8.7348599999999994</v>
      </c>
      <c r="R41" s="3">
        <v>0</v>
      </c>
      <c r="S41" s="1">
        <f t="shared" si="3"/>
        <v>0</v>
      </c>
      <c r="U41" s="2">
        <v>9.9286000000000002E-10</v>
      </c>
      <c r="V41" s="2">
        <v>8.7348599999999994</v>
      </c>
      <c r="W41" s="16">
        <v>0</v>
      </c>
      <c r="X41" s="1">
        <f t="shared" si="4"/>
        <v>0</v>
      </c>
      <c r="Z41" s="2">
        <v>9.9286000000000002E-10</v>
      </c>
      <c r="AA41" s="2">
        <v>8.7348599999999994</v>
      </c>
      <c r="AB41" s="3">
        <v>0</v>
      </c>
      <c r="AC41" s="1">
        <f t="shared" si="5"/>
        <v>0</v>
      </c>
      <c r="AE41" s="2">
        <v>9.9286000000000002E-10</v>
      </c>
      <c r="AF41" s="2">
        <v>8.7348599999999994</v>
      </c>
      <c r="AG41" s="3">
        <v>0</v>
      </c>
      <c r="AH41" s="1">
        <f t="shared" si="6"/>
        <v>0</v>
      </c>
      <c r="AJ41" s="2">
        <v>9.9286000000000002E-10</v>
      </c>
      <c r="AK41" s="2">
        <v>8.7348599999999994</v>
      </c>
      <c r="AL41" s="3">
        <v>1.36434788173431E-2</v>
      </c>
      <c r="AM41" s="1">
        <f t="shared" si="7"/>
        <v>0.11917387738245755</v>
      </c>
      <c r="AO41" s="2">
        <v>9.9286000000000002E-10</v>
      </c>
      <c r="AP41" s="2">
        <v>8.7348599999999994</v>
      </c>
      <c r="AQ41" s="3">
        <v>1.80046945006469E-4</v>
      </c>
      <c r="AR41" s="1">
        <f t="shared" si="8"/>
        <v>1.5726848580592057E-3</v>
      </c>
      <c r="AT41" s="2">
        <v>9.9286000000000002E-10</v>
      </c>
      <c r="AU41" s="2">
        <v>8.7348599999999994</v>
      </c>
      <c r="AV41" s="3">
        <v>0</v>
      </c>
      <c r="AW41" s="1">
        <f t="shared" si="9"/>
        <v>0</v>
      </c>
    </row>
    <row r="42" spans="1:49" x14ac:dyDescent="0.3">
      <c r="A42" s="2">
        <v>1.1206E-9</v>
      </c>
      <c r="B42" s="2">
        <v>39.7607</v>
      </c>
      <c r="C42" s="3">
        <v>8.5673145622194205E-2</v>
      </c>
      <c r="D42" s="1">
        <f t="shared" si="0"/>
        <v>3.4064242411403773</v>
      </c>
      <c r="F42" s="2">
        <v>1.1206E-9</v>
      </c>
      <c r="G42" s="2">
        <v>39.7607</v>
      </c>
      <c r="H42" s="3">
        <v>0</v>
      </c>
      <c r="I42" s="1">
        <f t="shared" si="1"/>
        <v>0</v>
      </c>
      <c r="K42" s="2">
        <v>1.1206E-9</v>
      </c>
      <c r="L42" s="2">
        <v>39.7607</v>
      </c>
      <c r="M42" s="3">
        <v>0</v>
      </c>
      <c r="N42" s="1">
        <f t="shared" si="2"/>
        <v>0</v>
      </c>
      <c r="P42" s="2">
        <v>1.1206E-9</v>
      </c>
      <c r="Q42" s="2">
        <v>39.7607</v>
      </c>
      <c r="R42" s="3">
        <v>0</v>
      </c>
      <c r="S42" s="1">
        <f t="shared" si="3"/>
        <v>0</v>
      </c>
      <c r="U42" s="2">
        <v>1.1206E-9</v>
      </c>
      <c r="V42" s="2">
        <v>39.7607</v>
      </c>
      <c r="W42" s="16">
        <v>0</v>
      </c>
      <c r="X42" s="1">
        <f t="shared" si="4"/>
        <v>0</v>
      </c>
      <c r="Z42" s="2">
        <v>1.1206E-9</v>
      </c>
      <c r="AA42" s="2">
        <v>39.7607</v>
      </c>
      <c r="AB42" s="3">
        <v>0</v>
      </c>
      <c r="AC42" s="1">
        <f t="shared" si="5"/>
        <v>0</v>
      </c>
      <c r="AE42" s="2">
        <v>1.1206E-9</v>
      </c>
      <c r="AF42" s="2">
        <v>39.7607</v>
      </c>
      <c r="AG42" s="3">
        <v>0</v>
      </c>
      <c r="AH42" s="1">
        <f t="shared" si="6"/>
        <v>0</v>
      </c>
      <c r="AJ42" s="2">
        <v>1.1206E-9</v>
      </c>
      <c r="AK42" s="2">
        <v>39.7607</v>
      </c>
      <c r="AL42" s="3">
        <v>1.26798002738062E-2</v>
      </c>
      <c r="AM42" s="1">
        <f t="shared" si="7"/>
        <v>0.5041577347467262</v>
      </c>
      <c r="AO42" s="2">
        <v>1.1206E-9</v>
      </c>
      <c r="AP42" s="2">
        <v>39.7607</v>
      </c>
      <c r="AQ42" s="3">
        <v>1.6733046727063401E-4</v>
      </c>
      <c r="AR42" s="1">
        <f t="shared" si="8"/>
        <v>6.6531765100074974E-3</v>
      </c>
      <c r="AT42" s="2">
        <v>1.1206E-9</v>
      </c>
      <c r="AU42" s="2">
        <v>39.7607</v>
      </c>
      <c r="AV42" s="3">
        <v>0</v>
      </c>
      <c r="AW42" s="1">
        <f t="shared" si="9"/>
        <v>0</v>
      </c>
    </row>
    <row r="43" spans="1:49" x14ac:dyDescent="0.3">
      <c r="A43" s="2">
        <v>1.2647E-9</v>
      </c>
      <c r="B43" s="2">
        <v>6.7336200000000002</v>
      </c>
      <c r="C43" s="3">
        <v>7.9578957861023605E-2</v>
      </c>
      <c r="D43" s="1">
        <f t="shared" si="0"/>
        <v>0.53585446223214583</v>
      </c>
      <c r="F43" s="2">
        <v>1.2647E-9</v>
      </c>
      <c r="G43" s="2">
        <v>6.7336200000000002</v>
      </c>
      <c r="H43" s="3">
        <v>0</v>
      </c>
      <c r="I43" s="1">
        <f t="shared" si="1"/>
        <v>0</v>
      </c>
      <c r="K43" s="2">
        <v>1.2647E-9</v>
      </c>
      <c r="L43" s="2">
        <v>6.7336200000000002</v>
      </c>
      <c r="M43" s="3">
        <v>0</v>
      </c>
      <c r="N43" s="1">
        <f t="shared" si="2"/>
        <v>0</v>
      </c>
      <c r="P43" s="2">
        <v>1.2647E-9</v>
      </c>
      <c r="Q43" s="2">
        <v>6.7336200000000002</v>
      </c>
      <c r="R43" s="3">
        <v>0</v>
      </c>
      <c r="S43" s="1">
        <f t="shared" si="3"/>
        <v>0</v>
      </c>
      <c r="U43" s="2">
        <v>1.2647E-9</v>
      </c>
      <c r="V43" s="2">
        <v>6.7336200000000002</v>
      </c>
      <c r="W43" s="16">
        <v>0</v>
      </c>
      <c r="X43" s="1">
        <f t="shared" si="4"/>
        <v>0</v>
      </c>
      <c r="Z43" s="2">
        <v>1.2647E-9</v>
      </c>
      <c r="AA43" s="2">
        <v>6.7336200000000002</v>
      </c>
      <c r="AB43" s="3">
        <v>0</v>
      </c>
      <c r="AC43" s="1">
        <f t="shared" si="5"/>
        <v>0</v>
      </c>
      <c r="AE43" s="2">
        <v>1.2647E-9</v>
      </c>
      <c r="AF43" s="2">
        <v>6.7336200000000002</v>
      </c>
      <c r="AG43" s="3">
        <v>0</v>
      </c>
      <c r="AH43" s="1">
        <f t="shared" si="6"/>
        <v>0</v>
      </c>
      <c r="AJ43" s="2">
        <v>1.2647E-9</v>
      </c>
      <c r="AK43" s="2">
        <v>6.7336200000000002</v>
      </c>
      <c r="AL43" s="3">
        <v>1.1777089848468999E-2</v>
      </c>
      <c r="AM43" s="1">
        <f t="shared" si="7"/>
        <v>7.9302447745447827E-2</v>
      </c>
      <c r="AO43" s="2">
        <v>1.2647E-9</v>
      </c>
      <c r="AP43" s="2">
        <v>6.7336200000000002</v>
      </c>
      <c r="AQ43" s="3">
        <v>1.5541902183807601E-4</v>
      </c>
      <c r="AR43" s="1">
        <f t="shared" si="8"/>
        <v>1.0465326338293054E-3</v>
      </c>
      <c r="AT43" s="2">
        <v>1.2647E-9</v>
      </c>
      <c r="AU43" s="2">
        <v>6.7336200000000002</v>
      </c>
      <c r="AV43" s="3">
        <v>0</v>
      </c>
      <c r="AW43" s="1">
        <f t="shared" si="9"/>
        <v>0</v>
      </c>
    </row>
    <row r="44" spans="1:49" x14ac:dyDescent="0.3">
      <c r="A44" s="2">
        <v>1.4274000000000001E-9</v>
      </c>
      <c r="B44" s="2">
        <v>19.122299999999999</v>
      </c>
      <c r="C44" s="3">
        <v>7.5774559962710097E-2</v>
      </c>
      <c r="D44" s="1">
        <f t="shared" si="0"/>
        <v>1.4489838679749312</v>
      </c>
      <c r="F44" s="2">
        <v>1.4274000000000001E-9</v>
      </c>
      <c r="G44" s="2">
        <v>19.122299999999999</v>
      </c>
      <c r="H44" s="3">
        <v>0</v>
      </c>
      <c r="I44" s="1">
        <f t="shared" si="1"/>
        <v>0</v>
      </c>
      <c r="K44" s="2">
        <v>1.4274000000000001E-9</v>
      </c>
      <c r="L44" s="2">
        <v>19.122299999999999</v>
      </c>
      <c r="M44" s="3">
        <v>0</v>
      </c>
      <c r="N44" s="1">
        <f t="shared" si="2"/>
        <v>0</v>
      </c>
      <c r="P44" s="2">
        <v>1.4274000000000001E-9</v>
      </c>
      <c r="Q44" s="2">
        <v>19.122299999999999</v>
      </c>
      <c r="R44" s="3">
        <v>0</v>
      </c>
      <c r="S44" s="1">
        <f t="shared" si="3"/>
        <v>0</v>
      </c>
      <c r="U44" s="2">
        <v>1.4274000000000001E-9</v>
      </c>
      <c r="V44" s="2">
        <v>19.122299999999999</v>
      </c>
      <c r="W44" s="16">
        <v>0</v>
      </c>
      <c r="X44" s="1">
        <f t="shared" si="4"/>
        <v>0</v>
      </c>
      <c r="Z44" s="2">
        <v>1.4274000000000001E-9</v>
      </c>
      <c r="AA44" s="2">
        <v>19.122299999999999</v>
      </c>
      <c r="AB44" s="3">
        <v>0</v>
      </c>
      <c r="AC44" s="1">
        <f t="shared" si="5"/>
        <v>0</v>
      </c>
      <c r="AE44" s="2">
        <v>1.4274000000000001E-9</v>
      </c>
      <c r="AF44" s="2">
        <v>19.122299999999999</v>
      </c>
      <c r="AG44" s="3">
        <v>0</v>
      </c>
      <c r="AH44" s="1">
        <f t="shared" si="6"/>
        <v>0</v>
      </c>
      <c r="AJ44" s="2">
        <v>1.4274000000000001E-9</v>
      </c>
      <c r="AK44" s="2">
        <v>19.122299999999999</v>
      </c>
      <c r="AL44" s="3">
        <v>1.12135268330528E-2</v>
      </c>
      <c r="AM44" s="1">
        <f t="shared" si="7"/>
        <v>0.21442842415968555</v>
      </c>
      <c r="AO44" s="2">
        <v>1.4274000000000001E-9</v>
      </c>
      <c r="AP44" s="2">
        <v>19.122299999999999</v>
      </c>
      <c r="AQ44" s="3">
        <v>1.47981662899242E-4</v>
      </c>
      <c r="AR44" s="1">
        <f t="shared" si="8"/>
        <v>2.8297497524581751E-3</v>
      </c>
      <c r="AT44" s="2">
        <v>1.4274000000000001E-9</v>
      </c>
      <c r="AU44" s="2">
        <v>19.122299999999999</v>
      </c>
      <c r="AV44" s="3">
        <v>0</v>
      </c>
      <c r="AW44" s="1">
        <f t="shared" si="9"/>
        <v>0</v>
      </c>
    </row>
    <row r="45" spans="1:49" x14ac:dyDescent="0.3">
      <c r="A45" s="2">
        <v>1.6109999999999999E-9</v>
      </c>
      <c r="B45" s="2">
        <v>42.859900000000003</v>
      </c>
      <c r="C45" s="3">
        <v>7.2152336944959705E-2</v>
      </c>
      <c r="D45" s="1">
        <f t="shared" si="0"/>
        <v>3.0924419462272787</v>
      </c>
      <c r="F45" s="2">
        <v>1.6109999999999999E-9</v>
      </c>
      <c r="G45" s="2">
        <v>42.859900000000003</v>
      </c>
      <c r="H45" s="3">
        <v>0</v>
      </c>
      <c r="I45" s="1">
        <f t="shared" si="1"/>
        <v>0</v>
      </c>
      <c r="K45" s="2">
        <v>1.6109999999999999E-9</v>
      </c>
      <c r="L45" s="2">
        <v>42.859900000000003</v>
      </c>
      <c r="M45" s="3">
        <v>0</v>
      </c>
      <c r="N45" s="1">
        <f t="shared" si="2"/>
        <v>0</v>
      </c>
      <c r="P45" s="2">
        <v>1.6109999999999999E-9</v>
      </c>
      <c r="Q45" s="2">
        <v>42.859900000000003</v>
      </c>
      <c r="R45" s="3">
        <v>0</v>
      </c>
      <c r="S45" s="1">
        <f t="shared" si="3"/>
        <v>0</v>
      </c>
      <c r="U45" s="2">
        <v>1.6109999999999999E-9</v>
      </c>
      <c r="V45" s="2">
        <v>42.859900000000003</v>
      </c>
      <c r="W45" s="16">
        <v>0</v>
      </c>
      <c r="X45" s="1">
        <f t="shared" si="4"/>
        <v>0</v>
      </c>
      <c r="Z45" s="2">
        <v>1.6109999999999999E-9</v>
      </c>
      <c r="AA45" s="2">
        <v>42.859900000000003</v>
      </c>
      <c r="AB45" s="3">
        <v>0</v>
      </c>
      <c r="AC45" s="1">
        <f t="shared" si="5"/>
        <v>0</v>
      </c>
      <c r="AE45" s="2">
        <v>1.6109999999999999E-9</v>
      </c>
      <c r="AF45" s="2">
        <v>42.859900000000003</v>
      </c>
      <c r="AG45" s="3">
        <v>0</v>
      </c>
      <c r="AH45" s="1">
        <f t="shared" si="6"/>
        <v>0</v>
      </c>
      <c r="AJ45" s="2">
        <v>1.6109999999999999E-9</v>
      </c>
      <c r="AK45" s="2">
        <v>42.859900000000003</v>
      </c>
      <c r="AL45" s="3">
        <v>1.0676919175361401E-2</v>
      </c>
      <c r="AM45" s="1">
        <f t="shared" si="7"/>
        <v>0.45761168816407216</v>
      </c>
      <c r="AO45" s="2">
        <v>1.6109999999999999E-9</v>
      </c>
      <c r="AP45" s="2">
        <v>42.859900000000003</v>
      </c>
      <c r="AQ45" s="3">
        <v>1.40900870779668E-4</v>
      </c>
      <c r="AR45" s="1">
        <f t="shared" si="8"/>
        <v>6.0389972315294926E-3</v>
      </c>
      <c r="AT45" s="2">
        <v>1.6109999999999999E-9</v>
      </c>
      <c r="AU45" s="2">
        <v>42.859900000000003</v>
      </c>
      <c r="AV45" s="3">
        <v>0</v>
      </c>
      <c r="AW45" s="1">
        <f t="shared" si="9"/>
        <v>0</v>
      </c>
    </row>
    <row r="46" spans="1:49" x14ac:dyDescent="0.3">
      <c r="A46" s="2">
        <v>1.8182E-9</v>
      </c>
      <c r="B46" s="2">
        <v>97.915300000000002</v>
      </c>
      <c r="C46" s="3">
        <v>6.7061809418804699E-2</v>
      </c>
      <c r="D46" s="1">
        <f t="shared" si="0"/>
        <v>6.5663771877850881</v>
      </c>
      <c r="F46" s="2">
        <v>1.8182E-9</v>
      </c>
      <c r="G46" s="2">
        <v>97.915300000000002</v>
      </c>
      <c r="H46" s="3">
        <v>0</v>
      </c>
      <c r="I46" s="1">
        <f t="shared" si="1"/>
        <v>0</v>
      </c>
      <c r="K46" s="2">
        <v>1.8182E-9</v>
      </c>
      <c r="L46" s="2">
        <v>97.915300000000002</v>
      </c>
      <c r="M46" s="3">
        <v>0</v>
      </c>
      <c r="N46" s="1">
        <f t="shared" si="2"/>
        <v>0</v>
      </c>
      <c r="P46" s="2">
        <v>1.8182E-9</v>
      </c>
      <c r="Q46" s="2">
        <v>97.915300000000002</v>
      </c>
      <c r="R46" s="3">
        <v>0</v>
      </c>
      <c r="S46" s="1">
        <f t="shared" si="3"/>
        <v>0</v>
      </c>
      <c r="U46" s="2">
        <v>1.8182E-9</v>
      </c>
      <c r="V46" s="2">
        <v>97.915300000000002</v>
      </c>
      <c r="W46" s="16">
        <v>0</v>
      </c>
      <c r="X46" s="1">
        <f t="shared" si="4"/>
        <v>0</v>
      </c>
      <c r="Z46" s="2">
        <v>1.8182E-9</v>
      </c>
      <c r="AA46" s="2">
        <v>97.915300000000002</v>
      </c>
      <c r="AB46" s="3">
        <v>0</v>
      </c>
      <c r="AC46" s="1">
        <f t="shared" si="5"/>
        <v>0</v>
      </c>
      <c r="AE46" s="2">
        <v>1.8182E-9</v>
      </c>
      <c r="AF46" s="2">
        <v>97.915300000000002</v>
      </c>
      <c r="AG46" s="3">
        <v>0</v>
      </c>
      <c r="AH46" s="1">
        <f t="shared" si="6"/>
        <v>0</v>
      </c>
      <c r="AJ46" s="2">
        <v>1.8182E-9</v>
      </c>
      <c r="AK46" s="2">
        <v>97.915300000000002</v>
      </c>
      <c r="AL46" s="3">
        <v>9.9227572759592805E-3</v>
      </c>
      <c r="AM46" s="1">
        <f t="shared" si="7"/>
        <v>0.97158975550273574</v>
      </c>
      <c r="AO46" s="2">
        <v>1.8182E-9</v>
      </c>
      <c r="AP46" s="2">
        <v>97.915300000000002</v>
      </c>
      <c r="AQ46" s="3">
        <v>1.3094962386638999E-4</v>
      </c>
      <c r="AR46" s="1">
        <f t="shared" si="8"/>
        <v>1.2821971705764736E-2</v>
      </c>
      <c r="AT46" s="2">
        <v>1.8182E-9</v>
      </c>
      <c r="AU46" s="2">
        <v>97.915300000000002</v>
      </c>
      <c r="AV46" s="3">
        <v>0</v>
      </c>
      <c r="AW46" s="1">
        <f t="shared" si="9"/>
        <v>0</v>
      </c>
    </row>
    <row r="47" spans="1:49" x14ac:dyDescent="0.3">
      <c r="A47" s="2">
        <v>2.0519999999999999E-9</v>
      </c>
      <c r="B47" s="2">
        <v>38.818600000000004</v>
      </c>
      <c r="C47" s="3">
        <v>6.2293976357238802E-2</v>
      </c>
      <c r="D47" s="1">
        <f t="shared" si="0"/>
        <v>2.4181649506211103</v>
      </c>
      <c r="F47" s="2">
        <v>2.0519999999999999E-9</v>
      </c>
      <c r="G47" s="2">
        <v>38.818600000000004</v>
      </c>
      <c r="H47" s="3">
        <v>0</v>
      </c>
      <c r="I47" s="1">
        <f t="shared" si="1"/>
        <v>0</v>
      </c>
      <c r="K47" s="2">
        <v>2.0519999999999999E-9</v>
      </c>
      <c r="L47" s="2">
        <v>38.818600000000004</v>
      </c>
      <c r="M47" s="3">
        <v>0</v>
      </c>
      <c r="N47" s="1">
        <f t="shared" si="2"/>
        <v>0</v>
      </c>
      <c r="P47" s="2">
        <v>2.0519999999999999E-9</v>
      </c>
      <c r="Q47" s="2">
        <v>38.818600000000004</v>
      </c>
      <c r="R47" s="3">
        <v>0</v>
      </c>
      <c r="S47" s="1">
        <f t="shared" si="3"/>
        <v>0</v>
      </c>
      <c r="U47" s="2">
        <v>2.0519999999999999E-9</v>
      </c>
      <c r="V47" s="2">
        <v>38.818600000000004</v>
      </c>
      <c r="W47" s="16">
        <v>0</v>
      </c>
      <c r="X47" s="1">
        <f t="shared" si="4"/>
        <v>0</v>
      </c>
      <c r="Z47" s="2">
        <v>2.0519999999999999E-9</v>
      </c>
      <c r="AA47" s="2">
        <v>38.818600000000004</v>
      </c>
      <c r="AB47" s="3">
        <v>0</v>
      </c>
      <c r="AC47" s="1">
        <f t="shared" si="5"/>
        <v>0</v>
      </c>
      <c r="AE47" s="2">
        <v>2.0519999999999999E-9</v>
      </c>
      <c r="AF47" s="2">
        <v>38.818600000000004</v>
      </c>
      <c r="AG47" s="3">
        <v>0</v>
      </c>
      <c r="AH47" s="1">
        <f t="shared" si="6"/>
        <v>0</v>
      </c>
      <c r="AJ47" s="2">
        <v>2.0519999999999999E-9</v>
      </c>
      <c r="AK47" s="2">
        <v>38.818600000000004</v>
      </c>
      <c r="AL47" s="3">
        <v>9.2163308646008892E-3</v>
      </c>
      <c r="AM47" s="1">
        <f t="shared" si="7"/>
        <v>0.3577650613005961</v>
      </c>
      <c r="AO47" s="2">
        <v>2.0519999999999999E-9</v>
      </c>
      <c r="AP47" s="2">
        <v>38.818600000000004</v>
      </c>
      <c r="AQ47" s="3">
        <v>1.21627882806701E-4</v>
      </c>
      <c r="AR47" s="1">
        <f t="shared" si="8"/>
        <v>4.7214241315202037E-3</v>
      </c>
      <c r="AT47" s="2">
        <v>2.0519999999999999E-9</v>
      </c>
      <c r="AU47" s="2">
        <v>38.818600000000004</v>
      </c>
      <c r="AV47" s="3">
        <v>0</v>
      </c>
      <c r="AW47" s="1">
        <f t="shared" si="9"/>
        <v>0</v>
      </c>
    </row>
    <row r="48" spans="1:49" x14ac:dyDescent="0.3">
      <c r="A48" s="2">
        <v>2.3159999999999999E-9</v>
      </c>
      <c r="B48" s="2">
        <v>168.45599999999999</v>
      </c>
      <c r="C48" s="3">
        <v>5.9317678602956697E-2</v>
      </c>
      <c r="D48" s="1">
        <f t="shared" si="0"/>
        <v>9.9924188667396727</v>
      </c>
      <c r="F48" s="2">
        <v>2.3159999999999999E-9</v>
      </c>
      <c r="G48" s="2">
        <v>168.45599999999999</v>
      </c>
      <c r="H48" s="3">
        <v>0</v>
      </c>
      <c r="I48" s="1">
        <f t="shared" si="1"/>
        <v>0</v>
      </c>
      <c r="K48" s="2">
        <v>2.3159999999999999E-9</v>
      </c>
      <c r="L48" s="2">
        <v>168.45599999999999</v>
      </c>
      <c r="M48" s="3">
        <v>0</v>
      </c>
      <c r="N48" s="1">
        <f t="shared" si="2"/>
        <v>0</v>
      </c>
      <c r="P48" s="2">
        <v>2.3159999999999999E-9</v>
      </c>
      <c r="Q48" s="2">
        <v>168.45599999999999</v>
      </c>
      <c r="R48" s="3">
        <v>0</v>
      </c>
      <c r="S48" s="1">
        <f t="shared" si="3"/>
        <v>0</v>
      </c>
      <c r="U48" s="2">
        <v>2.3159999999999999E-9</v>
      </c>
      <c r="V48" s="2">
        <v>168.45599999999999</v>
      </c>
      <c r="W48" s="16">
        <v>0</v>
      </c>
      <c r="X48" s="1">
        <f t="shared" si="4"/>
        <v>0</v>
      </c>
      <c r="Z48" s="2">
        <v>2.3159999999999999E-9</v>
      </c>
      <c r="AA48" s="2">
        <v>168.45599999999999</v>
      </c>
      <c r="AB48" s="3">
        <v>0</v>
      </c>
      <c r="AC48" s="1">
        <f t="shared" si="5"/>
        <v>0</v>
      </c>
      <c r="AE48" s="2">
        <v>2.3159999999999999E-9</v>
      </c>
      <c r="AF48" s="2">
        <v>168.45599999999999</v>
      </c>
      <c r="AG48" s="3">
        <v>0</v>
      </c>
      <c r="AH48" s="1">
        <f t="shared" si="6"/>
        <v>0</v>
      </c>
      <c r="AJ48" s="2">
        <v>2.3159999999999999E-9</v>
      </c>
      <c r="AK48" s="2">
        <v>168.45599999999999</v>
      </c>
      <c r="AL48" s="3">
        <v>8.7752922024797401E-3</v>
      </c>
      <c r="AM48" s="1">
        <f t="shared" si="7"/>
        <v>1.4782506232609269</v>
      </c>
      <c r="AO48" s="2">
        <v>2.3159999999999999E-9</v>
      </c>
      <c r="AP48" s="2">
        <v>168.45599999999999</v>
      </c>
      <c r="AQ48" s="3">
        <v>1.1580794036760199E-4</v>
      </c>
      <c r="AR48" s="1">
        <f t="shared" si="8"/>
        <v>1.950854240256476E-2</v>
      </c>
      <c r="AT48" s="2">
        <v>2.3159999999999999E-9</v>
      </c>
      <c r="AU48" s="2">
        <v>168.45599999999999</v>
      </c>
      <c r="AV48" s="3">
        <v>0</v>
      </c>
      <c r="AW48" s="1">
        <f t="shared" si="9"/>
        <v>0</v>
      </c>
    </row>
    <row r="49" spans="1:49" x14ac:dyDescent="0.3">
      <c r="A49" s="2">
        <v>2.6138999999999998E-9</v>
      </c>
      <c r="B49" s="2">
        <v>189.81700000000001</v>
      </c>
      <c r="C49" s="3">
        <v>5.6483866991764699E-2</v>
      </c>
      <c r="D49" s="1">
        <f t="shared" si="0"/>
        <v>10.7215981807758</v>
      </c>
      <c r="F49" s="2">
        <v>2.6138999999999998E-9</v>
      </c>
      <c r="G49" s="2">
        <v>189.81700000000001</v>
      </c>
      <c r="H49" s="3">
        <v>0</v>
      </c>
      <c r="I49" s="1">
        <f t="shared" si="1"/>
        <v>0</v>
      </c>
      <c r="K49" s="2">
        <v>2.6138999999999998E-9</v>
      </c>
      <c r="L49" s="2">
        <v>189.81700000000001</v>
      </c>
      <c r="M49" s="3">
        <v>0</v>
      </c>
      <c r="N49" s="1">
        <f t="shared" si="2"/>
        <v>0</v>
      </c>
      <c r="P49" s="2">
        <v>2.6138999999999998E-9</v>
      </c>
      <c r="Q49" s="2">
        <v>189.81700000000001</v>
      </c>
      <c r="R49" s="3">
        <v>0</v>
      </c>
      <c r="S49" s="1">
        <f t="shared" si="3"/>
        <v>0</v>
      </c>
      <c r="U49" s="2">
        <v>2.6138999999999998E-9</v>
      </c>
      <c r="V49" s="2">
        <v>189.81700000000001</v>
      </c>
      <c r="W49" s="16">
        <v>0</v>
      </c>
      <c r="X49" s="1">
        <f t="shared" si="4"/>
        <v>0</v>
      </c>
      <c r="Z49" s="2">
        <v>2.6138999999999998E-9</v>
      </c>
      <c r="AA49" s="2">
        <v>189.81700000000001</v>
      </c>
      <c r="AB49" s="3">
        <v>0</v>
      </c>
      <c r="AC49" s="1">
        <f t="shared" si="5"/>
        <v>0</v>
      </c>
      <c r="AE49" s="2">
        <v>2.6138999999999998E-9</v>
      </c>
      <c r="AF49" s="2">
        <v>189.81700000000001</v>
      </c>
      <c r="AG49" s="3">
        <v>0</v>
      </c>
      <c r="AH49" s="1">
        <f t="shared" si="6"/>
        <v>0</v>
      </c>
      <c r="AJ49" s="2">
        <v>2.6138999999999998E-9</v>
      </c>
      <c r="AK49" s="2">
        <v>189.81700000000001</v>
      </c>
      <c r="AL49" s="3">
        <v>8.3553767388666808E-3</v>
      </c>
      <c r="AM49" s="1">
        <f t="shared" si="7"/>
        <v>1.5859925464414568</v>
      </c>
      <c r="AO49" s="2">
        <v>2.6138999999999998E-9</v>
      </c>
      <c r="AP49" s="2">
        <v>189.81700000000001</v>
      </c>
      <c r="AQ49" s="3">
        <v>1.1026645088271799E-4</v>
      </c>
      <c r="AR49" s="1">
        <f t="shared" si="8"/>
        <v>2.0930446907204883E-2</v>
      </c>
      <c r="AT49" s="2">
        <v>2.6138999999999998E-9</v>
      </c>
      <c r="AU49" s="2">
        <v>189.81700000000001</v>
      </c>
      <c r="AV49" s="3">
        <v>0</v>
      </c>
      <c r="AW49" s="1">
        <f t="shared" si="9"/>
        <v>0</v>
      </c>
    </row>
    <row r="50" spans="1:49" x14ac:dyDescent="0.3">
      <c r="A50" s="2">
        <v>2.9501E-9</v>
      </c>
      <c r="B50" s="2">
        <v>164.36699999999999</v>
      </c>
      <c r="C50" s="3">
        <v>5.37861055121805E-2</v>
      </c>
      <c r="D50" s="1">
        <f t="shared" si="0"/>
        <v>8.8406608047205726</v>
      </c>
      <c r="F50" s="2">
        <v>2.9501E-9</v>
      </c>
      <c r="G50" s="2">
        <v>164.36699999999999</v>
      </c>
      <c r="H50" s="3">
        <v>0</v>
      </c>
      <c r="I50" s="1">
        <f t="shared" si="1"/>
        <v>0</v>
      </c>
      <c r="K50" s="2">
        <v>2.9501E-9</v>
      </c>
      <c r="L50" s="2">
        <v>164.36699999999999</v>
      </c>
      <c r="M50" s="3">
        <v>0</v>
      </c>
      <c r="N50" s="1">
        <f t="shared" si="2"/>
        <v>0</v>
      </c>
      <c r="P50" s="2">
        <v>2.9501E-9</v>
      </c>
      <c r="Q50" s="2">
        <v>164.36699999999999</v>
      </c>
      <c r="R50" s="3">
        <v>0</v>
      </c>
      <c r="S50" s="1">
        <f t="shared" si="3"/>
        <v>0</v>
      </c>
      <c r="U50" s="2">
        <v>2.9501E-9</v>
      </c>
      <c r="V50" s="2">
        <v>164.36699999999999</v>
      </c>
      <c r="W50" s="16">
        <v>0</v>
      </c>
      <c r="X50" s="1">
        <f t="shared" si="4"/>
        <v>0</v>
      </c>
      <c r="Z50" s="2">
        <v>2.9501E-9</v>
      </c>
      <c r="AA50" s="2">
        <v>164.36699999999999</v>
      </c>
      <c r="AB50" s="3">
        <v>0</v>
      </c>
      <c r="AC50" s="1">
        <f t="shared" si="5"/>
        <v>0</v>
      </c>
      <c r="AE50" s="2">
        <v>2.9501E-9</v>
      </c>
      <c r="AF50" s="2">
        <v>164.36699999999999</v>
      </c>
      <c r="AG50" s="3">
        <v>0</v>
      </c>
      <c r="AH50" s="1">
        <f t="shared" si="6"/>
        <v>0</v>
      </c>
      <c r="AJ50" s="2">
        <v>2.9501E-9</v>
      </c>
      <c r="AK50" s="2">
        <v>164.36699999999999</v>
      </c>
      <c r="AL50" s="3">
        <v>7.9555062594527E-3</v>
      </c>
      <c r="AM50" s="1">
        <f t="shared" si="7"/>
        <v>1.3076226973474618</v>
      </c>
      <c r="AO50" s="2">
        <v>2.9501E-9</v>
      </c>
      <c r="AP50" s="2">
        <v>164.36699999999999</v>
      </c>
      <c r="AQ50" s="3">
        <v>1.04990548538983E-4</v>
      </c>
      <c r="AR50" s="1">
        <f t="shared" si="8"/>
        <v>1.725698149170702E-2</v>
      </c>
      <c r="AT50" s="2">
        <v>2.9501E-9</v>
      </c>
      <c r="AU50" s="2">
        <v>164.36699999999999</v>
      </c>
      <c r="AV50" s="3">
        <v>0</v>
      </c>
      <c r="AW50" s="1">
        <f t="shared" si="9"/>
        <v>0</v>
      </c>
    </row>
    <row r="51" spans="1:49" x14ac:dyDescent="0.3">
      <c r="A51" s="2">
        <v>3.3295000000000001E-9</v>
      </c>
      <c r="B51" s="2">
        <v>223.429</v>
      </c>
      <c r="C51" s="3">
        <v>4.9995026582073103E-2</v>
      </c>
      <c r="D51" s="1">
        <f t="shared" si="0"/>
        <v>11.170338794206012</v>
      </c>
      <c r="F51" s="2">
        <v>3.3295000000000001E-9</v>
      </c>
      <c r="G51" s="2">
        <v>223.429</v>
      </c>
      <c r="H51" s="3">
        <v>0</v>
      </c>
      <c r="I51" s="1">
        <f t="shared" si="1"/>
        <v>0</v>
      </c>
      <c r="K51" s="2">
        <v>3.3295000000000001E-9</v>
      </c>
      <c r="L51" s="2">
        <v>223.429</v>
      </c>
      <c r="M51" s="3">
        <v>0</v>
      </c>
      <c r="N51" s="1">
        <f t="shared" si="2"/>
        <v>0</v>
      </c>
      <c r="P51" s="2">
        <v>3.3295000000000001E-9</v>
      </c>
      <c r="Q51" s="2">
        <v>223.429</v>
      </c>
      <c r="R51" s="3">
        <v>0</v>
      </c>
      <c r="S51" s="1">
        <f t="shared" si="3"/>
        <v>0</v>
      </c>
      <c r="U51" s="2">
        <v>3.3295000000000001E-9</v>
      </c>
      <c r="V51" s="2">
        <v>223.429</v>
      </c>
      <c r="W51" s="16">
        <v>0</v>
      </c>
      <c r="X51" s="1">
        <f t="shared" si="4"/>
        <v>0</v>
      </c>
      <c r="Z51" s="2">
        <v>3.3295000000000001E-9</v>
      </c>
      <c r="AA51" s="2">
        <v>223.429</v>
      </c>
      <c r="AB51" s="3">
        <v>0</v>
      </c>
      <c r="AC51" s="1">
        <f t="shared" si="5"/>
        <v>0</v>
      </c>
      <c r="AE51" s="2">
        <v>3.3295000000000001E-9</v>
      </c>
      <c r="AF51" s="2">
        <v>223.429</v>
      </c>
      <c r="AG51" s="3">
        <v>0</v>
      </c>
      <c r="AH51" s="1">
        <f t="shared" si="6"/>
        <v>0</v>
      </c>
      <c r="AJ51" s="2">
        <v>3.3295000000000001E-9</v>
      </c>
      <c r="AK51" s="2">
        <v>223.429</v>
      </c>
      <c r="AL51" s="3">
        <v>7.3935605654999199E-3</v>
      </c>
      <c r="AM51" s="1">
        <f t="shared" si="7"/>
        <v>1.6519358435890816</v>
      </c>
      <c r="AO51" s="2">
        <v>3.3295000000000001E-9</v>
      </c>
      <c r="AP51" s="2">
        <v>223.429</v>
      </c>
      <c r="AQ51" s="2">
        <v>9.7575704773015406E-5</v>
      </c>
      <c r="AR51" s="1">
        <f t="shared" si="8"/>
        <v>2.180124214173006E-2</v>
      </c>
      <c r="AT51" s="2">
        <v>3.3295000000000001E-9</v>
      </c>
      <c r="AU51" s="2">
        <v>223.429</v>
      </c>
      <c r="AV51" s="3">
        <v>0</v>
      </c>
      <c r="AW51" s="1">
        <f t="shared" si="9"/>
        <v>0</v>
      </c>
    </row>
    <row r="52" spans="1:49" x14ac:dyDescent="0.3">
      <c r="A52" s="2">
        <v>3.7578000000000004E-9</v>
      </c>
      <c r="B52" s="2">
        <v>267.90199999999999</v>
      </c>
      <c r="C52" s="3">
        <v>4.6444582970157799E-2</v>
      </c>
      <c r="D52" s="1">
        <f t="shared" si="0"/>
        <v>12.442596666871214</v>
      </c>
      <c r="F52" s="2">
        <v>3.7578000000000004E-9</v>
      </c>
      <c r="G52" s="2">
        <v>267.90199999999999</v>
      </c>
      <c r="H52" s="3">
        <v>0</v>
      </c>
      <c r="I52" s="1">
        <f t="shared" si="1"/>
        <v>0</v>
      </c>
      <c r="K52" s="2">
        <v>3.7578000000000004E-9</v>
      </c>
      <c r="L52" s="2">
        <v>267.90199999999999</v>
      </c>
      <c r="M52" s="3">
        <v>0</v>
      </c>
      <c r="N52" s="1">
        <f t="shared" si="2"/>
        <v>0</v>
      </c>
      <c r="P52" s="2">
        <v>3.7578000000000004E-9</v>
      </c>
      <c r="Q52" s="2">
        <v>267.90199999999999</v>
      </c>
      <c r="R52" s="3">
        <v>0</v>
      </c>
      <c r="S52" s="1">
        <f t="shared" si="3"/>
        <v>0</v>
      </c>
      <c r="U52" s="2">
        <v>3.7578000000000004E-9</v>
      </c>
      <c r="V52" s="2">
        <v>267.90199999999999</v>
      </c>
      <c r="W52" s="16">
        <v>0</v>
      </c>
      <c r="X52" s="1">
        <f t="shared" si="4"/>
        <v>0</v>
      </c>
      <c r="Z52" s="2">
        <v>3.7578000000000004E-9</v>
      </c>
      <c r="AA52" s="2">
        <v>267.90199999999999</v>
      </c>
      <c r="AB52" s="3">
        <v>0</v>
      </c>
      <c r="AC52" s="1">
        <f t="shared" si="5"/>
        <v>0</v>
      </c>
      <c r="AE52" s="2">
        <v>3.7578000000000004E-9</v>
      </c>
      <c r="AF52" s="2">
        <v>267.90199999999999</v>
      </c>
      <c r="AG52" s="3">
        <v>0</v>
      </c>
      <c r="AH52" s="1">
        <f t="shared" si="6"/>
        <v>0</v>
      </c>
      <c r="AJ52" s="2">
        <v>3.7578000000000004E-9</v>
      </c>
      <c r="AK52" s="2">
        <v>267.90199999999999</v>
      </c>
      <c r="AL52" s="3">
        <v>6.8671959437440503E-3</v>
      </c>
      <c r="AM52" s="1">
        <f t="shared" si="7"/>
        <v>1.8397355277209184</v>
      </c>
      <c r="AO52" s="2">
        <v>3.7578000000000004E-9</v>
      </c>
      <c r="AP52" s="2">
        <v>267.90199999999999</v>
      </c>
      <c r="AQ52" s="2">
        <v>9.0629452298646401E-5</v>
      </c>
      <c r="AR52" s="1">
        <f t="shared" si="8"/>
        <v>2.4279811529711967E-2</v>
      </c>
      <c r="AT52" s="2">
        <v>3.7578000000000004E-9</v>
      </c>
      <c r="AU52" s="2">
        <v>267.90199999999999</v>
      </c>
      <c r="AV52" s="3">
        <v>0</v>
      </c>
      <c r="AW52" s="1">
        <f t="shared" si="9"/>
        <v>0</v>
      </c>
    </row>
    <row r="53" spans="1:49" x14ac:dyDescent="0.3">
      <c r="A53" s="2">
        <v>4.2411000000000002E-9</v>
      </c>
      <c r="B53" s="2">
        <v>400.822</v>
      </c>
      <c r="C53" s="3">
        <v>4.4228628461248302E-2</v>
      </c>
      <c r="D53" s="1">
        <f t="shared" si="0"/>
        <v>17.727807317094467</v>
      </c>
      <c r="F53" s="2">
        <v>4.2411000000000002E-9</v>
      </c>
      <c r="G53" s="2">
        <v>400.822</v>
      </c>
      <c r="H53" s="3">
        <v>0</v>
      </c>
      <c r="I53" s="1">
        <f t="shared" si="1"/>
        <v>0</v>
      </c>
      <c r="K53" s="2">
        <v>4.2411000000000002E-9</v>
      </c>
      <c r="L53" s="2">
        <v>400.822</v>
      </c>
      <c r="M53" s="3">
        <v>0</v>
      </c>
      <c r="N53" s="1">
        <f t="shared" si="2"/>
        <v>0</v>
      </c>
      <c r="P53" s="2">
        <v>4.2411000000000002E-9</v>
      </c>
      <c r="Q53" s="2">
        <v>400.822</v>
      </c>
      <c r="R53" s="3">
        <v>0</v>
      </c>
      <c r="S53" s="1">
        <f t="shared" si="3"/>
        <v>0</v>
      </c>
      <c r="U53" s="2">
        <v>4.2411000000000002E-9</v>
      </c>
      <c r="V53" s="2">
        <v>400.822</v>
      </c>
      <c r="W53" s="16">
        <v>0</v>
      </c>
      <c r="X53" s="1">
        <f t="shared" si="4"/>
        <v>0</v>
      </c>
      <c r="Z53" s="2">
        <v>4.2411000000000002E-9</v>
      </c>
      <c r="AA53" s="2">
        <v>400.822</v>
      </c>
      <c r="AB53" s="3">
        <v>0</v>
      </c>
      <c r="AC53" s="1">
        <f t="shared" si="5"/>
        <v>0</v>
      </c>
      <c r="AE53" s="2">
        <v>4.2411000000000002E-9</v>
      </c>
      <c r="AF53" s="2">
        <v>400.822</v>
      </c>
      <c r="AG53" s="3">
        <v>0</v>
      </c>
      <c r="AH53" s="1">
        <f t="shared" si="6"/>
        <v>0</v>
      </c>
      <c r="AJ53" s="2">
        <v>4.2411000000000002E-9</v>
      </c>
      <c r="AK53" s="2">
        <v>400.822</v>
      </c>
      <c r="AL53" s="3">
        <v>6.5385856282065098E-3</v>
      </c>
      <c r="AM53" s="1">
        <f t="shared" si="7"/>
        <v>2.6208089686689897</v>
      </c>
      <c r="AO53" s="2">
        <v>4.2411000000000002E-9</v>
      </c>
      <c r="AP53" s="2">
        <v>400.822</v>
      </c>
      <c r="AQ53" s="2">
        <v>8.6293213802058396E-5</v>
      </c>
      <c r="AR53" s="1">
        <f t="shared" si="8"/>
        <v>3.4588218542568654E-2</v>
      </c>
      <c r="AT53" s="2">
        <v>4.2411000000000002E-9</v>
      </c>
      <c r="AU53" s="2">
        <v>400.822</v>
      </c>
      <c r="AV53" s="3">
        <v>0</v>
      </c>
      <c r="AW53" s="1">
        <f t="shared" si="9"/>
        <v>0</v>
      </c>
    </row>
    <row r="54" spans="1:49" x14ac:dyDescent="0.3">
      <c r="A54" s="2">
        <v>4.7866999999999996E-9</v>
      </c>
      <c r="B54" s="2">
        <v>422.10399999999998</v>
      </c>
      <c r="C54" s="3">
        <v>4.2119046919890199E-2</v>
      </c>
      <c r="D54" s="1">
        <f t="shared" si="0"/>
        <v>17.77861818107333</v>
      </c>
      <c r="F54" s="2">
        <v>4.7866999999999996E-9</v>
      </c>
      <c r="G54" s="2">
        <v>422.10399999999998</v>
      </c>
      <c r="H54" s="3">
        <v>0</v>
      </c>
      <c r="I54" s="1">
        <f t="shared" si="1"/>
        <v>0</v>
      </c>
      <c r="K54" s="2">
        <v>4.7866999999999996E-9</v>
      </c>
      <c r="L54" s="2">
        <v>422.10399999999998</v>
      </c>
      <c r="M54" s="3">
        <v>0</v>
      </c>
      <c r="N54" s="1">
        <f t="shared" si="2"/>
        <v>0</v>
      </c>
      <c r="P54" s="2">
        <v>4.7866999999999996E-9</v>
      </c>
      <c r="Q54" s="2">
        <v>422.10399999999998</v>
      </c>
      <c r="R54" s="3">
        <v>0</v>
      </c>
      <c r="S54" s="1">
        <f t="shared" si="3"/>
        <v>0</v>
      </c>
      <c r="U54" s="2">
        <v>4.7866999999999996E-9</v>
      </c>
      <c r="V54" s="2">
        <v>422.10399999999998</v>
      </c>
      <c r="W54" s="16">
        <v>0</v>
      </c>
      <c r="X54" s="1">
        <f t="shared" si="4"/>
        <v>0</v>
      </c>
      <c r="Z54" s="2">
        <v>4.7866999999999996E-9</v>
      </c>
      <c r="AA54" s="2">
        <v>422.10399999999998</v>
      </c>
      <c r="AB54" s="3">
        <v>0</v>
      </c>
      <c r="AC54" s="1">
        <f t="shared" si="5"/>
        <v>0</v>
      </c>
      <c r="AE54" s="2">
        <v>4.7866999999999996E-9</v>
      </c>
      <c r="AF54" s="2">
        <v>422.10399999999998</v>
      </c>
      <c r="AG54" s="3">
        <v>0</v>
      </c>
      <c r="AH54" s="1">
        <f t="shared" si="6"/>
        <v>0</v>
      </c>
      <c r="AJ54" s="2">
        <v>4.7866999999999996E-9</v>
      </c>
      <c r="AK54" s="2">
        <v>422.10399999999998</v>
      </c>
      <c r="AL54" s="3">
        <v>6.22565842989075E-3</v>
      </c>
      <c r="AM54" s="1">
        <f t="shared" si="7"/>
        <v>2.6278753258906051</v>
      </c>
      <c r="AO54" s="2">
        <v>4.7866999999999996E-9</v>
      </c>
      <c r="AP54" s="2">
        <v>422.10399999999998</v>
      </c>
      <c r="AQ54" s="2">
        <v>8.2164390591828298E-5</v>
      </c>
      <c r="AR54" s="1">
        <f t="shared" si="8"/>
        <v>3.4681917926373089E-2</v>
      </c>
      <c r="AT54" s="2">
        <v>4.7866999999999996E-9</v>
      </c>
      <c r="AU54" s="2">
        <v>422.10399999999998</v>
      </c>
      <c r="AV54" s="3">
        <v>0</v>
      </c>
      <c r="AW54" s="1">
        <f t="shared" si="9"/>
        <v>0</v>
      </c>
    </row>
    <row r="55" spans="1:49" x14ac:dyDescent="0.3">
      <c r="A55" s="2">
        <v>5.4022999999999998E-9</v>
      </c>
      <c r="B55" s="2">
        <v>670.13699999999994</v>
      </c>
      <c r="C55" s="3">
        <v>3.9155263632378902E-2</v>
      </c>
      <c r="D55" s="1">
        <f t="shared" si="0"/>
        <v>26.239390904811497</v>
      </c>
      <c r="F55" s="2">
        <v>5.4022999999999998E-9</v>
      </c>
      <c r="G55" s="2">
        <v>670.13699999999994</v>
      </c>
      <c r="H55" s="3">
        <v>0</v>
      </c>
      <c r="I55" s="1">
        <f t="shared" si="1"/>
        <v>0</v>
      </c>
      <c r="K55" s="2">
        <v>5.4022999999999998E-9</v>
      </c>
      <c r="L55" s="2">
        <v>670.13699999999994</v>
      </c>
      <c r="M55" s="3">
        <v>0</v>
      </c>
      <c r="N55" s="1">
        <f t="shared" si="2"/>
        <v>0</v>
      </c>
      <c r="P55" s="2">
        <v>5.4022999999999998E-9</v>
      </c>
      <c r="Q55" s="2">
        <v>670.13699999999994</v>
      </c>
      <c r="R55" s="3">
        <v>0</v>
      </c>
      <c r="S55" s="1">
        <f t="shared" si="3"/>
        <v>0</v>
      </c>
      <c r="U55" s="2">
        <v>5.4022999999999998E-9</v>
      </c>
      <c r="V55" s="2">
        <v>670.13699999999994</v>
      </c>
      <c r="W55" s="16">
        <v>0</v>
      </c>
      <c r="X55" s="1">
        <f t="shared" si="4"/>
        <v>0</v>
      </c>
      <c r="Z55" s="2">
        <v>5.4022999999999998E-9</v>
      </c>
      <c r="AA55" s="2">
        <v>670.13699999999994</v>
      </c>
      <c r="AB55" s="3">
        <v>0</v>
      </c>
      <c r="AC55" s="1">
        <f t="shared" si="5"/>
        <v>0</v>
      </c>
      <c r="AE55" s="2">
        <v>5.4022999999999998E-9</v>
      </c>
      <c r="AF55" s="2">
        <v>670.13699999999994</v>
      </c>
      <c r="AG55" s="3">
        <v>0</v>
      </c>
      <c r="AH55" s="1">
        <f t="shared" si="6"/>
        <v>0</v>
      </c>
      <c r="AJ55" s="2">
        <v>5.4022999999999998E-9</v>
      </c>
      <c r="AK55" s="2">
        <v>670.13699999999994</v>
      </c>
      <c r="AL55" s="3">
        <v>5.7858940210438799E-3</v>
      </c>
      <c r="AM55" s="1">
        <f t="shared" si="7"/>
        <v>3.877341661580282</v>
      </c>
      <c r="AO55" s="2">
        <v>5.4022999999999998E-9</v>
      </c>
      <c r="AP55" s="2">
        <v>670.13699999999994</v>
      </c>
      <c r="AQ55" s="2">
        <v>7.6361587253705906E-5</v>
      </c>
      <c r="AR55" s="1">
        <f t="shared" si="8"/>
        <v>5.1172724997436712E-2</v>
      </c>
      <c r="AT55" s="2">
        <v>5.4022999999999998E-9</v>
      </c>
      <c r="AU55" s="2">
        <v>670.13699999999994</v>
      </c>
      <c r="AV55" s="3">
        <v>0</v>
      </c>
      <c r="AW55" s="1">
        <f t="shared" si="9"/>
        <v>0</v>
      </c>
    </row>
    <row r="56" spans="1:49" x14ac:dyDescent="0.3">
      <c r="A56" s="2">
        <v>6.0972E-9</v>
      </c>
      <c r="B56" s="2">
        <v>779.18700000000001</v>
      </c>
      <c r="C56" s="3">
        <v>3.6379733680719298E-2</v>
      </c>
      <c r="D56" s="1">
        <f t="shared" si="0"/>
        <v>28.346615547478628</v>
      </c>
      <c r="F56" s="2">
        <v>6.0972E-9</v>
      </c>
      <c r="G56" s="2">
        <v>779.18700000000001</v>
      </c>
      <c r="H56" s="3">
        <v>0</v>
      </c>
      <c r="I56" s="1">
        <f t="shared" si="1"/>
        <v>0</v>
      </c>
      <c r="K56" s="2">
        <v>6.0972E-9</v>
      </c>
      <c r="L56" s="2">
        <v>779.18700000000001</v>
      </c>
      <c r="M56" s="3">
        <v>0</v>
      </c>
      <c r="N56" s="1">
        <f t="shared" si="2"/>
        <v>0</v>
      </c>
      <c r="P56" s="2">
        <v>6.0972E-9</v>
      </c>
      <c r="Q56" s="2">
        <v>779.18700000000001</v>
      </c>
      <c r="R56" s="3">
        <v>0</v>
      </c>
      <c r="S56" s="1">
        <f t="shared" si="3"/>
        <v>0</v>
      </c>
      <c r="U56" s="2">
        <v>6.0972E-9</v>
      </c>
      <c r="V56" s="2">
        <v>779.18700000000001</v>
      </c>
      <c r="W56" s="16">
        <v>0</v>
      </c>
      <c r="X56" s="1">
        <f t="shared" si="4"/>
        <v>0</v>
      </c>
      <c r="Z56" s="2">
        <v>6.0972E-9</v>
      </c>
      <c r="AA56" s="2">
        <v>779.18700000000001</v>
      </c>
      <c r="AB56" s="3">
        <v>0</v>
      </c>
      <c r="AC56" s="1">
        <f t="shared" si="5"/>
        <v>0</v>
      </c>
      <c r="AE56" s="2">
        <v>6.0972E-9</v>
      </c>
      <c r="AF56" s="2">
        <v>779.18700000000001</v>
      </c>
      <c r="AG56" s="3">
        <v>0</v>
      </c>
      <c r="AH56" s="1">
        <f t="shared" si="6"/>
        <v>0</v>
      </c>
      <c r="AJ56" s="2">
        <v>6.0972E-9</v>
      </c>
      <c r="AK56" s="2">
        <v>779.18700000000001</v>
      </c>
      <c r="AL56" s="3">
        <v>5.3739671452656601E-3</v>
      </c>
      <c r="AM56" s="1">
        <f t="shared" si="7"/>
        <v>4.1873253380181144</v>
      </c>
      <c r="AO56" s="2">
        <v>6.0972E-9</v>
      </c>
      <c r="AP56" s="2">
        <v>779.18700000000001</v>
      </c>
      <c r="AQ56" s="2">
        <v>7.0926102878619704E-5</v>
      </c>
      <c r="AR56" s="1">
        <f t="shared" si="8"/>
        <v>5.5264697323683054E-2</v>
      </c>
      <c r="AT56" s="2">
        <v>6.0972E-9</v>
      </c>
      <c r="AU56" s="2">
        <v>779.18700000000001</v>
      </c>
      <c r="AV56" s="3">
        <v>0</v>
      </c>
      <c r="AW56" s="1">
        <f t="shared" si="9"/>
        <v>0</v>
      </c>
    </row>
    <row r="57" spans="1:49" x14ac:dyDescent="0.3">
      <c r="A57" s="2">
        <v>6.8815000000000003E-9</v>
      </c>
      <c r="B57" s="2">
        <v>1116.28</v>
      </c>
      <c r="C57" s="3">
        <v>3.4647195145354803E-2</v>
      </c>
      <c r="D57" s="1">
        <f t="shared" si="0"/>
        <v>38.675970996856655</v>
      </c>
      <c r="F57" s="2">
        <v>6.8815000000000003E-9</v>
      </c>
      <c r="G57" s="2">
        <v>1116.28</v>
      </c>
      <c r="H57" s="3">
        <v>0</v>
      </c>
      <c r="I57" s="1">
        <f t="shared" si="1"/>
        <v>0</v>
      </c>
      <c r="K57" s="2">
        <v>6.8815000000000003E-9</v>
      </c>
      <c r="L57" s="2">
        <v>1116.28</v>
      </c>
      <c r="M57" s="3">
        <v>0</v>
      </c>
      <c r="N57" s="1">
        <f t="shared" si="2"/>
        <v>0</v>
      </c>
      <c r="P57" s="2">
        <v>6.8815000000000003E-9</v>
      </c>
      <c r="Q57" s="2">
        <v>1116.28</v>
      </c>
      <c r="R57" s="3">
        <v>0</v>
      </c>
      <c r="S57" s="1">
        <f t="shared" si="3"/>
        <v>0</v>
      </c>
      <c r="U57" s="2">
        <v>6.8815000000000003E-9</v>
      </c>
      <c r="V57" s="2">
        <v>1116.28</v>
      </c>
      <c r="W57" s="16">
        <v>0</v>
      </c>
      <c r="X57" s="1">
        <f t="shared" si="4"/>
        <v>0</v>
      </c>
      <c r="Z57" s="2">
        <v>6.8815000000000003E-9</v>
      </c>
      <c r="AA57" s="2">
        <v>1116.28</v>
      </c>
      <c r="AB57" s="3">
        <v>0</v>
      </c>
      <c r="AC57" s="1">
        <f t="shared" si="5"/>
        <v>0</v>
      </c>
      <c r="AE57" s="2">
        <v>6.8815000000000003E-9</v>
      </c>
      <c r="AF57" s="2">
        <v>1116.28</v>
      </c>
      <c r="AG57" s="3">
        <v>0</v>
      </c>
      <c r="AH57" s="1">
        <f t="shared" si="6"/>
        <v>0</v>
      </c>
      <c r="AJ57" s="2">
        <v>6.8815000000000003E-9</v>
      </c>
      <c r="AK57" s="2">
        <v>1116.28</v>
      </c>
      <c r="AL57" s="3">
        <v>5.1168130325698396E-3</v>
      </c>
      <c r="AM57" s="1">
        <f t="shared" si="7"/>
        <v>5.7117960519970605</v>
      </c>
      <c r="AO57" s="2">
        <v>6.8815000000000003E-9</v>
      </c>
      <c r="AP57" s="2">
        <v>1116.28</v>
      </c>
      <c r="AQ57" s="2">
        <v>6.7532652783780105E-5</v>
      </c>
      <c r="AR57" s="1">
        <f t="shared" si="8"/>
        <v>7.5385349649478059E-2</v>
      </c>
      <c r="AT57" s="2">
        <v>6.8815000000000003E-9</v>
      </c>
      <c r="AU57" s="2">
        <v>1116.28</v>
      </c>
      <c r="AV57" s="3">
        <v>0</v>
      </c>
      <c r="AW57" s="1">
        <f t="shared" si="9"/>
        <v>0</v>
      </c>
    </row>
    <row r="58" spans="1:49" x14ac:dyDescent="0.3">
      <c r="A58" s="2">
        <v>7.7665999999999992E-9</v>
      </c>
      <c r="B58" s="2">
        <v>1158.8900000000001</v>
      </c>
      <c r="C58" s="3">
        <v>3.2997609646870901E-2</v>
      </c>
      <c r="D58" s="1">
        <f t="shared" si="0"/>
        <v>38.240599843662224</v>
      </c>
      <c r="F58" s="2">
        <v>7.7665999999999992E-9</v>
      </c>
      <c r="G58" s="2">
        <v>1158.8900000000001</v>
      </c>
      <c r="H58" s="3">
        <v>0</v>
      </c>
      <c r="I58" s="1">
        <f t="shared" si="1"/>
        <v>0</v>
      </c>
      <c r="K58" s="2">
        <v>7.7665999999999992E-9</v>
      </c>
      <c r="L58" s="2">
        <v>1158.8900000000001</v>
      </c>
      <c r="M58" s="3">
        <v>0</v>
      </c>
      <c r="N58" s="1">
        <f t="shared" si="2"/>
        <v>0</v>
      </c>
      <c r="P58" s="2">
        <v>7.7665999999999992E-9</v>
      </c>
      <c r="Q58" s="2">
        <v>1158.8900000000001</v>
      </c>
      <c r="R58" s="3">
        <v>0</v>
      </c>
      <c r="S58" s="1">
        <f t="shared" si="3"/>
        <v>0</v>
      </c>
      <c r="U58" s="2">
        <v>7.7665999999999992E-9</v>
      </c>
      <c r="V58" s="2">
        <v>1158.8900000000001</v>
      </c>
      <c r="W58" s="16">
        <v>0</v>
      </c>
      <c r="X58" s="1">
        <f t="shared" si="4"/>
        <v>0</v>
      </c>
      <c r="Z58" s="2">
        <v>7.7665999999999992E-9</v>
      </c>
      <c r="AA58" s="2">
        <v>1158.8900000000001</v>
      </c>
      <c r="AB58" s="3">
        <v>0</v>
      </c>
      <c r="AC58" s="1">
        <f t="shared" si="5"/>
        <v>0</v>
      </c>
      <c r="AE58" s="2">
        <v>7.7665999999999992E-9</v>
      </c>
      <c r="AF58" s="2">
        <v>1158.8900000000001</v>
      </c>
      <c r="AG58" s="3">
        <v>0</v>
      </c>
      <c r="AH58" s="1">
        <f t="shared" si="6"/>
        <v>0</v>
      </c>
      <c r="AJ58" s="2">
        <v>7.7665999999999992E-9</v>
      </c>
      <c r="AK58" s="2">
        <v>1158.8900000000001</v>
      </c>
      <c r="AL58" s="3">
        <v>4.8719701668931198E-3</v>
      </c>
      <c r="AM58" s="1">
        <f t="shared" si="7"/>
        <v>5.6460775067107685</v>
      </c>
      <c r="AO58" s="2">
        <v>7.7665999999999992E-9</v>
      </c>
      <c r="AP58" s="2">
        <v>1158.8900000000001</v>
      </c>
      <c r="AQ58" s="2">
        <v>6.4301679528231895E-5</v>
      </c>
      <c r="AR58" s="1">
        <f t="shared" si="8"/>
        <v>7.4518573388472661E-2</v>
      </c>
      <c r="AT58" s="2">
        <v>7.7665999999999992E-9</v>
      </c>
      <c r="AU58" s="2">
        <v>1158.8900000000001</v>
      </c>
      <c r="AV58" s="3">
        <v>0</v>
      </c>
      <c r="AW58" s="1">
        <f t="shared" si="9"/>
        <v>0</v>
      </c>
    </row>
    <row r="59" spans="1:49" x14ac:dyDescent="0.3">
      <c r="A59" s="2">
        <v>8.7655E-9</v>
      </c>
      <c r="B59" s="2">
        <v>1543.73</v>
      </c>
      <c r="C59" s="3">
        <v>3.0679841011876301E-2</v>
      </c>
      <c r="D59" s="1">
        <f t="shared" si="0"/>
        <v>47.361390965263801</v>
      </c>
      <c r="F59" s="2">
        <v>8.7655E-9</v>
      </c>
      <c r="G59" s="2">
        <v>1543.73</v>
      </c>
      <c r="H59" s="3">
        <v>0</v>
      </c>
      <c r="I59" s="1">
        <f t="shared" si="1"/>
        <v>0</v>
      </c>
      <c r="K59" s="2">
        <v>8.7655E-9</v>
      </c>
      <c r="L59" s="2">
        <v>1543.73</v>
      </c>
      <c r="M59" s="3">
        <v>0</v>
      </c>
      <c r="N59" s="1">
        <f t="shared" si="2"/>
        <v>0</v>
      </c>
      <c r="P59" s="2">
        <v>8.7655E-9</v>
      </c>
      <c r="Q59" s="2">
        <v>1543.73</v>
      </c>
      <c r="R59" s="3">
        <v>0</v>
      </c>
      <c r="S59" s="1">
        <f t="shared" si="3"/>
        <v>0</v>
      </c>
      <c r="U59" s="2">
        <v>8.7655E-9</v>
      </c>
      <c r="V59" s="2">
        <v>1543.73</v>
      </c>
      <c r="W59" s="16">
        <v>0</v>
      </c>
      <c r="X59" s="1">
        <f t="shared" si="4"/>
        <v>0</v>
      </c>
      <c r="Z59" s="2">
        <v>8.7655E-9</v>
      </c>
      <c r="AA59" s="2">
        <v>1543.73</v>
      </c>
      <c r="AB59" s="3">
        <v>0</v>
      </c>
      <c r="AC59" s="1">
        <f t="shared" si="5"/>
        <v>0</v>
      </c>
      <c r="AE59" s="2">
        <v>8.7655E-9</v>
      </c>
      <c r="AF59" s="2">
        <v>1543.73</v>
      </c>
      <c r="AG59" s="3">
        <v>0</v>
      </c>
      <c r="AH59" s="1">
        <f t="shared" si="6"/>
        <v>0</v>
      </c>
      <c r="AJ59" s="2">
        <v>8.7655E-9</v>
      </c>
      <c r="AK59" s="2">
        <v>1543.73</v>
      </c>
      <c r="AL59" s="3">
        <v>4.5278409167672203E-3</v>
      </c>
      <c r="AM59" s="1">
        <f t="shared" si="7"/>
        <v>6.9897638584410613</v>
      </c>
      <c r="AO59" s="2">
        <v>8.7655E-9</v>
      </c>
      <c r="AP59" s="2">
        <v>1543.73</v>
      </c>
      <c r="AQ59" s="2">
        <v>5.9760828654561002E-5</v>
      </c>
      <c r="AR59" s="1">
        <f t="shared" si="8"/>
        <v>9.2254584018905461E-2</v>
      </c>
      <c r="AT59" s="2">
        <v>8.7655E-9</v>
      </c>
      <c r="AU59" s="2">
        <v>1543.73</v>
      </c>
      <c r="AV59" s="3">
        <v>0</v>
      </c>
      <c r="AW59" s="1">
        <f t="shared" si="9"/>
        <v>0</v>
      </c>
    </row>
    <row r="60" spans="1:49" x14ac:dyDescent="0.3">
      <c r="A60" s="2">
        <v>9.8929999999999996E-9</v>
      </c>
      <c r="B60" s="2">
        <v>1707.1</v>
      </c>
      <c r="C60" s="3">
        <v>2.8509564306679998E-2</v>
      </c>
      <c r="D60" s="1">
        <f t="shared" si="0"/>
        <v>48.668677227933422</v>
      </c>
      <c r="F60" s="2">
        <v>9.8929999999999996E-9</v>
      </c>
      <c r="G60" s="2">
        <v>1707.1</v>
      </c>
      <c r="H60" s="3">
        <v>0</v>
      </c>
      <c r="I60" s="1">
        <f t="shared" si="1"/>
        <v>0</v>
      </c>
      <c r="K60" s="2">
        <v>9.8929999999999996E-9</v>
      </c>
      <c r="L60" s="2">
        <v>1707.1</v>
      </c>
      <c r="M60" s="3">
        <v>0</v>
      </c>
      <c r="N60" s="1">
        <f t="shared" si="2"/>
        <v>0</v>
      </c>
      <c r="P60" s="2">
        <v>9.8929999999999996E-9</v>
      </c>
      <c r="Q60" s="2">
        <v>1707.1</v>
      </c>
      <c r="R60" s="3">
        <v>0</v>
      </c>
      <c r="S60" s="1">
        <f t="shared" si="3"/>
        <v>0</v>
      </c>
      <c r="U60" s="2">
        <v>9.8929999999999996E-9</v>
      </c>
      <c r="V60" s="2">
        <v>1707.1</v>
      </c>
      <c r="W60" s="16">
        <v>0</v>
      </c>
      <c r="X60" s="1">
        <f t="shared" si="4"/>
        <v>0</v>
      </c>
      <c r="Z60" s="2">
        <v>9.8929999999999996E-9</v>
      </c>
      <c r="AA60" s="2">
        <v>1707.1</v>
      </c>
      <c r="AB60" s="3">
        <v>0</v>
      </c>
      <c r="AC60" s="1">
        <f t="shared" si="5"/>
        <v>0</v>
      </c>
      <c r="AE60" s="2">
        <v>9.8929999999999996E-9</v>
      </c>
      <c r="AF60" s="2">
        <v>1707.1</v>
      </c>
      <c r="AG60" s="3">
        <v>0</v>
      </c>
      <c r="AH60" s="1">
        <f t="shared" si="6"/>
        <v>0</v>
      </c>
      <c r="AJ60" s="2">
        <v>9.8929999999999996E-9</v>
      </c>
      <c r="AK60" s="2">
        <v>1707.1</v>
      </c>
      <c r="AL60" s="3">
        <v>4.2054964966572001E-3</v>
      </c>
      <c r="AM60" s="1">
        <f t="shared" si="7"/>
        <v>7.1792030694435063</v>
      </c>
      <c r="AO60" s="2">
        <v>9.8929999999999996E-9</v>
      </c>
      <c r="AP60" s="2">
        <v>1707.1</v>
      </c>
      <c r="AQ60" s="2">
        <v>5.5507344905587302E-5</v>
      </c>
      <c r="AR60" s="1">
        <f t="shared" si="8"/>
        <v>9.4756588488328075E-2</v>
      </c>
      <c r="AT60" s="2">
        <v>9.8929999999999996E-9</v>
      </c>
      <c r="AU60" s="2">
        <v>1707.1</v>
      </c>
      <c r="AV60" s="3">
        <v>0</v>
      </c>
      <c r="AW60" s="1">
        <f t="shared" si="9"/>
        <v>0</v>
      </c>
    </row>
    <row r="61" spans="1:49" x14ac:dyDescent="0.3">
      <c r="A61" s="2">
        <v>1.1164999999999999E-8</v>
      </c>
      <c r="B61" s="2">
        <v>2210.63</v>
      </c>
      <c r="C61" s="3">
        <v>2.71551414458895E-2</v>
      </c>
      <c r="D61" s="1">
        <f t="shared" si="0"/>
        <v>60.029970334526709</v>
      </c>
      <c r="F61" s="2">
        <v>1.1164999999999999E-8</v>
      </c>
      <c r="G61" s="2">
        <v>2210.63</v>
      </c>
      <c r="H61" s="3">
        <v>0</v>
      </c>
      <c r="I61" s="1">
        <f t="shared" si="1"/>
        <v>0</v>
      </c>
      <c r="K61" s="2">
        <v>1.1164999999999999E-8</v>
      </c>
      <c r="L61" s="2">
        <v>2210.63</v>
      </c>
      <c r="M61" s="3">
        <v>0</v>
      </c>
      <c r="N61" s="1">
        <f t="shared" si="2"/>
        <v>0</v>
      </c>
      <c r="P61" s="2">
        <v>1.1164999999999999E-8</v>
      </c>
      <c r="Q61" s="2">
        <v>2210.63</v>
      </c>
      <c r="R61" s="3">
        <v>0</v>
      </c>
      <c r="S61" s="1">
        <f t="shared" si="3"/>
        <v>0</v>
      </c>
      <c r="U61" s="2">
        <v>1.1164999999999999E-8</v>
      </c>
      <c r="V61" s="2">
        <v>2210.63</v>
      </c>
      <c r="W61" s="16">
        <v>0</v>
      </c>
      <c r="X61" s="1">
        <f t="shared" si="4"/>
        <v>0</v>
      </c>
      <c r="Z61" s="2">
        <v>1.1164999999999999E-8</v>
      </c>
      <c r="AA61" s="2">
        <v>2210.63</v>
      </c>
      <c r="AB61" s="3">
        <v>0</v>
      </c>
      <c r="AC61" s="1">
        <f t="shared" si="5"/>
        <v>0</v>
      </c>
      <c r="AE61" s="2">
        <v>1.1164999999999999E-8</v>
      </c>
      <c r="AF61" s="2">
        <v>2210.63</v>
      </c>
      <c r="AG61" s="3">
        <v>0</v>
      </c>
      <c r="AH61" s="1">
        <f t="shared" si="6"/>
        <v>0</v>
      </c>
      <c r="AJ61" s="2">
        <v>1.1164999999999999E-8</v>
      </c>
      <c r="AK61" s="2">
        <v>2210.63</v>
      </c>
      <c r="AL61" s="3">
        <v>4.0042575978311498E-3</v>
      </c>
      <c r="AM61" s="1">
        <f t="shared" si="7"/>
        <v>8.8519319734934747</v>
      </c>
      <c r="AO61" s="2">
        <v>1.1164999999999999E-8</v>
      </c>
      <c r="AP61" s="2">
        <v>2210.63</v>
      </c>
      <c r="AQ61" s="2">
        <v>5.2852024886080801E-5</v>
      </c>
      <c r="AR61" s="1">
        <f t="shared" si="8"/>
        <v>0.11683627177391681</v>
      </c>
      <c r="AT61" s="2">
        <v>1.1164999999999999E-8</v>
      </c>
      <c r="AU61" s="2">
        <v>2210.63</v>
      </c>
      <c r="AV61" s="3">
        <v>0</v>
      </c>
      <c r="AW61" s="1">
        <f t="shared" si="9"/>
        <v>0</v>
      </c>
    </row>
    <row r="62" spans="1:49" x14ac:dyDescent="0.3">
      <c r="A62" s="2">
        <v>1.2601999999999999E-8</v>
      </c>
      <c r="B62" s="2">
        <v>2233.09</v>
      </c>
      <c r="C62" s="3">
        <v>2.5866151368500401E-2</v>
      </c>
      <c r="D62" s="1">
        <f t="shared" si="0"/>
        <v>57.761443959484566</v>
      </c>
      <c r="F62" s="2">
        <v>1.2601999999999999E-8</v>
      </c>
      <c r="G62" s="2">
        <v>2233.09</v>
      </c>
      <c r="H62" s="3">
        <v>0</v>
      </c>
      <c r="I62" s="1">
        <f t="shared" si="1"/>
        <v>0</v>
      </c>
      <c r="K62" s="2">
        <v>1.2601999999999999E-8</v>
      </c>
      <c r="L62" s="2">
        <v>2233.09</v>
      </c>
      <c r="M62" s="3">
        <v>0</v>
      </c>
      <c r="N62" s="1">
        <f t="shared" si="2"/>
        <v>0</v>
      </c>
      <c r="P62" s="2">
        <v>1.2601999999999999E-8</v>
      </c>
      <c r="Q62" s="2">
        <v>2233.09</v>
      </c>
      <c r="R62" s="3">
        <v>0</v>
      </c>
      <c r="S62" s="1">
        <f t="shared" si="3"/>
        <v>0</v>
      </c>
      <c r="U62" s="2">
        <v>1.2601999999999999E-8</v>
      </c>
      <c r="V62" s="2">
        <v>2233.09</v>
      </c>
      <c r="W62" s="16">
        <v>0</v>
      </c>
      <c r="X62" s="1">
        <f t="shared" si="4"/>
        <v>0</v>
      </c>
      <c r="Z62" s="2">
        <v>1.2601999999999999E-8</v>
      </c>
      <c r="AA62" s="2">
        <v>2233.09</v>
      </c>
      <c r="AB62" s="3">
        <v>0</v>
      </c>
      <c r="AC62" s="1">
        <f t="shared" si="5"/>
        <v>0</v>
      </c>
      <c r="AE62" s="2">
        <v>1.2601999999999999E-8</v>
      </c>
      <c r="AF62" s="2">
        <v>2233.09</v>
      </c>
      <c r="AG62" s="3">
        <v>0</v>
      </c>
      <c r="AH62" s="1">
        <f t="shared" si="6"/>
        <v>0</v>
      </c>
      <c r="AJ62" s="2">
        <v>1.2601999999999999E-8</v>
      </c>
      <c r="AK62" s="2">
        <v>2233.09</v>
      </c>
      <c r="AL62" s="3">
        <v>3.8126540141482299E-3</v>
      </c>
      <c r="AM62" s="1">
        <f t="shared" si="7"/>
        <v>8.5139995524542709</v>
      </c>
      <c r="AO62" s="2">
        <v>1.2601999999999999E-8</v>
      </c>
      <c r="AP62" s="2">
        <v>2233.09</v>
      </c>
      <c r="AQ62" s="2">
        <v>5.0323984517263598E-5</v>
      </c>
      <c r="AR62" s="1">
        <f t="shared" si="8"/>
        <v>0.11237798658565618</v>
      </c>
      <c r="AT62" s="2">
        <v>1.2601999999999999E-8</v>
      </c>
      <c r="AU62" s="2">
        <v>2233.09</v>
      </c>
      <c r="AV62" s="3">
        <v>0</v>
      </c>
      <c r="AW62" s="1">
        <f t="shared" si="9"/>
        <v>0</v>
      </c>
    </row>
    <row r="63" spans="1:49" x14ac:dyDescent="0.3">
      <c r="A63" s="2">
        <v>1.4222999999999999E-8</v>
      </c>
      <c r="B63" s="2">
        <v>3109.46</v>
      </c>
      <c r="C63" s="3">
        <v>2.4055397415818601E-2</v>
      </c>
      <c r="D63" s="1">
        <f t="shared" si="0"/>
        <v>74.799296048591302</v>
      </c>
      <c r="F63" s="2">
        <v>1.4222999999999999E-8</v>
      </c>
      <c r="G63" s="2">
        <v>3109.46</v>
      </c>
      <c r="H63" s="3">
        <v>0</v>
      </c>
      <c r="I63" s="1">
        <f t="shared" si="1"/>
        <v>0</v>
      </c>
      <c r="K63" s="2">
        <v>1.4222999999999999E-8</v>
      </c>
      <c r="L63" s="2">
        <v>3109.46</v>
      </c>
      <c r="M63" s="3">
        <v>0</v>
      </c>
      <c r="N63" s="1">
        <f t="shared" si="2"/>
        <v>0</v>
      </c>
      <c r="P63" s="2">
        <v>1.4222999999999999E-8</v>
      </c>
      <c r="Q63" s="2">
        <v>3109.46</v>
      </c>
      <c r="R63" s="3">
        <v>0</v>
      </c>
      <c r="S63" s="1">
        <f t="shared" si="3"/>
        <v>0</v>
      </c>
      <c r="U63" s="2">
        <v>1.4222999999999999E-8</v>
      </c>
      <c r="V63" s="2">
        <v>3109.46</v>
      </c>
      <c r="W63" s="16">
        <v>0</v>
      </c>
      <c r="X63" s="1">
        <f t="shared" si="4"/>
        <v>0</v>
      </c>
      <c r="Z63" s="2">
        <v>1.4222999999999999E-8</v>
      </c>
      <c r="AA63" s="2">
        <v>3109.46</v>
      </c>
      <c r="AB63" s="3">
        <v>0</v>
      </c>
      <c r="AC63" s="1">
        <f t="shared" si="5"/>
        <v>0</v>
      </c>
      <c r="AE63" s="2">
        <v>1.4222999999999999E-8</v>
      </c>
      <c r="AF63" s="2">
        <v>3109.46</v>
      </c>
      <c r="AG63" s="3">
        <v>0</v>
      </c>
      <c r="AH63" s="1">
        <f t="shared" si="6"/>
        <v>0</v>
      </c>
      <c r="AJ63" s="2">
        <v>1.4222999999999999E-8</v>
      </c>
      <c r="AK63" s="2">
        <v>3109.46</v>
      </c>
      <c r="AL63" s="3">
        <v>3.5433675399891302E-3</v>
      </c>
      <c r="AM63" s="1">
        <f t="shared" si="7"/>
        <v>11.017959630894602</v>
      </c>
      <c r="AO63" s="2">
        <v>1.4222999999999999E-8</v>
      </c>
      <c r="AP63" s="2">
        <v>3109.46</v>
      </c>
      <c r="AQ63" s="2">
        <v>4.6771274036398997E-5</v>
      </c>
      <c r="AR63" s="1">
        <f t="shared" si="8"/>
        <v>0.14543340576522124</v>
      </c>
      <c r="AT63" s="2">
        <v>1.4222999999999999E-8</v>
      </c>
      <c r="AU63" s="2">
        <v>3109.46</v>
      </c>
      <c r="AV63" s="3">
        <v>0</v>
      </c>
      <c r="AW63" s="1">
        <f t="shared" si="9"/>
        <v>0</v>
      </c>
    </row>
    <row r="64" spans="1:49" x14ac:dyDescent="0.3">
      <c r="A64" s="2">
        <v>1.6052E-8</v>
      </c>
      <c r="B64" s="2">
        <v>3515.03</v>
      </c>
      <c r="C64" s="3">
        <v>2.2360491669814801E-2</v>
      </c>
      <c r="D64" s="1">
        <f t="shared" si="0"/>
        <v>78.597799034149119</v>
      </c>
      <c r="F64" s="2">
        <v>1.6052E-8</v>
      </c>
      <c r="G64" s="2">
        <v>3515.03</v>
      </c>
      <c r="H64" s="3">
        <v>0</v>
      </c>
      <c r="I64" s="1">
        <f t="shared" si="1"/>
        <v>0</v>
      </c>
      <c r="K64" s="2">
        <v>1.6052E-8</v>
      </c>
      <c r="L64" s="2">
        <v>3515.03</v>
      </c>
      <c r="M64" s="3">
        <v>0</v>
      </c>
      <c r="N64" s="1">
        <f t="shared" si="2"/>
        <v>0</v>
      </c>
      <c r="P64" s="2">
        <v>1.6052E-8</v>
      </c>
      <c r="Q64" s="2">
        <v>3515.03</v>
      </c>
      <c r="R64" s="3">
        <v>0</v>
      </c>
      <c r="S64" s="1">
        <f t="shared" si="3"/>
        <v>0</v>
      </c>
      <c r="U64" s="2">
        <v>1.6052E-8</v>
      </c>
      <c r="V64" s="2">
        <v>3515.03</v>
      </c>
      <c r="W64" s="16">
        <v>0</v>
      </c>
      <c r="X64" s="1">
        <f t="shared" si="4"/>
        <v>0</v>
      </c>
      <c r="Z64" s="2">
        <v>1.6052E-8</v>
      </c>
      <c r="AA64" s="2">
        <v>3515.03</v>
      </c>
      <c r="AB64" s="3">
        <v>0</v>
      </c>
      <c r="AC64" s="1">
        <f t="shared" si="5"/>
        <v>0</v>
      </c>
      <c r="AE64" s="2">
        <v>1.6052E-8</v>
      </c>
      <c r="AF64" s="2">
        <v>3515.03</v>
      </c>
      <c r="AG64" s="3">
        <v>0</v>
      </c>
      <c r="AH64" s="1">
        <f t="shared" si="6"/>
        <v>0</v>
      </c>
      <c r="AJ64" s="2">
        <v>1.6052E-8</v>
      </c>
      <c r="AK64" s="2">
        <v>3515.03</v>
      </c>
      <c r="AL64" s="3">
        <v>3.2911217528863099E-3</v>
      </c>
      <c r="AM64" s="1">
        <f t="shared" si="7"/>
        <v>11.568391695047966</v>
      </c>
      <c r="AO64" s="2">
        <v>1.6052E-8</v>
      </c>
      <c r="AP64" s="2">
        <v>3515.03</v>
      </c>
      <c r="AQ64" s="2">
        <v>4.3443899081520101E-5</v>
      </c>
      <c r="AR64" s="1">
        <f t="shared" si="8"/>
        <v>0.15270660858851562</v>
      </c>
      <c r="AT64" s="2">
        <v>1.6052E-8</v>
      </c>
      <c r="AU64" s="2">
        <v>3515.03</v>
      </c>
      <c r="AV64" s="3">
        <v>0</v>
      </c>
      <c r="AW64" s="1">
        <f t="shared" si="9"/>
        <v>0</v>
      </c>
    </row>
    <row r="65" spans="1:49" x14ac:dyDescent="0.3">
      <c r="A65" s="2">
        <v>1.8116999999999999E-8</v>
      </c>
      <c r="B65" s="2">
        <v>4418.26</v>
      </c>
      <c r="C65" s="3">
        <v>2.13031980057816E-2</v>
      </c>
      <c r="D65" s="1">
        <f t="shared" si="0"/>
        <v>94.123067621024617</v>
      </c>
      <c r="F65" s="2">
        <v>1.8116999999999999E-8</v>
      </c>
      <c r="G65" s="2">
        <v>4418.26</v>
      </c>
      <c r="H65" s="3">
        <v>0</v>
      </c>
      <c r="I65" s="1">
        <f t="shared" si="1"/>
        <v>0</v>
      </c>
      <c r="K65" s="2">
        <v>1.8116999999999999E-8</v>
      </c>
      <c r="L65" s="2">
        <v>4418.26</v>
      </c>
      <c r="M65" s="3">
        <v>0</v>
      </c>
      <c r="N65" s="1">
        <f t="shared" si="2"/>
        <v>0</v>
      </c>
      <c r="P65" s="2">
        <v>1.8116999999999999E-8</v>
      </c>
      <c r="Q65" s="2">
        <v>4418.26</v>
      </c>
      <c r="R65" s="3">
        <v>0</v>
      </c>
      <c r="S65" s="1">
        <f t="shared" si="3"/>
        <v>0</v>
      </c>
      <c r="U65" s="2">
        <v>1.8116999999999999E-8</v>
      </c>
      <c r="V65" s="2">
        <v>4418.26</v>
      </c>
      <c r="W65" s="16">
        <v>0</v>
      </c>
      <c r="X65" s="1">
        <f t="shared" si="4"/>
        <v>0</v>
      </c>
      <c r="Z65" s="2">
        <v>1.8116999999999999E-8</v>
      </c>
      <c r="AA65" s="2">
        <v>4418.26</v>
      </c>
      <c r="AB65" s="3">
        <v>0</v>
      </c>
      <c r="AC65" s="1">
        <f t="shared" si="5"/>
        <v>0</v>
      </c>
      <c r="AE65" s="2">
        <v>1.8116999999999999E-8</v>
      </c>
      <c r="AF65" s="2">
        <v>4418.26</v>
      </c>
      <c r="AG65" s="3">
        <v>0</v>
      </c>
      <c r="AH65" s="1">
        <f t="shared" si="6"/>
        <v>0</v>
      </c>
      <c r="AJ65" s="2">
        <v>1.8116999999999999E-8</v>
      </c>
      <c r="AK65" s="2">
        <v>4418.26</v>
      </c>
      <c r="AL65" s="3">
        <v>3.1336485530572798E-3</v>
      </c>
      <c r="AM65" s="1">
        <f t="shared" si="7"/>
        <v>13.845274056030858</v>
      </c>
      <c r="AO65" s="2">
        <v>1.8116999999999999E-8</v>
      </c>
      <c r="AP65" s="2">
        <v>4418.26</v>
      </c>
      <c r="AQ65" s="2">
        <v>4.1366713562003698E-5</v>
      </c>
      <c r="AR65" s="1">
        <f t="shared" si="8"/>
        <v>0.18276889586245848</v>
      </c>
      <c r="AT65" s="2">
        <v>1.8116999999999999E-8</v>
      </c>
      <c r="AU65" s="2">
        <v>4418.26</v>
      </c>
      <c r="AV65" s="3">
        <v>0</v>
      </c>
      <c r="AW65" s="1">
        <f t="shared" si="9"/>
        <v>0</v>
      </c>
    </row>
    <row r="66" spans="1:49" x14ac:dyDescent="0.3">
      <c r="A66" s="2">
        <v>2.0447000000000001E-8</v>
      </c>
      <c r="B66" s="2">
        <v>5466.65</v>
      </c>
      <c r="C66" s="3">
        <v>2.0297034877411899E-2</v>
      </c>
      <c r="D66" s="1">
        <f t="shared" si="0"/>
        <v>110.95678571260375</v>
      </c>
      <c r="F66" s="2">
        <v>2.0447000000000001E-8</v>
      </c>
      <c r="G66" s="2">
        <v>5466.65</v>
      </c>
      <c r="H66" s="3">
        <v>0</v>
      </c>
      <c r="I66" s="1">
        <f t="shared" si="1"/>
        <v>0</v>
      </c>
      <c r="K66" s="2">
        <v>2.0447000000000001E-8</v>
      </c>
      <c r="L66" s="2">
        <v>5466.65</v>
      </c>
      <c r="M66" s="3">
        <v>0</v>
      </c>
      <c r="N66" s="1">
        <f t="shared" si="2"/>
        <v>0</v>
      </c>
      <c r="P66" s="2">
        <v>2.0447000000000001E-8</v>
      </c>
      <c r="Q66" s="2">
        <v>5466.65</v>
      </c>
      <c r="R66" s="3">
        <v>0</v>
      </c>
      <c r="S66" s="1">
        <f t="shared" si="3"/>
        <v>0</v>
      </c>
      <c r="U66" s="2">
        <v>2.0447000000000001E-8</v>
      </c>
      <c r="V66" s="2">
        <v>5466.65</v>
      </c>
      <c r="W66" s="16">
        <v>0</v>
      </c>
      <c r="X66" s="1">
        <f t="shared" si="4"/>
        <v>0</v>
      </c>
      <c r="Z66" s="2">
        <v>2.0447000000000001E-8</v>
      </c>
      <c r="AA66" s="2">
        <v>5466.65</v>
      </c>
      <c r="AB66" s="3">
        <v>0</v>
      </c>
      <c r="AC66" s="1">
        <f t="shared" si="5"/>
        <v>0</v>
      </c>
      <c r="AE66" s="2">
        <v>2.0447000000000001E-8</v>
      </c>
      <c r="AF66" s="2">
        <v>5466.65</v>
      </c>
      <c r="AG66" s="3">
        <v>0</v>
      </c>
      <c r="AH66" s="1">
        <f t="shared" si="6"/>
        <v>0</v>
      </c>
      <c r="AJ66" s="2">
        <v>2.0447000000000001E-8</v>
      </c>
      <c r="AK66" s="2">
        <v>5466.65</v>
      </c>
      <c r="AL66" s="3">
        <v>2.9837081504688399E-3</v>
      </c>
      <c r="AM66" s="1">
        <f t="shared" si="7"/>
        <v>16.310888160760484</v>
      </c>
      <c r="AO66" s="2">
        <v>2.0447000000000001E-8</v>
      </c>
      <c r="AP66" s="2">
        <v>5466.65</v>
      </c>
      <c r="AQ66" s="2">
        <v>3.9388870499090301E-5</v>
      </c>
      <c r="AR66" s="1">
        <f t="shared" si="8"/>
        <v>0.21532516891385198</v>
      </c>
      <c r="AT66" s="2">
        <v>2.0447000000000001E-8</v>
      </c>
      <c r="AU66" s="2">
        <v>5466.65</v>
      </c>
      <c r="AV66" s="3">
        <v>0</v>
      </c>
      <c r="AW66" s="1">
        <f t="shared" si="9"/>
        <v>0</v>
      </c>
    </row>
    <row r="67" spans="1:49" x14ac:dyDescent="0.3">
      <c r="A67" s="2">
        <v>2.3076999999999999E-8</v>
      </c>
      <c r="B67" s="2">
        <v>6325.35</v>
      </c>
      <c r="C67" s="3">
        <v>1.93396781694481E-2</v>
      </c>
      <c r="D67" s="1">
        <f t="shared" si="0"/>
        <v>122.33023330911855</v>
      </c>
      <c r="F67" s="2">
        <v>2.3076999999999999E-8</v>
      </c>
      <c r="G67" s="2">
        <v>6325.35</v>
      </c>
      <c r="H67" s="3">
        <v>0</v>
      </c>
      <c r="I67" s="1">
        <f t="shared" si="1"/>
        <v>0</v>
      </c>
      <c r="K67" s="2">
        <v>2.3076999999999999E-8</v>
      </c>
      <c r="L67" s="2">
        <v>6325.35</v>
      </c>
      <c r="M67" s="3">
        <v>0</v>
      </c>
      <c r="N67" s="1">
        <f t="shared" si="2"/>
        <v>0</v>
      </c>
      <c r="P67" s="2">
        <v>2.3076999999999999E-8</v>
      </c>
      <c r="Q67" s="2">
        <v>6325.35</v>
      </c>
      <c r="R67" s="3">
        <v>0</v>
      </c>
      <c r="S67" s="1">
        <f t="shared" si="3"/>
        <v>0</v>
      </c>
      <c r="U67" s="2">
        <v>2.3076999999999999E-8</v>
      </c>
      <c r="V67" s="2">
        <v>6325.35</v>
      </c>
      <c r="W67" s="16">
        <v>0</v>
      </c>
      <c r="X67" s="1">
        <f t="shared" si="4"/>
        <v>0</v>
      </c>
      <c r="Z67" s="2">
        <v>2.3076999999999999E-8</v>
      </c>
      <c r="AA67" s="2">
        <v>6325.35</v>
      </c>
      <c r="AB67" s="3">
        <v>0</v>
      </c>
      <c r="AC67" s="1">
        <f t="shared" si="5"/>
        <v>0</v>
      </c>
      <c r="AE67" s="2">
        <v>2.3076999999999999E-8</v>
      </c>
      <c r="AF67" s="2">
        <v>6325.35</v>
      </c>
      <c r="AG67" s="3">
        <v>0</v>
      </c>
      <c r="AH67" s="1">
        <f t="shared" si="6"/>
        <v>0</v>
      </c>
      <c r="AJ67" s="2">
        <v>2.3076999999999999E-8</v>
      </c>
      <c r="AK67" s="2">
        <v>6325.35</v>
      </c>
      <c r="AL67" s="3">
        <v>2.84093787303522E-3</v>
      </c>
      <c r="AM67" s="1">
        <f t="shared" si="7"/>
        <v>17.969926375203329</v>
      </c>
      <c r="AO67" s="2">
        <v>2.3076999999999999E-8</v>
      </c>
      <c r="AP67" s="2">
        <v>6325.35</v>
      </c>
      <c r="AQ67" s="2">
        <v>3.7505499263547802E-5</v>
      </c>
      <c r="AR67" s="1">
        <f t="shared" si="8"/>
        <v>0.23723540976668211</v>
      </c>
      <c r="AT67" s="2">
        <v>2.3076999999999999E-8</v>
      </c>
      <c r="AU67" s="2">
        <v>6325.35</v>
      </c>
      <c r="AV67" s="3">
        <v>0</v>
      </c>
      <c r="AW67" s="1">
        <f t="shared" si="9"/>
        <v>0</v>
      </c>
    </row>
    <row r="68" spans="1:49" x14ac:dyDescent="0.3">
      <c r="A68" s="2">
        <v>2.6044999999999999E-8</v>
      </c>
      <c r="B68" s="2">
        <v>6964.39</v>
      </c>
      <c r="C68" s="3">
        <v>1.7911986085349701E-2</v>
      </c>
      <c r="D68" s="1">
        <f t="shared" ref="D68:D131" si="10">B68*C68</f>
        <v>124.74605677294861</v>
      </c>
      <c r="F68" s="2">
        <v>2.6044999999999999E-8</v>
      </c>
      <c r="G68" s="2">
        <v>6964.39</v>
      </c>
      <c r="H68" s="3">
        <v>0</v>
      </c>
      <c r="I68" s="1">
        <f t="shared" ref="I68:I131" si="11">G68*H68</f>
        <v>0</v>
      </c>
      <c r="K68" s="2">
        <v>2.6044999999999999E-8</v>
      </c>
      <c r="L68" s="2">
        <v>6964.39</v>
      </c>
      <c r="M68" s="3">
        <v>0</v>
      </c>
      <c r="N68" s="1">
        <f t="shared" ref="N68:N131" si="12">L68*M68</f>
        <v>0</v>
      </c>
      <c r="P68" s="2">
        <v>2.6044999999999999E-8</v>
      </c>
      <c r="Q68" s="2">
        <v>6964.39</v>
      </c>
      <c r="R68" s="3">
        <v>0</v>
      </c>
      <c r="S68" s="1">
        <f t="shared" ref="S68:S131" si="13">Q68*R68</f>
        <v>0</v>
      </c>
      <c r="U68" s="2">
        <v>2.6044999999999999E-8</v>
      </c>
      <c r="V68" s="2">
        <v>6964.39</v>
      </c>
      <c r="W68" s="16">
        <v>0</v>
      </c>
      <c r="X68" s="1">
        <f t="shared" ref="X68:X131" si="14">V68*W68</f>
        <v>0</v>
      </c>
      <c r="Z68" s="2">
        <v>2.6044999999999999E-8</v>
      </c>
      <c r="AA68" s="2">
        <v>6964.39</v>
      </c>
      <c r="AB68" s="3">
        <v>0</v>
      </c>
      <c r="AC68" s="1">
        <f t="shared" ref="AC68:AC131" si="15">AA68*AB68</f>
        <v>0</v>
      </c>
      <c r="AE68" s="2">
        <v>2.6044999999999999E-8</v>
      </c>
      <c r="AF68" s="2">
        <v>6964.39</v>
      </c>
      <c r="AG68" s="3">
        <v>0</v>
      </c>
      <c r="AH68" s="1">
        <f t="shared" ref="AH68:AH131" si="16">AF68*AG68</f>
        <v>0</v>
      </c>
      <c r="AJ68" s="2">
        <v>2.6044999999999999E-8</v>
      </c>
      <c r="AK68" s="2">
        <v>6964.39</v>
      </c>
      <c r="AL68" s="3">
        <v>2.6278026763332301E-3</v>
      </c>
      <c r="AM68" s="1">
        <f t="shared" ref="AM68:AM131" si="17">AK68*AL68</f>
        <v>18.301042681028385</v>
      </c>
      <c r="AO68" s="2">
        <v>2.6044999999999999E-8</v>
      </c>
      <c r="AP68" s="2">
        <v>6964.39</v>
      </c>
      <c r="AQ68" s="2">
        <v>3.46934307548531E-5</v>
      </c>
      <c r="AR68" s="1">
        <f t="shared" ref="AR68:AR131" si="18">AP68*AQ68</f>
        <v>0.24161858221479141</v>
      </c>
      <c r="AT68" s="2">
        <v>2.6044999999999999E-8</v>
      </c>
      <c r="AU68" s="2">
        <v>6964.39</v>
      </c>
      <c r="AV68" s="3">
        <v>0</v>
      </c>
      <c r="AW68" s="1">
        <f t="shared" ref="AW68:AW131" si="19">AU68*AV68</f>
        <v>0</v>
      </c>
    </row>
    <row r="69" spans="1:49" x14ac:dyDescent="0.3">
      <c r="A69" s="2">
        <v>2.9395E-8</v>
      </c>
      <c r="B69" s="2">
        <v>8349.0499999999993</v>
      </c>
      <c r="C69" s="3">
        <v>1.6815563855213201E-2</v>
      </c>
      <c r="D69" s="1">
        <f t="shared" si="10"/>
        <v>140.39398340536778</v>
      </c>
      <c r="F69" s="2">
        <v>2.9395E-8</v>
      </c>
      <c r="G69" s="2">
        <v>8349.0499999999993</v>
      </c>
      <c r="H69" s="3">
        <v>0</v>
      </c>
      <c r="I69" s="1">
        <f t="shared" si="11"/>
        <v>0</v>
      </c>
      <c r="K69" s="2">
        <v>2.9395E-8</v>
      </c>
      <c r="L69" s="2">
        <v>8349.0499999999993</v>
      </c>
      <c r="M69" s="3">
        <v>0</v>
      </c>
      <c r="N69" s="1">
        <f t="shared" si="12"/>
        <v>0</v>
      </c>
      <c r="P69" s="2">
        <v>2.9395E-8</v>
      </c>
      <c r="Q69" s="2">
        <v>8349.0499999999993</v>
      </c>
      <c r="R69" s="3">
        <v>0</v>
      </c>
      <c r="S69" s="1">
        <f t="shared" si="13"/>
        <v>0</v>
      </c>
      <c r="U69" s="2">
        <v>2.9395E-8</v>
      </c>
      <c r="V69" s="2">
        <v>8349.0499999999993</v>
      </c>
      <c r="W69" s="16">
        <v>0</v>
      </c>
      <c r="X69" s="1">
        <f t="shared" si="14"/>
        <v>0</v>
      </c>
      <c r="Z69" s="2">
        <v>2.9395E-8</v>
      </c>
      <c r="AA69" s="2">
        <v>8349.0499999999993</v>
      </c>
      <c r="AB69" s="3">
        <v>0</v>
      </c>
      <c r="AC69" s="1">
        <f t="shared" si="15"/>
        <v>0</v>
      </c>
      <c r="AE69" s="2">
        <v>2.9395E-8</v>
      </c>
      <c r="AF69" s="2">
        <v>8349.0499999999993</v>
      </c>
      <c r="AG69" s="3">
        <v>0</v>
      </c>
      <c r="AH69" s="1">
        <f t="shared" si="16"/>
        <v>0</v>
      </c>
      <c r="AJ69" s="2">
        <v>2.9395E-8</v>
      </c>
      <c r="AK69" s="2">
        <v>8349.0499999999993</v>
      </c>
      <c r="AL69" s="3">
        <v>2.46390593307545E-3</v>
      </c>
      <c r="AM69" s="1">
        <f t="shared" si="17"/>
        <v>20.571273830543586</v>
      </c>
      <c r="AO69" s="2">
        <v>2.9395E-8</v>
      </c>
      <c r="AP69" s="2">
        <v>8349.0499999999993</v>
      </c>
      <c r="AQ69" s="2">
        <v>3.2530840742888701E-5</v>
      </c>
      <c r="AR69" s="1">
        <f t="shared" si="18"/>
        <v>0.27160161590441489</v>
      </c>
      <c r="AT69" s="2">
        <v>2.9395E-8</v>
      </c>
      <c r="AU69" s="2">
        <v>8349.0499999999993</v>
      </c>
      <c r="AV69" s="3">
        <v>0</v>
      </c>
      <c r="AW69" s="1">
        <f t="shared" si="19"/>
        <v>0</v>
      </c>
    </row>
    <row r="70" spans="1:49" x14ac:dyDescent="0.3">
      <c r="A70" s="2">
        <v>3.3175999999999999E-8</v>
      </c>
      <c r="B70" s="2">
        <v>9170.17</v>
      </c>
      <c r="C70" s="3">
        <v>1.6027974827899801E-2</v>
      </c>
      <c r="D70" s="1">
        <f t="shared" si="10"/>
        <v>146.97925392756193</v>
      </c>
      <c r="F70" s="2">
        <v>3.3175999999999999E-8</v>
      </c>
      <c r="G70" s="2">
        <v>9170.17</v>
      </c>
      <c r="H70" s="3">
        <v>0</v>
      </c>
      <c r="I70" s="1">
        <f t="shared" si="11"/>
        <v>0</v>
      </c>
      <c r="K70" s="2">
        <v>3.3175999999999999E-8</v>
      </c>
      <c r="L70" s="2">
        <v>9170.17</v>
      </c>
      <c r="M70" s="3">
        <v>0</v>
      </c>
      <c r="N70" s="1">
        <f t="shared" si="12"/>
        <v>0</v>
      </c>
      <c r="P70" s="2">
        <v>3.3175999999999999E-8</v>
      </c>
      <c r="Q70" s="2">
        <v>9170.17</v>
      </c>
      <c r="R70" s="3">
        <v>0</v>
      </c>
      <c r="S70" s="1">
        <f t="shared" si="13"/>
        <v>0</v>
      </c>
      <c r="U70" s="2">
        <v>3.3175999999999999E-8</v>
      </c>
      <c r="V70" s="2">
        <v>9170.17</v>
      </c>
      <c r="W70" s="16">
        <v>0</v>
      </c>
      <c r="X70" s="1">
        <f t="shared" si="14"/>
        <v>0</v>
      </c>
      <c r="Z70" s="2">
        <v>3.3175999999999999E-8</v>
      </c>
      <c r="AA70" s="2">
        <v>9170.17</v>
      </c>
      <c r="AB70" s="3">
        <v>0</v>
      </c>
      <c r="AC70" s="1">
        <f t="shared" si="15"/>
        <v>0</v>
      </c>
      <c r="AE70" s="2">
        <v>3.3175999999999999E-8</v>
      </c>
      <c r="AF70" s="2">
        <v>9170.17</v>
      </c>
      <c r="AG70" s="3">
        <v>0</v>
      </c>
      <c r="AH70" s="1">
        <f t="shared" si="16"/>
        <v>0</v>
      </c>
      <c r="AJ70" s="2">
        <v>3.3175999999999999E-8</v>
      </c>
      <c r="AK70" s="2">
        <v>9170.17</v>
      </c>
      <c r="AL70" s="3">
        <v>2.3460375052055402E-3</v>
      </c>
      <c r="AM70" s="1">
        <f t="shared" si="17"/>
        <v>21.51356274911069</v>
      </c>
      <c r="AO70" s="2">
        <v>3.3175999999999999E-8</v>
      </c>
      <c r="AP70" s="2">
        <v>9170.17</v>
      </c>
      <c r="AQ70" s="2">
        <v>3.0975363943201301E-5</v>
      </c>
      <c r="AR70" s="1">
        <f t="shared" si="18"/>
        <v>0.28404935317102625</v>
      </c>
      <c r="AT70" s="2">
        <v>3.3175999999999999E-8</v>
      </c>
      <c r="AU70" s="2">
        <v>9170.17</v>
      </c>
      <c r="AV70" s="3">
        <v>0</v>
      </c>
      <c r="AW70" s="1">
        <f t="shared" si="19"/>
        <v>0</v>
      </c>
    </row>
    <row r="71" spans="1:49" x14ac:dyDescent="0.3">
      <c r="A71" s="2">
        <v>3.7443E-8</v>
      </c>
      <c r="B71" s="2">
        <v>10557.6</v>
      </c>
      <c r="C71" s="3">
        <v>1.5278894602620999E-2</v>
      </c>
      <c r="D71" s="1">
        <f t="shared" si="10"/>
        <v>161.30845765663148</v>
      </c>
      <c r="F71" s="2">
        <v>3.7443E-8</v>
      </c>
      <c r="G71" s="2">
        <v>10557.6</v>
      </c>
      <c r="H71" s="3">
        <v>0</v>
      </c>
      <c r="I71" s="1">
        <f t="shared" si="11"/>
        <v>0</v>
      </c>
      <c r="K71" s="2">
        <v>3.7443E-8</v>
      </c>
      <c r="L71" s="2">
        <v>10557.6</v>
      </c>
      <c r="M71" s="3">
        <v>0</v>
      </c>
      <c r="N71" s="1">
        <f t="shared" si="12"/>
        <v>0</v>
      </c>
      <c r="P71" s="2">
        <v>3.7443E-8</v>
      </c>
      <c r="Q71" s="2">
        <v>10557.6</v>
      </c>
      <c r="R71" s="3">
        <v>0</v>
      </c>
      <c r="S71" s="1">
        <f t="shared" si="13"/>
        <v>0</v>
      </c>
      <c r="U71" s="2">
        <v>3.7443E-8</v>
      </c>
      <c r="V71" s="2">
        <v>10557.6</v>
      </c>
      <c r="W71" s="16">
        <v>0</v>
      </c>
      <c r="X71" s="1">
        <f t="shared" si="14"/>
        <v>0</v>
      </c>
      <c r="Z71" s="2">
        <v>3.7443E-8</v>
      </c>
      <c r="AA71" s="2">
        <v>10557.6</v>
      </c>
      <c r="AB71" s="3">
        <v>0</v>
      </c>
      <c r="AC71" s="1">
        <f t="shared" si="15"/>
        <v>0</v>
      </c>
      <c r="AE71" s="2">
        <v>3.7443E-8</v>
      </c>
      <c r="AF71" s="2">
        <v>10557.6</v>
      </c>
      <c r="AG71" s="3">
        <v>0</v>
      </c>
      <c r="AH71" s="1">
        <f t="shared" si="16"/>
        <v>0</v>
      </c>
      <c r="AJ71" s="2">
        <v>3.7443E-8</v>
      </c>
      <c r="AK71" s="2">
        <v>10557.6</v>
      </c>
      <c r="AL71" s="3">
        <v>2.2338346034319898E-3</v>
      </c>
      <c r="AM71" s="1">
        <f t="shared" si="17"/>
        <v>23.583932209193577</v>
      </c>
      <c r="AO71" s="2">
        <v>3.7443E-8</v>
      </c>
      <c r="AP71" s="2">
        <v>10557.6</v>
      </c>
      <c r="AQ71" s="2">
        <v>2.94943250619676E-5</v>
      </c>
      <c r="AR71" s="1">
        <f t="shared" si="18"/>
        <v>0.31138928627422913</v>
      </c>
      <c r="AT71" s="2">
        <v>3.7443E-8</v>
      </c>
      <c r="AU71" s="2">
        <v>10557.6</v>
      </c>
      <c r="AV71" s="3">
        <v>0</v>
      </c>
      <c r="AW71" s="1">
        <f t="shared" si="19"/>
        <v>0</v>
      </c>
    </row>
    <row r="72" spans="1:49" x14ac:dyDescent="0.3">
      <c r="A72" s="2">
        <v>4.2260000000000003E-8</v>
      </c>
      <c r="B72" s="2">
        <v>10845.3</v>
      </c>
      <c r="C72" s="3">
        <v>1.4227974377736E-2</v>
      </c>
      <c r="D72" s="1">
        <f t="shared" si="10"/>
        <v>154.30665051886024</v>
      </c>
      <c r="F72" s="2">
        <v>4.2260000000000003E-8</v>
      </c>
      <c r="G72" s="2">
        <v>10845.3</v>
      </c>
      <c r="H72" s="3">
        <v>0</v>
      </c>
      <c r="I72" s="1">
        <f t="shared" si="11"/>
        <v>0</v>
      </c>
      <c r="K72" s="2">
        <v>4.2260000000000003E-8</v>
      </c>
      <c r="L72" s="2">
        <v>10845.3</v>
      </c>
      <c r="M72" s="3">
        <v>0</v>
      </c>
      <c r="N72" s="1">
        <f t="shared" si="12"/>
        <v>0</v>
      </c>
      <c r="P72" s="2">
        <v>4.2260000000000003E-8</v>
      </c>
      <c r="Q72" s="2">
        <v>10845.3</v>
      </c>
      <c r="R72" s="3">
        <v>0</v>
      </c>
      <c r="S72" s="1">
        <f t="shared" si="13"/>
        <v>0</v>
      </c>
      <c r="U72" s="2">
        <v>4.2260000000000003E-8</v>
      </c>
      <c r="V72" s="2">
        <v>10845.3</v>
      </c>
      <c r="W72" s="16">
        <v>0</v>
      </c>
      <c r="X72" s="1">
        <f t="shared" si="14"/>
        <v>0</v>
      </c>
      <c r="Z72" s="2">
        <v>4.2260000000000003E-8</v>
      </c>
      <c r="AA72" s="2">
        <v>10845.3</v>
      </c>
      <c r="AB72" s="3">
        <v>0</v>
      </c>
      <c r="AC72" s="1">
        <f t="shared" si="15"/>
        <v>0</v>
      </c>
      <c r="AE72" s="2">
        <v>4.2260000000000003E-8</v>
      </c>
      <c r="AF72" s="2">
        <v>10845.3</v>
      </c>
      <c r="AG72" s="3">
        <v>0</v>
      </c>
      <c r="AH72" s="1">
        <f t="shared" si="16"/>
        <v>0</v>
      </c>
      <c r="AJ72" s="2">
        <v>4.2260000000000003E-8</v>
      </c>
      <c r="AK72" s="2">
        <v>10845.3</v>
      </c>
      <c r="AL72" s="3">
        <v>2.0762045724307399E-3</v>
      </c>
      <c r="AM72" s="1">
        <f t="shared" si="17"/>
        <v>22.517061449383103</v>
      </c>
      <c r="AO72" s="2">
        <v>4.2260000000000003E-8</v>
      </c>
      <c r="AP72" s="2">
        <v>10845.3</v>
      </c>
      <c r="AQ72" s="2">
        <v>2.7412820305207602E-5</v>
      </c>
      <c r="AR72" s="1">
        <f t="shared" si="18"/>
        <v>0.29730026005606797</v>
      </c>
      <c r="AT72" s="2">
        <v>4.2260000000000003E-8</v>
      </c>
      <c r="AU72" s="2">
        <v>10845.3</v>
      </c>
      <c r="AV72" s="3">
        <v>0</v>
      </c>
      <c r="AW72" s="1">
        <f t="shared" si="19"/>
        <v>0</v>
      </c>
    </row>
    <row r="73" spans="1:49" x14ac:dyDescent="0.3">
      <c r="A73" s="2">
        <v>4.7694999999999998E-8</v>
      </c>
      <c r="B73" s="2">
        <v>12670.8</v>
      </c>
      <c r="C73" s="3">
        <v>1.32455797973259E-2</v>
      </c>
      <c r="D73" s="1">
        <f t="shared" si="10"/>
        <v>167.832092495957</v>
      </c>
      <c r="F73" s="2">
        <v>4.7694999999999998E-8</v>
      </c>
      <c r="G73" s="2">
        <v>12670.8</v>
      </c>
      <c r="H73" s="3">
        <v>0</v>
      </c>
      <c r="I73" s="1">
        <f t="shared" si="11"/>
        <v>0</v>
      </c>
      <c r="K73" s="2">
        <v>4.7694999999999998E-8</v>
      </c>
      <c r="L73" s="2">
        <v>12670.8</v>
      </c>
      <c r="M73" s="3">
        <v>0</v>
      </c>
      <c r="N73" s="1">
        <f t="shared" si="12"/>
        <v>0</v>
      </c>
      <c r="P73" s="2">
        <v>4.7694999999999998E-8</v>
      </c>
      <c r="Q73" s="2">
        <v>12670.8</v>
      </c>
      <c r="R73" s="3">
        <v>0</v>
      </c>
      <c r="S73" s="1">
        <f t="shared" si="13"/>
        <v>0</v>
      </c>
      <c r="U73" s="2">
        <v>4.7694999999999998E-8</v>
      </c>
      <c r="V73" s="2">
        <v>12670.8</v>
      </c>
      <c r="W73" s="16">
        <v>0</v>
      </c>
      <c r="X73" s="1">
        <f t="shared" si="14"/>
        <v>0</v>
      </c>
      <c r="Z73" s="2">
        <v>4.7694999999999998E-8</v>
      </c>
      <c r="AA73" s="2">
        <v>12670.8</v>
      </c>
      <c r="AB73" s="3">
        <v>0</v>
      </c>
      <c r="AC73" s="1">
        <f t="shared" si="15"/>
        <v>0</v>
      </c>
      <c r="AE73" s="2">
        <v>4.7694999999999998E-8</v>
      </c>
      <c r="AF73" s="2">
        <v>12670.8</v>
      </c>
      <c r="AG73" s="3">
        <v>0</v>
      </c>
      <c r="AH73" s="1">
        <f t="shared" si="16"/>
        <v>0</v>
      </c>
      <c r="AJ73" s="2">
        <v>4.7694999999999998E-8</v>
      </c>
      <c r="AK73" s="2">
        <v>12670.8</v>
      </c>
      <c r="AL73" s="3">
        <v>1.92860193450317E-3</v>
      </c>
      <c r="AM73" s="1">
        <f t="shared" si="17"/>
        <v>24.436929391702765</v>
      </c>
      <c r="AO73" s="2">
        <v>4.7694999999999998E-8</v>
      </c>
      <c r="AP73" s="2">
        <v>12670.8</v>
      </c>
      <c r="AQ73" s="2">
        <v>2.54631901323748E-5</v>
      </c>
      <c r="AR73" s="1">
        <f t="shared" si="18"/>
        <v>0.3226389895292946</v>
      </c>
      <c r="AT73" s="2">
        <v>4.7694999999999998E-8</v>
      </c>
      <c r="AU73" s="2">
        <v>12670.8</v>
      </c>
      <c r="AV73" s="3">
        <v>0</v>
      </c>
      <c r="AW73" s="1">
        <f t="shared" si="19"/>
        <v>0</v>
      </c>
    </row>
    <row r="74" spans="1:49" x14ac:dyDescent="0.3">
      <c r="A74" s="2">
        <v>5.383E-8</v>
      </c>
      <c r="B74" s="2">
        <v>13474.2</v>
      </c>
      <c r="C74" s="3">
        <v>1.26337296390934E-2</v>
      </c>
      <c r="D74" s="1">
        <f t="shared" si="10"/>
        <v>170.22939990307231</v>
      </c>
      <c r="F74" s="2">
        <v>5.383E-8</v>
      </c>
      <c r="G74" s="2">
        <v>13474.2</v>
      </c>
      <c r="H74" s="3">
        <v>0</v>
      </c>
      <c r="I74" s="1">
        <f t="shared" si="11"/>
        <v>0</v>
      </c>
      <c r="K74" s="2">
        <v>5.383E-8</v>
      </c>
      <c r="L74" s="2">
        <v>13474.2</v>
      </c>
      <c r="M74" s="3">
        <v>0</v>
      </c>
      <c r="N74" s="1">
        <f t="shared" si="12"/>
        <v>0</v>
      </c>
      <c r="P74" s="2">
        <v>5.383E-8</v>
      </c>
      <c r="Q74" s="2">
        <v>13474.2</v>
      </c>
      <c r="R74" s="3">
        <v>0</v>
      </c>
      <c r="S74" s="1">
        <f t="shared" si="13"/>
        <v>0</v>
      </c>
      <c r="U74" s="2">
        <v>5.383E-8</v>
      </c>
      <c r="V74" s="2">
        <v>13474.2</v>
      </c>
      <c r="W74" s="16">
        <v>0</v>
      </c>
      <c r="X74" s="1">
        <f t="shared" si="14"/>
        <v>0</v>
      </c>
      <c r="Z74" s="2">
        <v>5.383E-8</v>
      </c>
      <c r="AA74" s="2">
        <v>13474.2</v>
      </c>
      <c r="AB74" s="3">
        <v>0</v>
      </c>
      <c r="AC74" s="1">
        <f t="shared" si="15"/>
        <v>0</v>
      </c>
      <c r="AE74" s="2">
        <v>5.383E-8</v>
      </c>
      <c r="AF74" s="2">
        <v>13474.2</v>
      </c>
      <c r="AG74" s="3">
        <v>0</v>
      </c>
      <c r="AH74" s="1">
        <f t="shared" si="16"/>
        <v>0</v>
      </c>
      <c r="AJ74" s="2">
        <v>5.383E-8</v>
      </c>
      <c r="AK74" s="2">
        <v>13474.2</v>
      </c>
      <c r="AL74" s="3">
        <v>1.83644891790283E-3</v>
      </c>
      <c r="AM74" s="1">
        <f t="shared" si="17"/>
        <v>24.744680009606313</v>
      </c>
      <c r="AO74" s="2">
        <v>5.383E-8</v>
      </c>
      <c r="AP74" s="2">
        <v>13474.2</v>
      </c>
      <c r="AQ74" s="2">
        <v>2.4246084216324999E-5</v>
      </c>
      <c r="AR74" s="1">
        <f t="shared" si="18"/>
        <v>0.32669658794760631</v>
      </c>
      <c r="AT74" s="2">
        <v>5.383E-8</v>
      </c>
      <c r="AU74" s="2">
        <v>13474.2</v>
      </c>
      <c r="AV74" s="3">
        <v>0</v>
      </c>
      <c r="AW74" s="1">
        <f t="shared" si="19"/>
        <v>0</v>
      </c>
    </row>
    <row r="75" spans="1:49" x14ac:dyDescent="0.3">
      <c r="A75" s="2">
        <v>6.0754000000000003E-8</v>
      </c>
      <c r="B75" s="2">
        <v>13999.3</v>
      </c>
      <c r="C75" s="3">
        <v>1.20523075129235E-2</v>
      </c>
      <c r="D75" s="1">
        <f t="shared" si="10"/>
        <v>168.72386856566996</v>
      </c>
      <c r="F75" s="2">
        <v>6.0754000000000003E-8</v>
      </c>
      <c r="G75" s="2">
        <v>13999.3</v>
      </c>
      <c r="H75" s="3">
        <v>0</v>
      </c>
      <c r="I75" s="1">
        <f t="shared" si="11"/>
        <v>0</v>
      </c>
      <c r="K75" s="2">
        <v>6.0754000000000003E-8</v>
      </c>
      <c r="L75" s="2">
        <v>13999.3</v>
      </c>
      <c r="M75" s="3">
        <v>0</v>
      </c>
      <c r="N75" s="1">
        <f t="shared" si="12"/>
        <v>0</v>
      </c>
      <c r="P75" s="2">
        <v>6.0754000000000003E-8</v>
      </c>
      <c r="Q75" s="2">
        <v>13999.3</v>
      </c>
      <c r="R75" s="3">
        <v>0</v>
      </c>
      <c r="S75" s="1">
        <f t="shared" si="13"/>
        <v>0</v>
      </c>
      <c r="U75" s="2">
        <v>6.0754000000000003E-8</v>
      </c>
      <c r="V75" s="2">
        <v>13999.3</v>
      </c>
      <c r="W75" s="16">
        <v>0</v>
      </c>
      <c r="X75" s="1">
        <f t="shared" si="14"/>
        <v>0</v>
      </c>
      <c r="Z75" s="2">
        <v>6.0754000000000003E-8</v>
      </c>
      <c r="AA75" s="2">
        <v>13999.3</v>
      </c>
      <c r="AB75" s="3">
        <v>0</v>
      </c>
      <c r="AC75" s="1">
        <f t="shared" si="15"/>
        <v>0</v>
      </c>
      <c r="AE75" s="2">
        <v>6.0754000000000003E-8</v>
      </c>
      <c r="AF75" s="2">
        <v>13999.3</v>
      </c>
      <c r="AG75" s="3">
        <v>0</v>
      </c>
      <c r="AH75" s="1">
        <f t="shared" si="16"/>
        <v>0</v>
      </c>
      <c r="AJ75" s="2">
        <v>6.0754000000000003E-8</v>
      </c>
      <c r="AK75" s="2">
        <v>13999.3</v>
      </c>
      <c r="AL75" s="3">
        <v>1.74867737217633E-3</v>
      </c>
      <c r="AM75" s="1">
        <f t="shared" si="17"/>
        <v>24.480259136308096</v>
      </c>
      <c r="AO75" s="2">
        <v>6.0754000000000003E-8</v>
      </c>
      <c r="AP75" s="2">
        <v>13999.3</v>
      </c>
      <c r="AQ75" s="2">
        <v>2.3087242053731501E-5</v>
      </c>
      <c r="AR75" s="1">
        <f t="shared" si="18"/>
        <v>0.32320522768280341</v>
      </c>
      <c r="AT75" s="2">
        <v>6.0754000000000003E-8</v>
      </c>
      <c r="AU75" s="2">
        <v>13999.3</v>
      </c>
      <c r="AV75" s="3">
        <v>0</v>
      </c>
      <c r="AW75" s="1">
        <f t="shared" si="19"/>
        <v>0</v>
      </c>
    </row>
    <row r="76" spans="1:49" x14ac:dyDescent="0.3">
      <c r="A76" s="2">
        <v>6.8567999999999996E-8</v>
      </c>
      <c r="B76" s="2">
        <v>14112.8</v>
      </c>
      <c r="C76" s="3">
        <v>1.1237678298480399E-2</v>
      </c>
      <c r="D76" s="1">
        <f t="shared" si="10"/>
        <v>158.59510629079418</v>
      </c>
      <c r="F76" s="2">
        <v>6.8567999999999996E-8</v>
      </c>
      <c r="G76" s="2">
        <v>14112.8</v>
      </c>
      <c r="H76" s="3">
        <v>0</v>
      </c>
      <c r="I76" s="1">
        <f t="shared" si="11"/>
        <v>0</v>
      </c>
      <c r="K76" s="2">
        <v>6.8567999999999996E-8</v>
      </c>
      <c r="L76" s="2">
        <v>14112.8</v>
      </c>
      <c r="M76" s="3">
        <v>0</v>
      </c>
      <c r="N76" s="1">
        <f t="shared" si="12"/>
        <v>0</v>
      </c>
      <c r="P76" s="2">
        <v>6.8567999999999996E-8</v>
      </c>
      <c r="Q76" s="2">
        <v>14112.8</v>
      </c>
      <c r="R76" s="3">
        <v>0</v>
      </c>
      <c r="S76" s="1">
        <f t="shared" si="13"/>
        <v>0</v>
      </c>
      <c r="U76" s="2">
        <v>6.8567999999999996E-8</v>
      </c>
      <c r="V76" s="2">
        <v>14112.8</v>
      </c>
      <c r="W76" s="16">
        <v>0</v>
      </c>
      <c r="X76" s="1">
        <f t="shared" si="14"/>
        <v>0</v>
      </c>
      <c r="Z76" s="2">
        <v>6.8567999999999996E-8</v>
      </c>
      <c r="AA76" s="2">
        <v>14112.8</v>
      </c>
      <c r="AB76" s="3">
        <v>0</v>
      </c>
      <c r="AC76" s="1">
        <f t="shared" si="15"/>
        <v>0</v>
      </c>
      <c r="AE76" s="2">
        <v>6.8567999999999996E-8</v>
      </c>
      <c r="AF76" s="2">
        <v>14112.8</v>
      </c>
      <c r="AG76" s="3">
        <v>0</v>
      </c>
      <c r="AH76" s="1">
        <f t="shared" si="16"/>
        <v>0</v>
      </c>
      <c r="AJ76" s="2">
        <v>6.8567999999999996E-8</v>
      </c>
      <c r="AK76" s="2">
        <v>14112.8</v>
      </c>
      <c r="AL76" s="3">
        <v>1.62525123964095E-3</v>
      </c>
      <c r="AM76" s="1">
        <f t="shared" si="17"/>
        <v>22.936845694804799</v>
      </c>
      <c r="AO76" s="2">
        <v>6.8567999999999996E-8</v>
      </c>
      <c r="AP76" s="2">
        <v>14112.8</v>
      </c>
      <c r="AQ76" s="2">
        <v>2.1458797714226601E-5</v>
      </c>
      <c r="AR76" s="1">
        <f t="shared" si="18"/>
        <v>0.30284372038133717</v>
      </c>
      <c r="AT76" s="2">
        <v>6.8567999999999996E-8</v>
      </c>
      <c r="AU76" s="2">
        <v>14112.8</v>
      </c>
      <c r="AV76" s="3">
        <v>0</v>
      </c>
      <c r="AW76" s="1">
        <f t="shared" si="19"/>
        <v>0</v>
      </c>
    </row>
    <row r="77" spans="1:49" x14ac:dyDescent="0.3">
      <c r="A77" s="2">
        <v>7.7388000000000004E-8</v>
      </c>
      <c r="B77" s="2">
        <v>14279.1</v>
      </c>
      <c r="C77" s="3">
        <v>1.0442571652199599E-2</v>
      </c>
      <c r="D77" s="1">
        <f t="shared" si="10"/>
        <v>149.11052487892331</v>
      </c>
      <c r="F77" s="2">
        <v>7.7388000000000004E-8</v>
      </c>
      <c r="G77" s="2">
        <v>14279.1</v>
      </c>
      <c r="H77" s="3">
        <v>0</v>
      </c>
      <c r="I77" s="1">
        <f t="shared" si="11"/>
        <v>0</v>
      </c>
      <c r="K77" s="2">
        <v>7.7388000000000004E-8</v>
      </c>
      <c r="L77" s="2">
        <v>14279.1</v>
      </c>
      <c r="M77" s="3">
        <v>0</v>
      </c>
      <c r="N77" s="1">
        <f t="shared" si="12"/>
        <v>0</v>
      </c>
      <c r="P77" s="2">
        <v>7.7388000000000004E-8</v>
      </c>
      <c r="Q77" s="2">
        <v>14279.1</v>
      </c>
      <c r="R77" s="3">
        <v>0</v>
      </c>
      <c r="S77" s="1">
        <f t="shared" si="13"/>
        <v>0</v>
      </c>
      <c r="U77" s="2">
        <v>7.7388000000000004E-8</v>
      </c>
      <c r="V77" s="2">
        <v>14279.1</v>
      </c>
      <c r="W77" s="16">
        <v>0</v>
      </c>
      <c r="X77" s="1">
        <f t="shared" si="14"/>
        <v>0</v>
      </c>
      <c r="Z77" s="2">
        <v>7.7388000000000004E-8</v>
      </c>
      <c r="AA77" s="2">
        <v>14279.1</v>
      </c>
      <c r="AB77" s="3">
        <v>0</v>
      </c>
      <c r="AC77" s="1">
        <f t="shared" si="15"/>
        <v>0</v>
      </c>
      <c r="AE77" s="2">
        <v>7.7388000000000004E-8</v>
      </c>
      <c r="AF77" s="2">
        <v>14279.1</v>
      </c>
      <c r="AG77" s="3">
        <v>0</v>
      </c>
      <c r="AH77" s="1">
        <f t="shared" si="16"/>
        <v>0</v>
      </c>
      <c r="AJ77" s="2">
        <v>7.7388000000000004E-8</v>
      </c>
      <c r="AK77" s="2">
        <v>14279.1</v>
      </c>
      <c r="AL77" s="3">
        <v>1.5095931511044801E-3</v>
      </c>
      <c r="AM77" s="1">
        <f t="shared" si="17"/>
        <v>21.555631563935982</v>
      </c>
      <c r="AO77" s="2">
        <v>7.7388000000000004E-8</v>
      </c>
      <c r="AP77" s="2">
        <v>14279.1</v>
      </c>
      <c r="AQ77" s="2">
        <v>1.99334636765797E-5</v>
      </c>
      <c r="AR77" s="1">
        <f t="shared" si="18"/>
        <v>0.28463192118424918</v>
      </c>
      <c r="AT77" s="2">
        <v>7.7388000000000004E-8</v>
      </c>
      <c r="AU77" s="2">
        <v>14279.1</v>
      </c>
      <c r="AV77" s="3">
        <v>0</v>
      </c>
      <c r="AW77" s="1">
        <f t="shared" si="19"/>
        <v>0</v>
      </c>
    </row>
    <row r="78" spans="1:49" x14ac:dyDescent="0.3">
      <c r="A78" s="2">
        <v>8.7342000000000002E-8</v>
      </c>
      <c r="B78" s="2">
        <v>15467.1</v>
      </c>
      <c r="C78" s="3">
        <v>9.9389895093439495E-3</v>
      </c>
      <c r="D78" s="1">
        <f t="shared" si="10"/>
        <v>153.72734463997381</v>
      </c>
      <c r="F78" s="2">
        <v>8.7342000000000002E-8</v>
      </c>
      <c r="G78" s="2">
        <v>15467.1</v>
      </c>
      <c r="H78" s="3">
        <v>0</v>
      </c>
      <c r="I78" s="1">
        <f t="shared" si="11"/>
        <v>0</v>
      </c>
      <c r="K78" s="2">
        <v>8.7342000000000002E-8</v>
      </c>
      <c r="L78" s="2">
        <v>15467.1</v>
      </c>
      <c r="M78" s="3">
        <v>0</v>
      </c>
      <c r="N78" s="1">
        <f t="shared" si="12"/>
        <v>0</v>
      </c>
      <c r="P78" s="2">
        <v>8.7342000000000002E-8</v>
      </c>
      <c r="Q78" s="2">
        <v>15467.1</v>
      </c>
      <c r="R78" s="3">
        <v>0</v>
      </c>
      <c r="S78" s="1">
        <f t="shared" si="13"/>
        <v>0</v>
      </c>
      <c r="U78" s="2">
        <v>8.7342000000000002E-8</v>
      </c>
      <c r="V78" s="2">
        <v>15467.1</v>
      </c>
      <c r="W78" s="16">
        <v>0</v>
      </c>
      <c r="X78" s="1">
        <f t="shared" si="14"/>
        <v>0</v>
      </c>
      <c r="Z78" s="2">
        <v>8.7342000000000002E-8</v>
      </c>
      <c r="AA78" s="2">
        <v>15467.1</v>
      </c>
      <c r="AB78" s="3">
        <v>0</v>
      </c>
      <c r="AC78" s="1">
        <f t="shared" si="15"/>
        <v>0</v>
      </c>
      <c r="AE78" s="2">
        <v>8.7342000000000002E-8</v>
      </c>
      <c r="AF78" s="2">
        <v>15467.1</v>
      </c>
      <c r="AG78" s="3">
        <v>0</v>
      </c>
      <c r="AH78" s="1">
        <f t="shared" si="16"/>
        <v>0</v>
      </c>
      <c r="AJ78" s="2">
        <v>8.7342000000000002E-8</v>
      </c>
      <c r="AK78" s="2">
        <v>15467.1</v>
      </c>
      <c r="AL78" s="3">
        <v>1.4373772972723401E-3</v>
      </c>
      <c r="AM78" s="1">
        <f t="shared" si="17"/>
        <v>22.232058394641012</v>
      </c>
      <c r="AO78" s="2">
        <v>8.7342000000000002E-8</v>
      </c>
      <c r="AP78" s="2">
        <v>15467.1</v>
      </c>
      <c r="AQ78" s="2">
        <v>1.8981393509690799E-5</v>
      </c>
      <c r="AR78" s="1">
        <f t="shared" si="18"/>
        <v>0.29358711155373857</v>
      </c>
      <c r="AT78" s="2">
        <v>8.7342000000000002E-8</v>
      </c>
      <c r="AU78" s="2">
        <v>15467.1</v>
      </c>
      <c r="AV78" s="3">
        <v>0</v>
      </c>
      <c r="AW78" s="1">
        <f t="shared" si="19"/>
        <v>0</v>
      </c>
    </row>
    <row r="79" spans="1:49" x14ac:dyDescent="0.3">
      <c r="A79" s="2">
        <v>9.8575999999999995E-8</v>
      </c>
      <c r="B79" s="2">
        <v>14740.6</v>
      </c>
      <c r="C79" s="3">
        <v>9.4628140487162306E-3</v>
      </c>
      <c r="D79" s="1">
        <f t="shared" si="10"/>
        <v>139.48755676650649</v>
      </c>
      <c r="F79" s="2">
        <v>9.8575999999999995E-8</v>
      </c>
      <c r="G79" s="2">
        <v>14740.6</v>
      </c>
      <c r="H79" s="3">
        <v>0</v>
      </c>
      <c r="I79" s="1">
        <f t="shared" si="11"/>
        <v>0</v>
      </c>
      <c r="K79" s="2">
        <v>9.8575999999999995E-8</v>
      </c>
      <c r="L79" s="2">
        <v>14740.6</v>
      </c>
      <c r="M79" s="3">
        <v>0</v>
      </c>
      <c r="N79" s="1">
        <f t="shared" si="12"/>
        <v>0</v>
      </c>
      <c r="P79" s="2">
        <v>9.8575999999999995E-8</v>
      </c>
      <c r="Q79" s="2">
        <v>14740.6</v>
      </c>
      <c r="R79" s="3">
        <v>0</v>
      </c>
      <c r="S79" s="1">
        <f t="shared" si="13"/>
        <v>0</v>
      </c>
      <c r="U79" s="2">
        <v>9.8575999999999995E-8</v>
      </c>
      <c r="V79" s="2">
        <v>14740.6</v>
      </c>
      <c r="W79" s="16">
        <v>0</v>
      </c>
      <c r="X79" s="1">
        <f t="shared" si="14"/>
        <v>0</v>
      </c>
      <c r="Z79" s="2">
        <v>9.8575999999999995E-8</v>
      </c>
      <c r="AA79" s="2">
        <v>14740.6</v>
      </c>
      <c r="AB79" s="3">
        <v>0</v>
      </c>
      <c r="AC79" s="1">
        <f t="shared" si="15"/>
        <v>0</v>
      </c>
      <c r="AE79" s="2">
        <v>9.8575999999999995E-8</v>
      </c>
      <c r="AF79" s="2">
        <v>14740.6</v>
      </c>
      <c r="AG79" s="3">
        <v>0</v>
      </c>
      <c r="AH79" s="1">
        <f t="shared" si="16"/>
        <v>0</v>
      </c>
      <c r="AJ79" s="2">
        <v>9.8575999999999995E-8</v>
      </c>
      <c r="AK79" s="2">
        <v>14740.6</v>
      </c>
      <c r="AL79" s="3">
        <v>1.36862153117724E-3</v>
      </c>
      <c r="AM79" s="1">
        <f t="shared" si="17"/>
        <v>20.174302542471224</v>
      </c>
      <c r="AO79" s="2">
        <v>9.8575999999999995E-8</v>
      </c>
      <c r="AP79" s="2">
        <v>14740.6</v>
      </c>
      <c r="AQ79" s="2">
        <v>1.8074905080521699E-5</v>
      </c>
      <c r="AR79" s="1">
        <f t="shared" si="18"/>
        <v>0.26643494582993815</v>
      </c>
      <c r="AT79" s="2">
        <v>9.8575999999999995E-8</v>
      </c>
      <c r="AU79" s="2">
        <v>14740.6</v>
      </c>
      <c r="AV79" s="3">
        <v>0</v>
      </c>
      <c r="AW79" s="1">
        <f t="shared" si="19"/>
        <v>0</v>
      </c>
    </row>
    <row r="80" spans="1:49" x14ac:dyDescent="0.3">
      <c r="A80" s="2">
        <v>1.1126E-7</v>
      </c>
      <c r="B80" s="2">
        <v>14372.7</v>
      </c>
      <c r="C80" s="3">
        <v>9.0131692576425407E-3</v>
      </c>
      <c r="D80" s="1">
        <f t="shared" si="10"/>
        <v>129.54357778931896</v>
      </c>
      <c r="F80" s="2">
        <v>1.1126E-7</v>
      </c>
      <c r="G80" s="2">
        <v>14372.7</v>
      </c>
      <c r="H80" s="3">
        <v>0</v>
      </c>
      <c r="I80" s="1">
        <f t="shared" si="11"/>
        <v>0</v>
      </c>
      <c r="K80" s="2">
        <v>1.1126E-7</v>
      </c>
      <c r="L80" s="2">
        <v>14372.7</v>
      </c>
      <c r="M80" s="3">
        <v>0</v>
      </c>
      <c r="N80" s="1">
        <f t="shared" si="12"/>
        <v>0</v>
      </c>
      <c r="P80" s="2">
        <v>1.1126E-7</v>
      </c>
      <c r="Q80" s="2">
        <v>14372.7</v>
      </c>
      <c r="R80" s="3">
        <v>0</v>
      </c>
      <c r="S80" s="1">
        <f t="shared" si="13"/>
        <v>0</v>
      </c>
      <c r="U80" s="2">
        <v>1.1126E-7</v>
      </c>
      <c r="V80" s="2">
        <v>14372.7</v>
      </c>
      <c r="W80" s="16">
        <v>0</v>
      </c>
      <c r="X80" s="1">
        <f t="shared" si="14"/>
        <v>0</v>
      </c>
      <c r="Z80" s="2">
        <v>1.1126E-7</v>
      </c>
      <c r="AA80" s="2">
        <v>14372.7</v>
      </c>
      <c r="AB80" s="3">
        <v>0</v>
      </c>
      <c r="AC80" s="1">
        <f t="shared" si="15"/>
        <v>0</v>
      </c>
      <c r="AE80" s="2">
        <v>1.1126E-7</v>
      </c>
      <c r="AF80" s="2">
        <v>14372.7</v>
      </c>
      <c r="AG80" s="3">
        <v>0</v>
      </c>
      <c r="AH80" s="1">
        <f t="shared" si="16"/>
        <v>0</v>
      </c>
      <c r="AJ80" s="2">
        <v>1.1126E-7</v>
      </c>
      <c r="AK80" s="2">
        <v>14372.7</v>
      </c>
      <c r="AL80" s="3">
        <v>1.27194981642738E-3</v>
      </c>
      <c r="AM80" s="1">
        <f t="shared" si="17"/>
        <v>18.281353126565804</v>
      </c>
      <c r="AO80" s="2">
        <v>1.1126E-7</v>
      </c>
      <c r="AP80" s="2">
        <v>14372.7</v>
      </c>
      <c r="AQ80" s="2">
        <v>1.68010517389841E-5</v>
      </c>
      <c r="AR80" s="1">
        <f t="shared" si="18"/>
        <v>0.24147647632889679</v>
      </c>
      <c r="AT80" s="2">
        <v>1.1126E-7</v>
      </c>
      <c r="AU80" s="2">
        <v>14372.7</v>
      </c>
      <c r="AV80" s="3">
        <v>0</v>
      </c>
      <c r="AW80" s="1">
        <f t="shared" si="19"/>
        <v>0</v>
      </c>
    </row>
    <row r="81" spans="1:49" x14ac:dyDescent="0.3">
      <c r="A81" s="2">
        <v>1.2557000000000001E-7</v>
      </c>
      <c r="B81" s="2">
        <v>14270.3</v>
      </c>
      <c r="C81" s="3">
        <v>8.5884461332523393E-3</v>
      </c>
      <c r="D81" s="1">
        <f t="shared" si="10"/>
        <v>122.55970285535085</v>
      </c>
      <c r="F81" s="2">
        <v>1.2557000000000001E-7</v>
      </c>
      <c r="G81" s="2">
        <v>14270.3</v>
      </c>
      <c r="H81" s="3">
        <v>0</v>
      </c>
      <c r="I81" s="1">
        <f t="shared" si="11"/>
        <v>0</v>
      </c>
      <c r="K81" s="2">
        <v>1.2557000000000001E-7</v>
      </c>
      <c r="L81" s="2">
        <v>14270.3</v>
      </c>
      <c r="M81" s="3">
        <v>0</v>
      </c>
      <c r="N81" s="1">
        <f t="shared" si="12"/>
        <v>0</v>
      </c>
      <c r="P81" s="2">
        <v>1.2557000000000001E-7</v>
      </c>
      <c r="Q81" s="2">
        <v>14270.3</v>
      </c>
      <c r="R81" s="3">
        <v>0</v>
      </c>
      <c r="S81" s="1">
        <f t="shared" si="13"/>
        <v>0</v>
      </c>
      <c r="U81" s="2">
        <v>1.2557000000000001E-7</v>
      </c>
      <c r="V81" s="2">
        <v>14270.3</v>
      </c>
      <c r="W81" s="16">
        <v>0</v>
      </c>
      <c r="X81" s="1">
        <f t="shared" si="14"/>
        <v>0</v>
      </c>
      <c r="Z81" s="2">
        <v>1.2557000000000001E-7</v>
      </c>
      <c r="AA81" s="2">
        <v>14270.3</v>
      </c>
      <c r="AB81" s="3">
        <v>0</v>
      </c>
      <c r="AC81" s="1">
        <f t="shared" si="15"/>
        <v>0</v>
      </c>
      <c r="AE81" s="2">
        <v>1.2557000000000001E-7</v>
      </c>
      <c r="AF81" s="2">
        <v>14270.3</v>
      </c>
      <c r="AG81" s="3">
        <v>0</v>
      </c>
      <c r="AH81" s="1">
        <f t="shared" si="16"/>
        <v>0</v>
      </c>
      <c r="AJ81" s="2">
        <v>1.2557000000000001E-7</v>
      </c>
      <c r="AK81" s="2">
        <v>14270.3</v>
      </c>
      <c r="AL81" s="3">
        <v>1.1813896164198901E-3</v>
      </c>
      <c r="AM81" s="1">
        <f t="shared" si="17"/>
        <v>16.858784243196755</v>
      </c>
      <c r="AO81" s="2">
        <v>1.2557000000000001E-7</v>
      </c>
      <c r="AP81" s="2">
        <v>14270.3</v>
      </c>
      <c r="AQ81" s="2">
        <v>1.5607977323768299E-5</v>
      </c>
      <c r="AR81" s="1">
        <f t="shared" si="18"/>
        <v>0.22273051880337075</v>
      </c>
      <c r="AT81" s="2">
        <v>1.2557000000000001E-7</v>
      </c>
      <c r="AU81" s="2">
        <v>14270.3</v>
      </c>
      <c r="AV81" s="3">
        <v>0</v>
      </c>
      <c r="AW81" s="1">
        <f t="shared" si="19"/>
        <v>0</v>
      </c>
    </row>
    <row r="82" spans="1:49" x14ac:dyDescent="0.3">
      <c r="A82" s="2">
        <v>1.4172E-7</v>
      </c>
      <c r="B82" s="2">
        <v>14479.6</v>
      </c>
      <c r="C82" s="3">
        <v>7.9990594428733502E-3</v>
      </c>
      <c r="D82" s="1">
        <f t="shared" si="10"/>
        <v>115.82318110902897</v>
      </c>
      <c r="F82" s="2">
        <v>1.4172E-7</v>
      </c>
      <c r="G82" s="2">
        <v>14479.6</v>
      </c>
      <c r="H82" s="3">
        <v>0</v>
      </c>
      <c r="I82" s="1">
        <f t="shared" si="11"/>
        <v>0</v>
      </c>
      <c r="K82" s="2">
        <v>1.4172E-7</v>
      </c>
      <c r="L82" s="2">
        <v>14479.6</v>
      </c>
      <c r="M82" s="3">
        <v>0</v>
      </c>
      <c r="N82" s="1">
        <f t="shared" si="12"/>
        <v>0</v>
      </c>
      <c r="P82" s="2">
        <v>1.4172E-7</v>
      </c>
      <c r="Q82" s="2">
        <v>14479.6</v>
      </c>
      <c r="R82" s="3">
        <v>0</v>
      </c>
      <c r="S82" s="1">
        <f t="shared" si="13"/>
        <v>0</v>
      </c>
      <c r="U82" s="2">
        <v>1.4172E-7</v>
      </c>
      <c r="V82" s="2">
        <v>14479.6</v>
      </c>
      <c r="W82" s="16">
        <v>0</v>
      </c>
      <c r="X82" s="1">
        <f t="shared" si="14"/>
        <v>0</v>
      </c>
      <c r="Z82" s="2">
        <v>1.4172E-7</v>
      </c>
      <c r="AA82" s="2">
        <v>14479.6</v>
      </c>
      <c r="AB82" s="3">
        <v>0</v>
      </c>
      <c r="AC82" s="1">
        <f t="shared" si="15"/>
        <v>0</v>
      </c>
      <c r="AE82" s="2">
        <v>1.4172E-7</v>
      </c>
      <c r="AF82" s="2">
        <v>14479.6</v>
      </c>
      <c r="AG82" s="3">
        <v>0</v>
      </c>
      <c r="AH82" s="1">
        <f t="shared" si="16"/>
        <v>0</v>
      </c>
      <c r="AJ82" s="2">
        <v>1.4172E-7</v>
      </c>
      <c r="AK82" s="2">
        <v>14479.6</v>
      </c>
      <c r="AL82" s="3">
        <v>1.12487648370604E-3</v>
      </c>
      <c r="AM82" s="1">
        <f t="shared" si="17"/>
        <v>16.287761533469975</v>
      </c>
      <c r="AO82" s="2">
        <v>1.4172E-7</v>
      </c>
      <c r="AP82" s="2">
        <v>14479.6</v>
      </c>
      <c r="AQ82" s="2">
        <v>1.48633224432374E-5</v>
      </c>
      <c r="AR82" s="1">
        <f t="shared" si="18"/>
        <v>0.21521496364910025</v>
      </c>
      <c r="AT82" s="2">
        <v>1.4172E-7</v>
      </c>
      <c r="AU82" s="2">
        <v>14479.6</v>
      </c>
      <c r="AV82" s="3">
        <v>0</v>
      </c>
      <c r="AW82" s="1">
        <f t="shared" si="19"/>
        <v>0</v>
      </c>
    </row>
    <row r="83" spans="1:49" x14ac:dyDescent="0.3">
      <c r="A83" s="2">
        <v>1.5993999999999999E-7</v>
      </c>
      <c r="B83" s="2">
        <v>13725.1</v>
      </c>
      <c r="C83" s="3">
        <v>7.45459968820141E-3</v>
      </c>
      <c r="D83" s="1">
        <f t="shared" si="10"/>
        <v>102.31512618053317</v>
      </c>
      <c r="F83" s="2">
        <v>1.5993999999999999E-7</v>
      </c>
      <c r="G83" s="2">
        <v>13725.1</v>
      </c>
      <c r="H83" s="3">
        <v>0</v>
      </c>
      <c r="I83" s="1">
        <f t="shared" si="11"/>
        <v>0</v>
      </c>
      <c r="K83" s="2">
        <v>1.5993999999999999E-7</v>
      </c>
      <c r="L83" s="2">
        <v>13725.1</v>
      </c>
      <c r="M83" s="3">
        <v>0</v>
      </c>
      <c r="N83" s="1">
        <f t="shared" si="12"/>
        <v>0</v>
      </c>
      <c r="P83" s="2">
        <v>1.5993999999999999E-7</v>
      </c>
      <c r="Q83" s="2">
        <v>13725.1</v>
      </c>
      <c r="R83" s="3">
        <v>0</v>
      </c>
      <c r="S83" s="1">
        <f t="shared" si="13"/>
        <v>0</v>
      </c>
      <c r="U83" s="2">
        <v>1.5993999999999999E-7</v>
      </c>
      <c r="V83" s="2">
        <v>13725.1</v>
      </c>
      <c r="W83" s="16">
        <v>0</v>
      </c>
      <c r="X83" s="1">
        <f t="shared" si="14"/>
        <v>0</v>
      </c>
      <c r="Z83" s="2">
        <v>1.5993999999999999E-7</v>
      </c>
      <c r="AA83" s="2">
        <v>13725.1</v>
      </c>
      <c r="AB83" s="3">
        <v>0</v>
      </c>
      <c r="AC83" s="1">
        <f t="shared" si="15"/>
        <v>0</v>
      </c>
      <c r="AE83" s="2">
        <v>1.5993999999999999E-7</v>
      </c>
      <c r="AF83" s="2">
        <v>13725.1</v>
      </c>
      <c r="AG83" s="3">
        <v>0</v>
      </c>
      <c r="AH83" s="1">
        <f t="shared" si="16"/>
        <v>0</v>
      </c>
      <c r="AJ83" s="2">
        <v>1.5993999999999999E-7</v>
      </c>
      <c r="AK83" s="2">
        <v>13725.1</v>
      </c>
      <c r="AL83" s="3">
        <v>1.0710490848164301E-3</v>
      </c>
      <c r="AM83" s="1">
        <f t="shared" si="17"/>
        <v>14.700255794013984</v>
      </c>
      <c r="AO83" s="2">
        <v>1.5993999999999999E-7</v>
      </c>
      <c r="AP83" s="2">
        <v>13725.1</v>
      </c>
      <c r="AQ83" s="2">
        <v>1.41544161432972E-5</v>
      </c>
      <c r="AR83" s="1">
        <f t="shared" si="18"/>
        <v>0.19427077700836842</v>
      </c>
      <c r="AT83" s="2">
        <v>1.5993999999999999E-7</v>
      </c>
      <c r="AU83" s="2">
        <v>13725.1</v>
      </c>
      <c r="AV83" s="3">
        <v>0</v>
      </c>
      <c r="AW83" s="1">
        <f t="shared" si="19"/>
        <v>0</v>
      </c>
    </row>
    <row r="84" spans="1:49" x14ac:dyDescent="0.3">
      <c r="A84" s="2">
        <v>1.8052E-7</v>
      </c>
      <c r="B84" s="2">
        <v>13672.2</v>
      </c>
      <c r="C84" s="3">
        <v>7.1199092133220603E-3</v>
      </c>
      <c r="D84" s="1">
        <f t="shared" si="10"/>
        <v>97.34482274638188</v>
      </c>
      <c r="F84" s="2">
        <v>1.8052E-7</v>
      </c>
      <c r="G84" s="2">
        <v>13672.2</v>
      </c>
      <c r="H84" s="3">
        <v>0</v>
      </c>
      <c r="I84" s="1">
        <f t="shared" si="11"/>
        <v>0</v>
      </c>
      <c r="K84" s="2">
        <v>1.8052E-7</v>
      </c>
      <c r="L84" s="2">
        <v>13672.2</v>
      </c>
      <c r="M84" s="3">
        <v>0</v>
      </c>
      <c r="N84" s="1">
        <f t="shared" si="12"/>
        <v>0</v>
      </c>
      <c r="P84" s="2">
        <v>1.8052E-7</v>
      </c>
      <c r="Q84" s="2">
        <v>13672.2</v>
      </c>
      <c r="R84" s="3">
        <v>0</v>
      </c>
      <c r="S84" s="1">
        <f t="shared" si="13"/>
        <v>0</v>
      </c>
      <c r="U84" s="2">
        <v>1.8052E-7</v>
      </c>
      <c r="V84" s="2">
        <v>13672.2</v>
      </c>
      <c r="W84" s="16">
        <v>0</v>
      </c>
      <c r="X84" s="1">
        <f t="shared" si="14"/>
        <v>0</v>
      </c>
      <c r="Z84" s="2">
        <v>1.8052E-7</v>
      </c>
      <c r="AA84" s="2">
        <v>13672.2</v>
      </c>
      <c r="AB84" s="3">
        <v>0</v>
      </c>
      <c r="AC84" s="1">
        <f t="shared" si="15"/>
        <v>0</v>
      </c>
      <c r="AE84" s="2">
        <v>1.8052E-7</v>
      </c>
      <c r="AF84" s="2">
        <v>13672.2</v>
      </c>
      <c r="AG84" s="3">
        <v>0</v>
      </c>
      <c r="AH84" s="1">
        <f t="shared" si="16"/>
        <v>0</v>
      </c>
      <c r="AJ84" s="2">
        <v>1.8052E-7</v>
      </c>
      <c r="AK84" s="2">
        <v>13672.2</v>
      </c>
      <c r="AL84" s="3">
        <v>9.9539029665669104E-4</v>
      </c>
      <c r="AM84" s="1">
        <f t="shared" si="17"/>
        <v>13.609175213949612</v>
      </c>
      <c r="AO84" s="2">
        <v>1.8052E-7</v>
      </c>
      <c r="AP84" s="2">
        <v>13672.2</v>
      </c>
      <c r="AQ84" s="2">
        <v>1.3158280566656999E-5</v>
      </c>
      <c r="AR84" s="1">
        <f t="shared" si="18"/>
        <v>0.17990264356344784</v>
      </c>
      <c r="AT84" s="2">
        <v>1.8052E-7</v>
      </c>
      <c r="AU84" s="2">
        <v>13672.2</v>
      </c>
      <c r="AV84" s="3">
        <v>0</v>
      </c>
      <c r="AW84" s="1">
        <f t="shared" si="19"/>
        <v>0</v>
      </c>
    </row>
    <row r="85" spans="1:49" x14ac:dyDescent="0.3">
      <c r="A85" s="2">
        <v>2.0374E-7</v>
      </c>
      <c r="B85" s="2">
        <v>13828.5</v>
      </c>
      <c r="C85" s="3">
        <v>6.8055994414693904E-3</v>
      </c>
      <c r="D85" s="1">
        <f t="shared" si="10"/>
        <v>94.111231876359469</v>
      </c>
      <c r="F85" s="2">
        <v>2.0374E-7</v>
      </c>
      <c r="G85" s="2">
        <v>13828.5</v>
      </c>
      <c r="H85" s="3">
        <v>0</v>
      </c>
      <c r="I85" s="1">
        <f t="shared" si="11"/>
        <v>0</v>
      </c>
      <c r="K85" s="2">
        <v>2.0374E-7</v>
      </c>
      <c r="L85" s="2">
        <v>13828.5</v>
      </c>
      <c r="M85" s="3">
        <v>0</v>
      </c>
      <c r="N85" s="1">
        <f t="shared" si="12"/>
        <v>0</v>
      </c>
      <c r="P85" s="2">
        <v>2.0374E-7</v>
      </c>
      <c r="Q85" s="2">
        <v>13828.5</v>
      </c>
      <c r="R85" s="3">
        <v>0</v>
      </c>
      <c r="S85" s="1">
        <f t="shared" si="13"/>
        <v>0</v>
      </c>
      <c r="U85" s="2">
        <v>2.0374E-7</v>
      </c>
      <c r="V85" s="2">
        <v>13828.5</v>
      </c>
      <c r="W85" s="16">
        <v>0</v>
      </c>
      <c r="X85" s="1">
        <f t="shared" si="14"/>
        <v>0</v>
      </c>
      <c r="Z85" s="2">
        <v>2.0374E-7</v>
      </c>
      <c r="AA85" s="2">
        <v>13828.5</v>
      </c>
      <c r="AB85" s="3">
        <v>0</v>
      </c>
      <c r="AC85" s="1">
        <f t="shared" si="15"/>
        <v>0</v>
      </c>
      <c r="AE85" s="2">
        <v>2.0374E-7</v>
      </c>
      <c r="AF85" s="2">
        <v>13828.5</v>
      </c>
      <c r="AG85" s="3">
        <v>0</v>
      </c>
      <c r="AH85" s="1">
        <f t="shared" si="16"/>
        <v>0</v>
      </c>
      <c r="AJ85" s="2">
        <v>2.0374E-7</v>
      </c>
      <c r="AK85" s="2">
        <v>13828.5</v>
      </c>
      <c r="AL85" s="3">
        <v>9.2454426509438103E-4</v>
      </c>
      <c r="AM85" s="1">
        <f t="shared" si="17"/>
        <v>12.785060369857648</v>
      </c>
      <c r="AO85" s="2">
        <v>2.0374E-7</v>
      </c>
      <c r="AP85" s="2">
        <v>13828.5</v>
      </c>
      <c r="AQ85" s="2">
        <v>1.22253712713701E-5</v>
      </c>
      <c r="AR85" s="1">
        <f t="shared" si="18"/>
        <v>0.16905854662614142</v>
      </c>
      <c r="AT85" s="2">
        <v>2.0374E-7</v>
      </c>
      <c r="AU85" s="2">
        <v>13828.5</v>
      </c>
      <c r="AV85" s="3">
        <v>0</v>
      </c>
      <c r="AW85" s="1">
        <f t="shared" si="19"/>
        <v>0</v>
      </c>
    </row>
    <row r="86" spans="1:49" x14ac:dyDescent="0.3">
      <c r="A86" s="2">
        <v>2.2994000000000001E-7</v>
      </c>
      <c r="B86" s="2">
        <v>13615.8</v>
      </c>
      <c r="C86" s="3">
        <v>6.5106334596823799E-3</v>
      </c>
      <c r="D86" s="1">
        <f t="shared" si="10"/>
        <v>88.647483060343347</v>
      </c>
      <c r="F86" s="2">
        <v>2.2994000000000001E-7</v>
      </c>
      <c r="G86" s="2">
        <v>13615.8</v>
      </c>
      <c r="H86" s="3">
        <v>0</v>
      </c>
      <c r="I86" s="1">
        <f t="shared" si="11"/>
        <v>0</v>
      </c>
      <c r="K86" s="2">
        <v>2.2994000000000001E-7</v>
      </c>
      <c r="L86" s="2">
        <v>13615.8</v>
      </c>
      <c r="M86" s="3">
        <v>0</v>
      </c>
      <c r="N86" s="1">
        <f t="shared" si="12"/>
        <v>0</v>
      </c>
      <c r="P86" s="2">
        <v>2.2994000000000001E-7</v>
      </c>
      <c r="Q86" s="2">
        <v>13615.8</v>
      </c>
      <c r="R86" s="3">
        <v>0</v>
      </c>
      <c r="S86" s="1">
        <f t="shared" si="13"/>
        <v>0</v>
      </c>
      <c r="U86" s="2">
        <v>2.2994000000000001E-7</v>
      </c>
      <c r="V86" s="2">
        <v>13615.8</v>
      </c>
      <c r="W86" s="16">
        <v>0</v>
      </c>
      <c r="X86" s="1">
        <f t="shared" si="14"/>
        <v>0</v>
      </c>
      <c r="Z86" s="2">
        <v>2.2994000000000001E-7</v>
      </c>
      <c r="AA86" s="2">
        <v>13615.8</v>
      </c>
      <c r="AB86" s="3">
        <v>0</v>
      </c>
      <c r="AC86" s="1">
        <f t="shared" si="15"/>
        <v>0</v>
      </c>
      <c r="AE86" s="2">
        <v>2.2994000000000001E-7</v>
      </c>
      <c r="AF86" s="2">
        <v>13615.8</v>
      </c>
      <c r="AG86" s="3">
        <v>0</v>
      </c>
      <c r="AH86" s="1">
        <f t="shared" si="16"/>
        <v>0</v>
      </c>
      <c r="AJ86" s="2">
        <v>2.2994000000000001E-7</v>
      </c>
      <c r="AK86" s="2">
        <v>13615.8</v>
      </c>
      <c r="AL86" s="3">
        <v>8.8028356771004904E-4</v>
      </c>
      <c r="AM86" s="1">
        <f t="shared" si="17"/>
        <v>11.985765001226484</v>
      </c>
      <c r="AO86" s="2">
        <v>2.2994000000000001E-7</v>
      </c>
      <c r="AP86" s="2">
        <v>13615.8</v>
      </c>
      <c r="AQ86" s="2">
        <v>1.16431932301306E-5</v>
      </c>
      <c r="AR86" s="1">
        <f t="shared" si="18"/>
        <v>0.15853139038281222</v>
      </c>
      <c r="AT86" s="2">
        <v>2.2994000000000001E-7</v>
      </c>
      <c r="AU86" s="2">
        <v>13615.8</v>
      </c>
      <c r="AV86" s="3">
        <v>0</v>
      </c>
      <c r="AW86" s="1">
        <f t="shared" si="19"/>
        <v>0</v>
      </c>
    </row>
    <row r="87" spans="1:49" x14ac:dyDescent="0.3">
      <c r="A87" s="2">
        <v>2.5951999999999998E-7</v>
      </c>
      <c r="B87" s="2">
        <v>14266.2</v>
      </c>
      <c r="C87" s="3">
        <v>6.2346000783385898E-3</v>
      </c>
      <c r="D87" s="1">
        <f t="shared" si="10"/>
        <v>88.944051637594001</v>
      </c>
      <c r="F87" s="2">
        <v>2.5951999999999998E-7</v>
      </c>
      <c r="G87" s="2">
        <v>14266.2</v>
      </c>
      <c r="H87" s="3">
        <v>0</v>
      </c>
      <c r="I87" s="1">
        <f t="shared" si="11"/>
        <v>0</v>
      </c>
      <c r="K87" s="2">
        <v>2.5951999999999998E-7</v>
      </c>
      <c r="L87" s="2">
        <v>14266.2</v>
      </c>
      <c r="M87" s="3">
        <v>0</v>
      </c>
      <c r="N87" s="1">
        <f t="shared" si="12"/>
        <v>0</v>
      </c>
      <c r="P87" s="2">
        <v>2.5951999999999998E-7</v>
      </c>
      <c r="Q87" s="2">
        <v>14266.2</v>
      </c>
      <c r="R87" s="3">
        <v>0</v>
      </c>
      <c r="S87" s="1">
        <f t="shared" si="13"/>
        <v>0</v>
      </c>
      <c r="U87" s="2">
        <v>2.5951999999999998E-7</v>
      </c>
      <c r="V87" s="2">
        <v>14266.2</v>
      </c>
      <c r="W87" s="16">
        <v>0</v>
      </c>
      <c r="X87" s="1">
        <f t="shared" si="14"/>
        <v>0</v>
      </c>
      <c r="Z87" s="2">
        <v>2.5951999999999998E-7</v>
      </c>
      <c r="AA87" s="2">
        <v>14266.2</v>
      </c>
      <c r="AB87" s="3">
        <v>0</v>
      </c>
      <c r="AC87" s="1">
        <f t="shared" si="15"/>
        <v>0</v>
      </c>
      <c r="AE87" s="2">
        <v>2.5951999999999998E-7</v>
      </c>
      <c r="AF87" s="2">
        <v>14266.2</v>
      </c>
      <c r="AG87" s="3">
        <v>0</v>
      </c>
      <c r="AH87" s="1">
        <f t="shared" si="16"/>
        <v>0</v>
      </c>
      <c r="AJ87" s="2">
        <v>2.5951999999999998E-7</v>
      </c>
      <c r="AK87" s="2">
        <v>14266.2</v>
      </c>
      <c r="AL87" s="3">
        <v>8.3814989309891996E-4</v>
      </c>
      <c r="AM87" s="1">
        <f t="shared" si="17"/>
        <v>11.957214004927813</v>
      </c>
      <c r="AO87" s="2">
        <v>2.5951999999999998E-7</v>
      </c>
      <c r="AP87" s="2">
        <v>14266.2</v>
      </c>
      <c r="AQ87" s="2">
        <v>1.1088952382977399E-5</v>
      </c>
      <c r="AR87" s="1">
        <f t="shared" si="18"/>
        <v>0.15819721248603219</v>
      </c>
      <c r="AT87" s="2">
        <v>2.5951999999999998E-7</v>
      </c>
      <c r="AU87" s="2">
        <v>14266.2</v>
      </c>
      <c r="AV87" s="3">
        <v>0</v>
      </c>
      <c r="AW87" s="1">
        <f t="shared" si="19"/>
        <v>0</v>
      </c>
    </row>
    <row r="88" spans="1:49" x14ac:dyDescent="0.3">
      <c r="A88" s="2">
        <v>2.9289999999999998E-7</v>
      </c>
      <c r="B88" s="2">
        <v>15223.6</v>
      </c>
      <c r="C88" s="3">
        <v>5.9766411625737101E-3</v>
      </c>
      <c r="D88" s="1">
        <f t="shared" si="10"/>
        <v>90.985994402557139</v>
      </c>
      <c r="F88" s="2">
        <v>2.9289999999999998E-7</v>
      </c>
      <c r="G88" s="2">
        <v>15223.6</v>
      </c>
      <c r="H88" s="3">
        <v>0</v>
      </c>
      <c r="I88" s="1">
        <f t="shared" si="11"/>
        <v>0</v>
      </c>
      <c r="K88" s="2">
        <v>2.9289999999999998E-7</v>
      </c>
      <c r="L88" s="2">
        <v>15223.6</v>
      </c>
      <c r="M88" s="3">
        <v>0</v>
      </c>
      <c r="N88" s="1">
        <f t="shared" si="12"/>
        <v>0</v>
      </c>
      <c r="P88" s="2">
        <v>2.9289999999999998E-7</v>
      </c>
      <c r="Q88" s="2">
        <v>15223.6</v>
      </c>
      <c r="R88" s="3">
        <v>0</v>
      </c>
      <c r="S88" s="1">
        <f t="shared" si="13"/>
        <v>0</v>
      </c>
      <c r="U88" s="2">
        <v>2.9289999999999998E-7</v>
      </c>
      <c r="V88" s="2">
        <v>15223.6</v>
      </c>
      <c r="W88" s="16">
        <v>0</v>
      </c>
      <c r="X88" s="1">
        <f t="shared" si="14"/>
        <v>0</v>
      </c>
      <c r="Z88" s="2">
        <v>2.9289999999999998E-7</v>
      </c>
      <c r="AA88" s="2">
        <v>15223.6</v>
      </c>
      <c r="AB88" s="3">
        <v>0</v>
      </c>
      <c r="AC88" s="1">
        <f t="shared" si="15"/>
        <v>0</v>
      </c>
      <c r="AE88" s="2">
        <v>2.9289999999999998E-7</v>
      </c>
      <c r="AF88" s="2">
        <v>15223.6</v>
      </c>
      <c r="AG88" s="3">
        <v>0</v>
      </c>
      <c r="AH88" s="1">
        <f t="shared" si="16"/>
        <v>0</v>
      </c>
      <c r="AJ88" s="2">
        <v>2.9289999999999998E-7</v>
      </c>
      <c r="AK88" s="2">
        <v>15223.6</v>
      </c>
      <c r="AL88" s="3">
        <v>7.9810893444207196E-4</v>
      </c>
      <c r="AM88" s="1">
        <f t="shared" si="17"/>
        <v>12.150091174372328</v>
      </c>
      <c r="AO88" s="2">
        <v>2.9289999999999998E-7</v>
      </c>
      <c r="AP88" s="2">
        <v>15223.6</v>
      </c>
      <c r="AQ88" s="2">
        <v>1.05614540472687E-5</v>
      </c>
      <c r="AR88" s="1">
        <f t="shared" si="18"/>
        <v>0.16078335183399978</v>
      </c>
      <c r="AT88" s="2">
        <v>2.9289999999999998E-7</v>
      </c>
      <c r="AU88" s="2">
        <v>15223.6</v>
      </c>
      <c r="AV88" s="3">
        <v>0</v>
      </c>
      <c r="AW88" s="1">
        <f t="shared" si="19"/>
        <v>0</v>
      </c>
    </row>
    <row r="89" spans="1:49" x14ac:dyDescent="0.3">
      <c r="A89" s="2">
        <v>3.3056999999999997E-7</v>
      </c>
      <c r="B89" s="2">
        <v>14740.8</v>
      </c>
      <c r="C89" s="3">
        <v>5.6249578296006198E-3</v>
      </c>
      <c r="D89" s="1">
        <f t="shared" si="10"/>
        <v>82.916378374576809</v>
      </c>
      <c r="F89" s="2">
        <v>3.3056999999999997E-7</v>
      </c>
      <c r="G89" s="2">
        <v>14740.8</v>
      </c>
      <c r="H89" s="3">
        <v>0</v>
      </c>
      <c r="I89" s="1">
        <f t="shared" si="11"/>
        <v>0</v>
      </c>
      <c r="K89" s="2">
        <v>3.3056999999999997E-7</v>
      </c>
      <c r="L89" s="2">
        <v>14740.8</v>
      </c>
      <c r="M89" s="3">
        <v>0</v>
      </c>
      <c r="N89" s="1">
        <f t="shared" si="12"/>
        <v>0</v>
      </c>
      <c r="P89" s="2">
        <v>3.3056999999999997E-7</v>
      </c>
      <c r="Q89" s="2">
        <v>14740.8</v>
      </c>
      <c r="R89" s="3">
        <v>0</v>
      </c>
      <c r="S89" s="1">
        <f t="shared" si="13"/>
        <v>0</v>
      </c>
      <c r="U89" s="2">
        <v>3.3056999999999997E-7</v>
      </c>
      <c r="V89" s="2">
        <v>14740.8</v>
      </c>
      <c r="W89" s="16">
        <v>0</v>
      </c>
      <c r="X89" s="1">
        <f t="shared" si="14"/>
        <v>0</v>
      </c>
      <c r="Z89" s="2">
        <v>3.3056999999999997E-7</v>
      </c>
      <c r="AA89" s="2">
        <v>14740.8</v>
      </c>
      <c r="AB89" s="3">
        <v>0</v>
      </c>
      <c r="AC89" s="1">
        <f t="shared" si="15"/>
        <v>0</v>
      </c>
      <c r="AE89" s="2">
        <v>3.3056999999999997E-7</v>
      </c>
      <c r="AF89" s="2">
        <v>14740.8</v>
      </c>
      <c r="AG89" s="3">
        <v>0</v>
      </c>
      <c r="AH89" s="1">
        <f t="shared" si="16"/>
        <v>0</v>
      </c>
      <c r="AJ89" s="2">
        <v>3.3056999999999997E-7</v>
      </c>
      <c r="AK89" s="2">
        <v>14740.8</v>
      </c>
      <c r="AL89" s="3">
        <v>7.4175508338751096E-4</v>
      </c>
      <c r="AM89" s="1">
        <f t="shared" si="17"/>
        <v>10.934063333198621</v>
      </c>
      <c r="AO89" s="2">
        <v>3.3056999999999997E-7</v>
      </c>
      <c r="AP89" s="2">
        <v>14740.8</v>
      </c>
      <c r="AQ89" s="2">
        <v>9.8203372653309898E-6</v>
      </c>
      <c r="AR89" s="1">
        <f t="shared" si="18"/>
        <v>0.14475962756079105</v>
      </c>
      <c r="AT89" s="2">
        <v>3.3056999999999997E-7</v>
      </c>
      <c r="AU89" s="2">
        <v>14740.8</v>
      </c>
      <c r="AV89" s="3">
        <v>0</v>
      </c>
      <c r="AW89" s="1">
        <f t="shared" si="19"/>
        <v>0</v>
      </c>
    </row>
    <row r="90" spans="1:49" x14ac:dyDescent="0.3">
      <c r="A90" s="2">
        <v>3.7309000000000001E-7</v>
      </c>
      <c r="B90" s="2">
        <v>15796.2</v>
      </c>
      <c r="C90" s="3">
        <v>5.30747474653107E-3</v>
      </c>
      <c r="D90" s="1">
        <f t="shared" si="10"/>
        <v>83.837932591154086</v>
      </c>
      <c r="F90" s="2">
        <v>3.7309000000000001E-7</v>
      </c>
      <c r="G90" s="2">
        <v>15796.2</v>
      </c>
      <c r="H90" s="3">
        <v>0</v>
      </c>
      <c r="I90" s="1">
        <f t="shared" si="11"/>
        <v>0</v>
      </c>
      <c r="K90" s="2">
        <v>3.7309000000000001E-7</v>
      </c>
      <c r="L90" s="2">
        <v>15796.2</v>
      </c>
      <c r="M90" s="3">
        <v>0</v>
      </c>
      <c r="N90" s="1">
        <f t="shared" si="12"/>
        <v>0</v>
      </c>
      <c r="P90" s="2">
        <v>3.7309000000000001E-7</v>
      </c>
      <c r="Q90" s="2">
        <v>15796.2</v>
      </c>
      <c r="R90" s="3">
        <v>0</v>
      </c>
      <c r="S90" s="1">
        <f t="shared" si="13"/>
        <v>0</v>
      </c>
      <c r="U90" s="2">
        <v>3.7309000000000001E-7</v>
      </c>
      <c r="V90" s="2">
        <v>15796.2</v>
      </c>
      <c r="W90" s="16">
        <v>0</v>
      </c>
      <c r="X90" s="1">
        <f t="shared" si="14"/>
        <v>0</v>
      </c>
      <c r="Z90" s="2">
        <v>3.7309000000000001E-7</v>
      </c>
      <c r="AA90" s="2">
        <v>15796.2</v>
      </c>
      <c r="AB90" s="3">
        <v>0</v>
      </c>
      <c r="AC90" s="1">
        <f t="shared" si="15"/>
        <v>0</v>
      </c>
      <c r="AE90" s="2">
        <v>3.7309000000000001E-7</v>
      </c>
      <c r="AF90" s="2">
        <v>15796.2</v>
      </c>
      <c r="AG90" s="3">
        <v>0</v>
      </c>
      <c r="AH90" s="1">
        <f t="shared" si="16"/>
        <v>0</v>
      </c>
      <c r="AJ90" s="2">
        <v>3.7309000000000001E-7</v>
      </c>
      <c r="AK90" s="2">
        <v>15796.2</v>
      </c>
      <c r="AL90" s="3">
        <v>6.8896914150090301E-4</v>
      </c>
      <c r="AM90" s="1">
        <f t="shared" si="17"/>
        <v>10.883094352976565</v>
      </c>
      <c r="AO90" s="2">
        <v>3.7309000000000001E-7</v>
      </c>
      <c r="AP90" s="2">
        <v>15796.2</v>
      </c>
      <c r="AQ90" s="2">
        <v>9.1264380173456798E-6</v>
      </c>
      <c r="AR90" s="1">
        <f t="shared" si="18"/>
        <v>0.14416304020959583</v>
      </c>
      <c r="AT90" s="2">
        <v>3.7309000000000001E-7</v>
      </c>
      <c r="AU90" s="2">
        <v>15796.2</v>
      </c>
      <c r="AV90" s="3">
        <v>0</v>
      </c>
      <c r="AW90" s="1">
        <f t="shared" si="19"/>
        <v>0</v>
      </c>
    </row>
    <row r="91" spans="1:49" x14ac:dyDescent="0.3">
      <c r="A91" s="2">
        <v>4.2108000000000001E-7</v>
      </c>
      <c r="B91" s="2">
        <v>15788.3</v>
      </c>
      <c r="C91" s="3">
        <v>5.1061348539990902E-3</v>
      </c>
      <c r="D91" s="1">
        <f t="shared" si="10"/>
        <v>80.617188915393825</v>
      </c>
      <c r="F91" s="2">
        <v>4.2108000000000001E-7</v>
      </c>
      <c r="G91" s="2">
        <v>15788.3</v>
      </c>
      <c r="H91" s="3">
        <v>0</v>
      </c>
      <c r="I91" s="1">
        <f t="shared" si="11"/>
        <v>0</v>
      </c>
      <c r="K91" s="2">
        <v>4.2108000000000001E-7</v>
      </c>
      <c r="L91" s="2">
        <v>15788.3</v>
      </c>
      <c r="M91" s="3">
        <v>0</v>
      </c>
      <c r="N91" s="1">
        <f t="shared" si="12"/>
        <v>0</v>
      </c>
      <c r="P91" s="2">
        <v>4.2108000000000001E-7</v>
      </c>
      <c r="Q91" s="2">
        <v>15788.3</v>
      </c>
      <c r="R91" s="3">
        <v>0</v>
      </c>
      <c r="S91" s="1">
        <f t="shared" si="13"/>
        <v>0</v>
      </c>
      <c r="U91" s="2">
        <v>4.2108000000000001E-7</v>
      </c>
      <c r="V91" s="2">
        <v>15788.3</v>
      </c>
      <c r="W91" s="16">
        <v>0</v>
      </c>
      <c r="X91" s="1">
        <f t="shared" si="14"/>
        <v>0</v>
      </c>
      <c r="Z91" s="2">
        <v>4.2108000000000001E-7</v>
      </c>
      <c r="AA91" s="2">
        <v>15788.3</v>
      </c>
      <c r="AB91" s="3">
        <v>0</v>
      </c>
      <c r="AC91" s="1">
        <f t="shared" si="15"/>
        <v>0</v>
      </c>
      <c r="AE91" s="2">
        <v>4.2108000000000001E-7</v>
      </c>
      <c r="AF91" s="2">
        <v>15788.3</v>
      </c>
      <c r="AG91" s="3">
        <v>0</v>
      </c>
      <c r="AH91" s="1">
        <f t="shared" si="16"/>
        <v>0</v>
      </c>
      <c r="AJ91" s="2">
        <v>4.2108000000000001E-7</v>
      </c>
      <c r="AK91" s="2">
        <v>15788.3</v>
      </c>
      <c r="AL91" s="3">
        <v>6.5600028851624996E-4</v>
      </c>
      <c r="AM91" s="1">
        <f t="shared" si="17"/>
        <v>10.357129355181108</v>
      </c>
      <c r="AO91" s="2">
        <v>4.2108000000000001E-7</v>
      </c>
      <c r="AP91" s="2">
        <v>15788.3</v>
      </c>
      <c r="AQ91" s="2">
        <v>8.6934850279396101E-6</v>
      </c>
      <c r="AR91" s="1">
        <f t="shared" si="18"/>
        <v>0.13725534966661895</v>
      </c>
      <c r="AT91" s="2">
        <v>4.2108000000000001E-7</v>
      </c>
      <c r="AU91" s="2">
        <v>15788.3</v>
      </c>
      <c r="AV91" s="3">
        <v>0</v>
      </c>
      <c r="AW91" s="1">
        <f t="shared" si="19"/>
        <v>0</v>
      </c>
    </row>
    <row r="92" spans="1:49" x14ac:dyDescent="0.3">
      <c r="A92" s="2">
        <v>4.7524000000000001E-7</v>
      </c>
      <c r="B92" s="2">
        <v>16083.7</v>
      </c>
      <c r="C92" s="3">
        <v>4.9237275619103101E-3</v>
      </c>
      <c r="D92" s="1">
        <f t="shared" si="10"/>
        <v>79.191756987496859</v>
      </c>
      <c r="F92" s="2">
        <v>4.7524000000000001E-7</v>
      </c>
      <c r="G92" s="2">
        <v>16083.7</v>
      </c>
      <c r="H92" s="3">
        <v>0</v>
      </c>
      <c r="I92" s="1">
        <f t="shared" si="11"/>
        <v>0</v>
      </c>
      <c r="K92" s="2">
        <v>4.7524000000000001E-7</v>
      </c>
      <c r="L92" s="2">
        <v>16083.7</v>
      </c>
      <c r="M92" s="3">
        <v>0</v>
      </c>
      <c r="N92" s="1">
        <f t="shared" si="12"/>
        <v>0</v>
      </c>
      <c r="P92" s="2">
        <v>4.7524000000000001E-7</v>
      </c>
      <c r="Q92" s="2">
        <v>16083.7</v>
      </c>
      <c r="R92" s="3">
        <v>0</v>
      </c>
      <c r="S92" s="1">
        <f t="shared" si="13"/>
        <v>0</v>
      </c>
      <c r="U92" s="2">
        <v>4.7524000000000001E-7</v>
      </c>
      <c r="V92" s="2">
        <v>16083.7</v>
      </c>
      <c r="W92" s="16">
        <v>0</v>
      </c>
      <c r="X92" s="1">
        <f t="shared" si="14"/>
        <v>0</v>
      </c>
      <c r="Z92" s="2">
        <v>4.7524000000000001E-7</v>
      </c>
      <c r="AA92" s="2">
        <v>16083.7</v>
      </c>
      <c r="AB92" s="3">
        <v>0</v>
      </c>
      <c r="AC92" s="1">
        <f t="shared" si="15"/>
        <v>0</v>
      </c>
      <c r="AE92" s="2">
        <v>4.7524000000000001E-7</v>
      </c>
      <c r="AF92" s="2">
        <v>16083.7</v>
      </c>
      <c r="AG92" s="3">
        <v>0</v>
      </c>
      <c r="AH92" s="1">
        <f t="shared" si="16"/>
        <v>0</v>
      </c>
      <c r="AJ92" s="2">
        <v>4.7524000000000001E-7</v>
      </c>
      <c r="AK92" s="2">
        <v>16083.7</v>
      </c>
      <c r="AL92" s="3">
        <v>6.2462915309856499E-4</v>
      </c>
      <c r="AM92" s="1">
        <f t="shared" si="17"/>
        <v>10.04634790969139</v>
      </c>
      <c r="AO92" s="2">
        <v>4.7524000000000001E-7</v>
      </c>
      <c r="AP92" s="2">
        <v>16083.7</v>
      </c>
      <c r="AQ92" s="2">
        <v>8.2814481746323707E-6</v>
      </c>
      <c r="AR92" s="1">
        <f t="shared" si="18"/>
        <v>0.13319632800633466</v>
      </c>
      <c r="AT92" s="2">
        <v>4.7524000000000001E-7</v>
      </c>
      <c r="AU92" s="2">
        <v>16083.7</v>
      </c>
      <c r="AV92" s="3">
        <v>0</v>
      </c>
      <c r="AW92" s="1">
        <f t="shared" si="19"/>
        <v>0</v>
      </c>
    </row>
    <row r="93" spans="1:49" x14ac:dyDescent="0.3">
      <c r="A93" s="2">
        <v>5.3636999999999998E-7</v>
      </c>
      <c r="B93" s="2">
        <v>15966.2</v>
      </c>
      <c r="C93" s="3">
        <v>4.7603243815034198E-3</v>
      </c>
      <c r="D93" s="1">
        <f t="shared" si="10"/>
        <v>76.004291139959903</v>
      </c>
      <c r="F93" s="2">
        <v>5.3636999999999998E-7</v>
      </c>
      <c r="G93" s="2">
        <v>15966.2</v>
      </c>
      <c r="H93" s="3">
        <v>0</v>
      </c>
      <c r="I93" s="1">
        <f t="shared" si="11"/>
        <v>0</v>
      </c>
      <c r="K93" s="2">
        <v>5.3636999999999998E-7</v>
      </c>
      <c r="L93" s="2">
        <v>15966.2</v>
      </c>
      <c r="M93" s="3">
        <v>0</v>
      </c>
      <c r="N93" s="1">
        <f t="shared" si="12"/>
        <v>0</v>
      </c>
      <c r="P93" s="2">
        <v>5.3636999999999998E-7</v>
      </c>
      <c r="Q93" s="2">
        <v>15966.2</v>
      </c>
      <c r="R93" s="3">
        <v>0</v>
      </c>
      <c r="S93" s="1">
        <f t="shared" si="13"/>
        <v>0</v>
      </c>
      <c r="U93" s="2">
        <v>5.3636999999999998E-7</v>
      </c>
      <c r="V93" s="2">
        <v>15966.2</v>
      </c>
      <c r="W93" s="16">
        <v>0</v>
      </c>
      <c r="X93" s="1">
        <f t="shared" si="14"/>
        <v>0</v>
      </c>
      <c r="Z93" s="2">
        <v>5.3636999999999998E-7</v>
      </c>
      <c r="AA93" s="2">
        <v>15966.2</v>
      </c>
      <c r="AB93" s="3">
        <v>0</v>
      </c>
      <c r="AC93" s="1">
        <f t="shared" si="15"/>
        <v>0</v>
      </c>
      <c r="AE93" s="2">
        <v>5.3636999999999998E-7</v>
      </c>
      <c r="AF93" s="2">
        <v>15966.2</v>
      </c>
      <c r="AG93" s="3">
        <v>0</v>
      </c>
      <c r="AH93" s="1">
        <f t="shared" si="16"/>
        <v>0</v>
      </c>
      <c r="AJ93" s="2">
        <v>5.3636999999999998E-7</v>
      </c>
      <c r="AK93" s="2">
        <v>15966.2</v>
      </c>
      <c r="AL93" s="3">
        <v>5.8054979175711004E-4</v>
      </c>
      <c r="AM93" s="1">
        <f t="shared" si="17"/>
        <v>9.2691740851523701</v>
      </c>
      <c r="AO93" s="2">
        <v>5.3636999999999998E-7</v>
      </c>
      <c r="AP93" s="2">
        <v>15966.2</v>
      </c>
      <c r="AQ93" s="2">
        <v>7.7027439029207208E-6</v>
      </c>
      <c r="AR93" s="1">
        <f t="shared" si="18"/>
        <v>0.12298354970281282</v>
      </c>
      <c r="AT93" s="2">
        <v>5.3636999999999998E-7</v>
      </c>
      <c r="AU93" s="2">
        <v>15966.2</v>
      </c>
      <c r="AV93" s="3">
        <v>0</v>
      </c>
      <c r="AW93" s="1">
        <f t="shared" si="19"/>
        <v>0</v>
      </c>
    </row>
    <row r="94" spans="1:49" x14ac:dyDescent="0.3">
      <c r="A94" s="2">
        <v>6.0536000000000002E-7</v>
      </c>
      <c r="B94" s="2">
        <v>16411.7</v>
      </c>
      <c r="C94" s="3">
        <v>4.6163007467815596E-3</v>
      </c>
      <c r="D94" s="1">
        <f t="shared" si="10"/>
        <v>75.761342965954924</v>
      </c>
      <c r="F94" s="2">
        <v>6.0536000000000002E-7</v>
      </c>
      <c r="G94" s="2">
        <v>16411.7</v>
      </c>
      <c r="H94" s="3">
        <v>0</v>
      </c>
      <c r="I94" s="1">
        <f t="shared" si="11"/>
        <v>0</v>
      </c>
      <c r="K94" s="2">
        <v>6.0536000000000002E-7</v>
      </c>
      <c r="L94" s="2">
        <v>16411.7</v>
      </c>
      <c r="M94" s="3">
        <v>0</v>
      </c>
      <c r="N94" s="1">
        <f t="shared" si="12"/>
        <v>0</v>
      </c>
      <c r="P94" s="2">
        <v>6.0536000000000002E-7</v>
      </c>
      <c r="Q94" s="2">
        <v>16411.7</v>
      </c>
      <c r="R94" s="3">
        <v>0</v>
      </c>
      <c r="S94" s="1">
        <f t="shared" si="13"/>
        <v>0</v>
      </c>
      <c r="U94" s="2">
        <v>6.0536000000000002E-7</v>
      </c>
      <c r="V94" s="2">
        <v>16411.7</v>
      </c>
      <c r="W94" s="16">
        <v>0</v>
      </c>
      <c r="X94" s="1">
        <f t="shared" si="14"/>
        <v>0</v>
      </c>
      <c r="Z94" s="2">
        <v>6.0536000000000002E-7</v>
      </c>
      <c r="AA94" s="2">
        <v>16411.7</v>
      </c>
      <c r="AB94" s="3">
        <v>0</v>
      </c>
      <c r="AC94" s="1">
        <f t="shared" si="15"/>
        <v>0</v>
      </c>
      <c r="AE94" s="2">
        <v>6.0536000000000002E-7</v>
      </c>
      <c r="AF94" s="2">
        <v>16411.7</v>
      </c>
      <c r="AG94" s="3">
        <v>0</v>
      </c>
      <c r="AH94" s="1">
        <f t="shared" si="16"/>
        <v>0</v>
      </c>
      <c r="AJ94" s="2">
        <v>6.0536000000000002E-7</v>
      </c>
      <c r="AK94" s="2">
        <v>16411.7</v>
      </c>
      <c r="AL94" s="3">
        <v>5.3916596618814705E-4</v>
      </c>
      <c r="AM94" s="1">
        <f t="shared" si="17"/>
        <v>8.8486300872900134</v>
      </c>
      <c r="AO94" s="2">
        <v>6.0536000000000002E-7</v>
      </c>
      <c r="AP94" s="2">
        <v>16411.7</v>
      </c>
      <c r="AQ94" s="2">
        <v>7.1611023627058197E-6</v>
      </c>
      <c r="AR94" s="1">
        <f t="shared" si="18"/>
        <v>0.11752586364601911</v>
      </c>
      <c r="AT94" s="2">
        <v>6.0536000000000002E-7</v>
      </c>
      <c r="AU94" s="2">
        <v>16411.7</v>
      </c>
      <c r="AV94" s="3">
        <v>0</v>
      </c>
      <c r="AW94" s="1">
        <f t="shared" si="19"/>
        <v>0</v>
      </c>
    </row>
    <row r="95" spans="1:49" x14ac:dyDescent="0.3">
      <c r="A95" s="2">
        <v>6.8322999999999996E-7</v>
      </c>
      <c r="B95" s="2">
        <v>16191.7</v>
      </c>
      <c r="C95" s="3">
        <v>4.4923538923219396E-3</v>
      </c>
      <c r="D95" s="1">
        <f t="shared" si="10"/>
        <v>72.738846518309145</v>
      </c>
      <c r="F95" s="2">
        <v>6.8322999999999996E-7</v>
      </c>
      <c r="G95" s="2">
        <v>16191.7</v>
      </c>
      <c r="H95" s="3">
        <v>0</v>
      </c>
      <c r="I95" s="1">
        <f t="shared" si="11"/>
        <v>0</v>
      </c>
      <c r="K95" s="2">
        <v>6.8322999999999996E-7</v>
      </c>
      <c r="L95" s="2">
        <v>16191.7</v>
      </c>
      <c r="M95" s="3">
        <v>0</v>
      </c>
      <c r="N95" s="1">
        <f t="shared" si="12"/>
        <v>0</v>
      </c>
      <c r="P95" s="2">
        <v>6.8322999999999996E-7</v>
      </c>
      <c r="Q95" s="2">
        <v>16191.7</v>
      </c>
      <c r="R95" s="3">
        <v>0</v>
      </c>
      <c r="S95" s="1">
        <f t="shared" si="13"/>
        <v>0</v>
      </c>
      <c r="U95" s="2">
        <v>6.8322999999999996E-7</v>
      </c>
      <c r="V95" s="2">
        <v>16191.7</v>
      </c>
      <c r="W95" s="16">
        <v>0</v>
      </c>
      <c r="X95" s="1">
        <f t="shared" si="14"/>
        <v>0</v>
      </c>
      <c r="Z95" s="2">
        <v>6.8322999999999996E-7</v>
      </c>
      <c r="AA95" s="2">
        <v>16191.7</v>
      </c>
      <c r="AB95" s="3">
        <v>0</v>
      </c>
      <c r="AC95" s="1">
        <f t="shared" si="15"/>
        <v>0</v>
      </c>
      <c r="AE95" s="2">
        <v>6.8322999999999996E-7</v>
      </c>
      <c r="AF95" s="2">
        <v>16191.7</v>
      </c>
      <c r="AG95" s="3">
        <v>0</v>
      </c>
      <c r="AH95" s="1">
        <f t="shared" si="16"/>
        <v>0</v>
      </c>
      <c r="AJ95" s="2">
        <v>6.8322999999999996E-7</v>
      </c>
      <c r="AK95" s="2">
        <v>16191.7</v>
      </c>
      <c r="AL95" s="3">
        <v>5.1337213933245703E-4</v>
      </c>
      <c r="AM95" s="1">
        <f t="shared" si="17"/>
        <v>8.3123676684293457</v>
      </c>
      <c r="AO95" s="2">
        <v>6.8322999999999996E-7</v>
      </c>
      <c r="AP95" s="2">
        <v>16191.7</v>
      </c>
      <c r="AQ95" s="2">
        <v>6.8232644913238804E-6</v>
      </c>
      <c r="AR95" s="1">
        <f t="shared" si="18"/>
        <v>0.11048025166416887</v>
      </c>
      <c r="AT95" s="2">
        <v>6.8322999999999996E-7</v>
      </c>
      <c r="AU95" s="2">
        <v>16191.7</v>
      </c>
      <c r="AV95" s="3">
        <v>0</v>
      </c>
      <c r="AW95" s="1">
        <f t="shared" si="19"/>
        <v>0</v>
      </c>
    </row>
    <row r="96" spans="1:49" x14ac:dyDescent="0.3">
      <c r="A96" s="2">
        <v>7.7110999999999997E-7</v>
      </c>
      <c r="B96" s="2">
        <v>16363.2</v>
      </c>
      <c r="C96" s="3">
        <v>4.3894849754662199E-3</v>
      </c>
      <c r="D96" s="1">
        <f t="shared" si="10"/>
        <v>71.826020550548847</v>
      </c>
      <c r="F96" s="2">
        <v>7.7110999999999997E-7</v>
      </c>
      <c r="G96" s="2">
        <v>16363.2</v>
      </c>
      <c r="H96" s="3">
        <v>0</v>
      </c>
      <c r="I96" s="1">
        <f t="shared" si="11"/>
        <v>0</v>
      </c>
      <c r="K96" s="2">
        <v>7.7110999999999997E-7</v>
      </c>
      <c r="L96" s="2">
        <v>16363.2</v>
      </c>
      <c r="M96" s="3">
        <v>0</v>
      </c>
      <c r="N96" s="1">
        <f t="shared" si="12"/>
        <v>0</v>
      </c>
      <c r="P96" s="2">
        <v>7.7110999999999997E-7</v>
      </c>
      <c r="Q96" s="2">
        <v>16363.2</v>
      </c>
      <c r="R96" s="3">
        <v>0</v>
      </c>
      <c r="S96" s="1">
        <f t="shared" si="13"/>
        <v>0</v>
      </c>
      <c r="U96" s="2">
        <v>7.7110999999999997E-7</v>
      </c>
      <c r="V96" s="2">
        <v>16363.2</v>
      </c>
      <c r="W96" s="16">
        <v>0</v>
      </c>
      <c r="X96" s="1">
        <f t="shared" si="14"/>
        <v>0</v>
      </c>
      <c r="Z96" s="2">
        <v>7.7110999999999997E-7</v>
      </c>
      <c r="AA96" s="2">
        <v>16363.2</v>
      </c>
      <c r="AB96" s="3">
        <v>0</v>
      </c>
      <c r="AC96" s="1">
        <f t="shared" si="15"/>
        <v>0</v>
      </c>
      <c r="AE96" s="2">
        <v>7.7110999999999997E-7</v>
      </c>
      <c r="AF96" s="2">
        <v>16363.2</v>
      </c>
      <c r="AG96" s="3">
        <v>0</v>
      </c>
      <c r="AH96" s="1">
        <f t="shared" si="16"/>
        <v>0</v>
      </c>
      <c r="AJ96" s="2">
        <v>7.7110999999999997E-7</v>
      </c>
      <c r="AK96" s="2">
        <v>16363.2</v>
      </c>
      <c r="AL96" s="3">
        <v>4.87174472208305E-4</v>
      </c>
      <c r="AM96" s="1">
        <f t="shared" si="17"/>
        <v>7.9717333236389365</v>
      </c>
      <c r="AO96" s="2">
        <v>7.7110999999999997E-7</v>
      </c>
      <c r="AP96" s="2">
        <v>16363.2</v>
      </c>
      <c r="AQ96" s="2">
        <v>6.50183972146765E-6</v>
      </c>
      <c r="AR96" s="1">
        <f t="shared" si="18"/>
        <v>0.10639090373031945</v>
      </c>
      <c r="AT96" s="2">
        <v>7.7110999999999997E-7</v>
      </c>
      <c r="AU96" s="2">
        <v>16363.2</v>
      </c>
      <c r="AV96" s="3">
        <v>0</v>
      </c>
      <c r="AW96" s="1">
        <f t="shared" si="19"/>
        <v>0</v>
      </c>
    </row>
    <row r="97" spans="1:49" x14ac:dyDescent="0.3">
      <c r="A97" s="2">
        <v>8.7028999999999999E-7</v>
      </c>
      <c r="B97" s="2">
        <v>16437.400000000001</v>
      </c>
      <c r="C97" s="3">
        <v>4.3093387547042897E-3</v>
      </c>
      <c r="D97" s="1">
        <f t="shared" si="10"/>
        <v>70.834324846576294</v>
      </c>
      <c r="F97" s="2">
        <v>8.7028999999999999E-7</v>
      </c>
      <c r="G97" s="2">
        <v>16437.400000000001</v>
      </c>
      <c r="H97" s="3">
        <v>0</v>
      </c>
      <c r="I97" s="1">
        <f t="shared" si="11"/>
        <v>0</v>
      </c>
      <c r="K97" s="2">
        <v>8.7028999999999999E-7</v>
      </c>
      <c r="L97" s="2">
        <v>16437.400000000001</v>
      </c>
      <c r="M97" s="3">
        <v>0</v>
      </c>
      <c r="N97" s="1">
        <f t="shared" si="12"/>
        <v>0</v>
      </c>
      <c r="P97" s="2">
        <v>8.7028999999999999E-7</v>
      </c>
      <c r="Q97" s="2">
        <v>16437.400000000001</v>
      </c>
      <c r="R97" s="3">
        <v>0</v>
      </c>
      <c r="S97" s="1">
        <f t="shared" si="13"/>
        <v>0</v>
      </c>
      <c r="U97" s="2">
        <v>8.7028999999999999E-7</v>
      </c>
      <c r="V97" s="2">
        <v>16437.400000000001</v>
      </c>
      <c r="W97" s="16">
        <v>0</v>
      </c>
      <c r="X97" s="1">
        <f t="shared" si="14"/>
        <v>0</v>
      </c>
      <c r="Z97" s="2">
        <v>8.7028999999999999E-7</v>
      </c>
      <c r="AA97" s="2">
        <v>16437.400000000001</v>
      </c>
      <c r="AB97" s="3">
        <v>0</v>
      </c>
      <c r="AC97" s="1">
        <f t="shared" si="15"/>
        <v>0</v>
      </c>
      <c r="AE97" s="2">
        <v>8.7028999999999999E-7</v>
      </c>
      <c r="AF97" s="2">
        <v>16437.400000000001</v>
      </c>
      <c r="AG97" s="3">
        <v>0</v>
      </c>
      <c r="AH97" s="1">
        <f t="shared" si="16"/>
        <v>0</v>
      </c>
      <c r="AJ97" s="2">
        <v>8.7028999999999999E-7</v>
      </c>
      <c r="AK97" s="2">
        <v>16437.400000000001</v>
      </c>
      <c r="AL97" s="3">
        <v>4.5268778753503199E-4</v>
      </c>
      <c r="AM97" s="1">
        <f t="shared" si="17"/>
        <v>7.4410102388283352</v>
      </c>
      <c r="AO97" s="2">
        <v>8.7028999999999999E-7</v>
      </c>
      <c r="AP97" s="2">
        <v>16437.400000000001</v>
      </c>
      <c r="AQ97" s="2">
        <v>6.0506310623074801E-6</v>
      </c>
      <c r="AR97" s="1">
        <f t="shared" si="18"/>
        <v>9.9456643023572988E-2</v>
      </c>
      <c r="AT97" s="2">
        <v>8.7028999999999999E-7</v>
      </c>
      <c r="AU97" s="2">
        <v>16437.400000000001</v>
      </c>
      <c r="AV97" s="3">
        <v>0</v>
      </c>
      <c r="AW97" s="1">
        <f t="shared" si="19"/>
        <v>0</v>
      </c>
    </row>
    <row r="98" spans="1:49" x14ac:dyDescent="0.3">
      <c r="A98" s="2">
        <v>9.8223000000000008E-7</v>
      </c>
      <c r="B98" s="2">
        <v>17041.599999999999</v>
      </c>
      <c r="C98" s="3">
        <v>4.2540963228161798E-3</v>
      </c>
      <c r="D98" s="1">
        <f t="shared" si="10"/>
        <v>72.496607894904201</v>
      </c>
      <c r="F98" s="2">
        <v>9.8223000000000008E-7</v>
      </c>
      <c r="G98" s="2">
        <v>17041.599999999999</v>
      </c>
      <c r="H98" s="3">
        <v>0</v>
      </c>
      <c r="I98" s="1">
        <f t="shared" si="11"/>
        <v>0</v>
      </c>
      <c r="K98" s="2">
        <v>9.8223000000000008E-7</v>
      </c>
      <c r="L98" s="2">
        <v>17041.599999999999</v>
      </c>
      <c r="M98" s="3">
        <v>0</v>
      </c>
      <c r="N98" s="1">
        <f t="shared" si="12"/>
        <v>0</v>
      </c>
      <c r="P98" s="2">
        <v>9.8223000000000008E-7</v>
      </c>
      <c r="Q98" s="2">
        <v>17041.599999999999</v>
      </c>
      <c r="R98" s="3">
        <v>0</v>
      </c>
      <c r="S98" s="1">
        <f t="shared" si="13"/>
        <v>0</v>
      </c>
      <c r="U98" s="2">
        <v>9.8223000000000008E-7</v>
      </c>
      <c r="V98" s="2">
        <v>17041.599999999999</v>
      </c>
      <c r="W98" s="16">
        <v>0</v>
      </c>
      <c r="X98" s="1">
        <f t="shared" si="14"/>
        <v>0</v>
      </c>
      <c r="Z98" s="2">
        <v>9.8223000000000008E-7</v>
      </c>
      <c r="AA98" s="2">
        <v>17041.599999999999</v>
      </c>
      <c r="AB98" s="3">
        <v>0</v>
      </c>
      <c r="AC98" s="1">
        <f t="shared" si="15"/>
        <v>0</v>
      </c>
      <c r="AE98" s="2">
        <v>9.8223000000000008E-7</v>
      </c>
      <c r="AF98" s="2">
        <v>17041.599999999999</v>
      </c>
      <c r="AG98" s="3">
        <v>0</v>
      </c>
      <c r="AH98" s="1">
        <f t="shared" si="16"/>
        <v>0</v>
      </c>
      <c r="AJ98" s="2">
        <v>9.8223000000000008E-7</v>
      </c>
      <c r="AK98" s="2">
        <v>17041.599999999999</v>
      </c>
      <c r="AL98" s="3">
        <v>4.2050063992440202E-4</v>
      </c>
      <c r="AM98" s="1">
        <f t="shared" si="17"/>
        <v>7.1660037053356884</v>
      </c>
      <c r="AO98" s="2">
        <v>9.8223000000000008E-7</v>
      </c>
      <c r="AP98" s="2">
        <v>17041.599999999999</v>
      </c>
      <c r="AQ98" s="2">
        <v>5.628545090009E-6</v>
      </c>
      <c r="AR98" s="1">
        <f t="shared" si="18"/>
        <v>9.591941400589736E-2</v>
      </c>
      <c r="AT98" s="2">
        <v>9.8223000000000008E-7</v>
      </c>
      <c r="AU98" s="2">
        <v>17041.599999999999</v>
      </c>
      <c r="AV98" s="3">
        <v>0</v>
      </c>
      <c r="AW98" s="1">
        <f t="shared" si="19"/>
        <v>0</v>
      </c>
    </row>
    <row r="99" spans="1:49" x14ac:dyDescent="0.3">
      <c r="A99" s="2">
        <v>1.1086000000000001E-6</v>
      </c>
      <c r="B99" s="2">
        <v>15761.5</v>
      </c>
      <c r="C99" s="3">
        <v>4.2259745282012999E-3</v>
      </c>
      <c r="D99" s="1">
        <f t="shared" si="10"/>
        <v>66.607697526244792</v>
      </c>
      <c r="F99" s="2">
        <v>1.1086000000000001E-6</v>
      </c>
      <c r="G99" s="2">
        <v>15761.5</v>
      </c>
      <c r="H99" s="3">
        <v>0</v>
      </c>
      <c r="I99" s="1">
        <f t="shared" si="11"/>
        <v>0</v>
      </c>
      <c r="K99" s="2">
        <v>1.1086000000000001E-6</v>
      </c>
      <c r="L99" s="2">
        <v>15761.5</v>
      </c>
      <c r="M99" s="3">
        <v>0</v>
      </c>
      <c r="N99" s="1">
        <f t="shared" si="12"/>
        <v>0</v>
      </c>
      <c r="P99" s="2">
        <v>1.1086000000000001E-6</v>
      </c>
      <c r="Q99" s="2">
        <v>15761.5</v>
      </c>
      <c r="R99" s="3">
        <v>0</v>
      </c>
      <c r="S99" s="1">
        <f t="shared" si="13"/>
        <v>0</v>
      </c>
      <c r="U99" s="2">
        <v>1.1086000000000001E-6</v>
      </c>
      <c r="V99" s="2">
        <v>15761.5</v>
      </c>
      <c r="W99" s="16">
        <v>0</v>
      </c>
      <c r="X99" s="1">
        <f t="shared" si="14"/>
        <v>0</v>
      </c>
      <c r="Z99" s="2">
        <v>1.1086000000000001E-6</v>
      </c>
      <c r="AA99" s="2">
        <v>15761.5</v>
      </c>
      <c r="AB99" s="3">
        <v>0</v>
      </c>
      <c r="AC99" s="1">
        <f t="shared" si="15"/>
        <v>0</v>
      </c>
      <c r="AE99" s="2">
        <v>1.1086000000000001E-6</v>
      </c>
      <c r="AF99" s="2">
        <v>15761.5</v>
      </c>
      <c r="AG99" s="3">
        <v>0</v>
      </c>
      <c r="AH99" s="1">
        <f t="shared" si="16"/>
        <v>0</v>
      </c>
      <c r="AJ99" s="2">
        <v>1.1086000000000001E-6</v>
      </c>
      <c r="AK99" s="2">
        <v>15761.5</v>
      </c>
      <c r="AL99" s="3">
        <v>4.0043654192620497E-4</v>
      </c>
      <c r="AM99" s="1">
        <f t="shared" si="17"/>
        <v>6.3114805555698794</v>
      </c>
      <c r="AO99" s="2">
        <v>1.1086000000000001E-6</v>
      </c>
      <c r="AP99" s="2">
        <v>15761.5</v>
      </c>
      <c r="AQ99" s="2">
        <v>5.3654392128079498E-6</v>
      </c>
      <c r="AR99" s="1">
        <f t="shared" si="18"/>
        <v>8.4567370152672502E-2</v>
      </c>
      <c r="AT99" s="2">
        <v>1.1086000000000001E-6</v>
      </c>
      <c r="AU99" s="2">
        <v>15761.5</v>
      </c>
      <c r="AV99" s="3">
        <v>0</v>
      </c>
      <c r="AW99" s="1">
        <f t="shared" si="19"/>
        <v>0</v>
      </c>
    </row>
    <row r="100" spans="1:49" x14ac:dyDescent="0.3">
      <c r="A100" s="2">
        <v>1.2512E-6</v>
      </c>
      <c r="B100" s="2">
        <v>16703.8</v>
      </c>
      <c r="C100" s="3">
        <v>4.2412958110906599E-3</v>
      </c>
      <c r="D100" s="1">
        <f t="shared" si="10"/>
        <v>70.845756969296161</v>
      </c>
      <c r="F100" s="2">
        <v>1.2512E-6</v>
      </c>
      <c r="G100" s="2">
        <v>16703.8</v>
      </c>
      <c r="H100" s="3">
        <v>0</v>
      </c>
      <c r="I100" s="1">
        <f t="shared" si="11"/>
        <v>0</v>
      </c>
      <c r="K100" s="2">
        <v>1.2512E-6</v>
      </c>
      <c r="L100" s="2">
        <v>16703.8</v>
      </c>
      <c r="M100" s="3">
        <v>0</v>
      </c>
      <c r="N100" s="1">
        <f t="shared" si="12"/>
        <v>0</v>
      </c>
      <c r="P100" s="2">
        <v>1.2512E-6</v>
      </c>
      <c r="Q100" s="2">
        <v>16703.8</v>
      </c>
      <c r="R100" s="3">
        <v>0</v>
      </c>
      <c r="S100" s="1">
        <f t="shared" si="13"/>
        <v>0</v>
      </c>
      <c r="U100" s="2">
        <v>1.2512E-6</v>
      </c>
      <c r="V100" s="2">
        <v>16703.8</v>
      </c>
      <c r="W100" s="16">
        <v>0</v>
      </c>
      <c r="X100" s="1">
        <f t="shared" si="14"/>
        <v>0</v>
      </c>
      <c r="Z100" s="2">
        <v>1.2512E-6</v>
      </c>
      <c r="AA100" s="2">
        <v>16703.8</v>
      </c>
      <c r="AB100" s="3">
        <v>0</v>
      </c>
      <c r="AC100" s="1">
        <f t="shared" si="15"/>
        <v>0</v>
      </c>
      <c r="AE100" s="2">
        <v>1.2512E-6</v>
      </c>
      <c r="AF100" s="2">
        <v>16703.8</v>
      </c>
      <c r="AG100" s="3">
        <v>0</v>
      </c>
      <c r="AH100" s="1">
        <f t="shared" si="16"/>
        <v>0</v>
      </c>
      <c r="AJ100" s="2">
        <v>1.2512E-6</v>
      </c>
      <c r="AK100" s="2">
        <v>16703.8</v>
      </c>
      <c r="AL100" s="3">
        <v>3.8134185661127897E-4</v>
      </c>
      <c r="AM100" s="1">
        <f t="shared" si="17"/>
        <v>6.3698581044634812</v>
      </c>
      <c r="AO100" s="2">
        <v>1.2512E-6</v>
      </c>
      <c r="AP100" s="2">
        <v>16703.8</v>
      </c>
      <c r="AQ100" s="2">
        <v>5.1152542878718204E-6</v>
      </c>
      <c r="AR100" s="1">
        <f t="shared" si="18"/>
        <v>8.5444184573753315E-2</v>
      </c>
      <c r="AT100" s="2">
        <v>1.2512E-6</v>
      </c>
      <c r="AU100" s="2">
        <v>16703.8</v>
      </c>
      <c r="AV100" s="3">
        <v>0</v>
      </c>
      <c r="AW100" s="1">
        <f t="shared" si="19"/>
        <v>0</v>
      </c>
    </row>
    <row r="101" spans="1:49" x14ac:dyDescent="0.3">
      <c r="A101" s="2">
        <v>1.4121E-6</v>
      </c>
      <c r="B101" s="2">
        <v>16640.599999999999</v>
      </c>
      <c r="C101" s="3">
        <v>4.3295317407294103E-3</v>
      </c>
      <c r="D101" s="1">
        <f t="shared" si="10"/>
        <v>72.04600588478182</v>
      </c>
      <c r="F101" s="2">
        <v>1.4121E-6</v>
      </c>
      <c r="G101" s="2">
        <v>16640.599999999999</v>
      </c>
      <c r="H101" s="3">
        <v>0</v>
      </c>
      <c r="I101" s="1">
        <f t="shared" si="11"/>
        <v>0</v>
      </c>
      <c r="K101" s="2">
        <v>1.4121E-6</v>
      </c>
      <c r="L101" s="2">
        <v>16640.599999999999</v>
      </c>
      <c r="M101" s="3">
        <v>0</v>
      </c>
      <c r="N101" s="1">
        <f t="shared" si="12"/>
        <v>0</v>
      </c>
      <c r="P101" s="2">
        <v>1.4121E-6</v>
      </c>
      <c r="Q101" s="2">
        <v>16640.599999999999</v>
      </c>
      <c r="R101" s="3">
        <v>0</v>
      </c>
      <c r="S101" s="1">
        <f t="shared" si="13"/>
        <v>0</v>
      </c>
      <c r="U101" s="2">
        <v>1.4121E-6</v>
      </c>
      <c r="V101" s="2">
        <v>16640.599999999999</v>
      </c>
      <c r="W101" s="16">
        <v>0</v>
      </c>
      <c r="X101" s="1">
        <f t="shared" si="14"/>
        <v>0</v>
      </c>
      <c r="Z101" s="2">
        <v>1.4121E-6</v>
      </c>
      <c r="AA101" s="2">
        <v>16640.599999999999</v>
      </c>
      <c r="AB101" s="3">
        <v>0</v>
      </c>
      <c r="AC101" s="1">
        <f t="shared" si="15"/>
        <v>0</v>
      </c>
      <c r="AE101" s="2">
        <v>1.4121E-6</v>
      </c>
      <c r="AF101" s="2">
        <v>16640.599999999999</v>
      </c>
      <c r="AG101" s="3">
        <v>0</v>
      </c>
      <c r="AH101" s="1">
        <f t="shared" si="16"/>
        <v>0</v>
      </c>
      <c r="AJ101" s="2">
        <v>1.4121E-6</v>
      </c>
      <c r="AK101" s="2">
        <v>16640.599999999999</v>
      </c>
      <c r="AL101" s="3">
        <v>3.6319256920637802E-4</v>
      </c>
      <c r="AM101" s="1">
        <f t="shared" si="17"/>
        <v>6.043742267135654</v>
      </c>
      <c r="AO101" s="2">
        <v>1.4121E-6</v>
      </c>
      <c r="AP101" s="2">
        <v>16640.599999999999</v>
      </c>
      <c r="AQ101" s="2">
        <v>4.7643300466284004E-6</v>
      </c>
      <c r="AR101" s="1">
        <f t="shared" si="18"/>
        <v>7.9281310573924554E-2</v>
      </c>
      <c r="AT101" s="2">
        <v>1.4121E-6</v>
      </c>
      <c r="AU101" s="2">
        <v>16640.599999999999</v>
      </c>
      <c r="AV101" s="3">
        <v>0</v>
      </c>
      <c r="AW101" s="1">
        <f t="shared" si="19"/>
        <v>0</v>
      </c>
    </row>
    <row r="102" spans="1:49" x14ac:dyDescent="0.3">
      <c r="A102" s="2">
        <v>1.5937000000000001E-6</v>
      </c>
      <c r="B102" s="2">
        <v>17191.400000000001</v>
      </c>
      <c r="C102" s="3">
        <v>4.4905124779256698E-3</v>
      </c>
      <c r="D102" s="1">
        <f t="shared" si="10"/>
        <v>77.198196213011371</v>
      </c>
      <c r="F102" s="2">
        <v>1.5937000000000001E-6</v>
      </c>
      <c r="G102" s="2">
        <v>17191.400000000001</v>
      </c>
      <c r="H102" s="3">
        <v>0</v>
      </c>
      <c r="I102" s="1">
        <f t="shared" si="11"/>
        <v>0</v>
      </c>
      <c r="K102" s="2">
        <v>1.5937000000000001E-6</v>
      </c>
      <c r="L102" s="2">
        <v>17191.400000000001</v>
      </c>
      <c r="M102" s="3">
        <v>0</v>
      </c>
      <c r="N102" s="1">
        <f t="shared" si="12"/>
        <v>0</v>
      </c>
      <c r="P102" s="2">
        <v>1.5937000000000001E-6</v>
      </c>
      <c r="Q102" s="2">
        <v>17191.400000000001</v>
      </c>
      <c r="R102" s="3">
        <v>0</v>
      </c>
      <c r="S102" s="1">
        <f t="shared" si="13"/>
        <v>0</v>
      </c>
      <c r="U102" s="2">
        <v>1.5937000000000001E-6</v>
      </c>
      <c r="V102" s="2">
        <v>17191.400000000001</v>
      </c>
      <c r="W102" s="16">
        <v>0</v>
      </c>
      <c r="X102" s="1">
        <f t="shared" si="14"/>
        <v>0</v>
      </c>
      <c r="Z102" s="2">
        <v>1.5937000000000001E-6</v>
      </c>
      <c r="AA102" s="2">
        <v>17191.400000000001</v>
      </c>
      <c r="AB102" s="3">
        <v>0</v>
      </c>
      <c r="AC102" s="1">
        <f t="shared" si="15"/>
        <v>0</v>
      </c>
      <c r="AE102" s="2">
        <v>1.5937000000000001E-6</v>
      </c>
      <c r="AF102" s="2">
        <v>17191.400000000001</v>
      </c>
      <c r="AG102" s="3">
        <v>0</v>
      </c>
      <c r="AH102" s="1">
        <f t="shared" si="16"/>
        <v>0</v>
      </c>
      <c r="AJ102" s="2">
        <v>1.5937000000000001E-6</v>
      </c>
      <c r="AK102" s="2">
        <v>17191.400000000001</v>
      </c>
      <c r="AL102" s="3">
        <v>3.3657292820947802E-4</v>
      </c>
      <c r="AM102" s="1">
        <f t="shared" si="17"/>
        <v>5.7861598380204207</v>
      </c>
      <c r="AO102" s="2">
        <v>1.5937000000000001E-6</v>
      </c>
      <c r="AP102" s="2">
        <v>17191.400000000001</v>
      </c>
      <c r="AQ102" s="2">
        <v>4.4363712817079001E-6</v>
      </c>
      <c r="AR102" s="1">
        <f t="shared" si="18"/>
        <v>7.6267433252353203E-2</v>
      </c>
      <c r="AT102" s="2">
        <v>1.5937000000000001E-6</v>
      </c>
      <c r="AU102" s="2">
        <v>17191.400000000001</v>
      </c>
      <c r="AV102" s="3">
        <v>0</v>
      </c>
      <c r="AW102" s="1">
        <f t="shared" si="19"/>
        <v>0</v>
      </c>
    </row>
    <row r="103" spans="1:49" x14ac:dyDescent="0.3">
      <c r="A103" s="2">
        <v>1.7987E-6</v>
      </c>
      <c r="B103" s="2">
        <v>17397.599999999999</v>
      </c>
      <c r="C103" s="3">
        <v>4.7292348704828999E-3</v>
      </c>
      <c r="D103" s="1">
        <f t="shared" si="10"/>
        <v>82.277336582713289</v>
      </c>
      <c r="F103" s="2">
        <v>1.7987E-6</v>
      </c>
      <c r="G103" s="2">
        <v>17397.599999999999</v>
      </c>
      <c r="H103" s="3">
        <v>0</v>
      </c>
      <c r="I103" s="1">
        <f t="shared" si="11"/>
        <v>0</v>
      </c>
      <c r="K103" s="2">
        <v>1.7987E-6</v>
      </c>
      <c r="L103" s="2">
        <v>17397.599999999999</v>
      </c>
      <c r="M103" s="3">
        <v>0</v>
      </c>
      <c r="N103" s="1">
        <f t="shared" si="12"/>
        <v>0</v>
      </c>
      <c r="P103" s="2">
        <v>1.7987E-6</v>
      </c>
      <c r="Q103" s="2">
        <v>17397.599999999999</v>
      </c>
      <c r="R103" s="3">
        <v>0</v>
      </c>
      <c r="S103" s="1">
        <f t="shared" si="13"/>
        <v>0</v>
      </c>
      <c r="U103" s="2">
        <v>1.7987E-6</v>
      </c>
      <c r="V103" s="2">
        <v>17397.599999999999</v>
      </c>
      <c r="W103" s="16">
        <v>0</v>
      </c>
      <c r="X103" s="1">
        <f t="shared" si="14"/>
        <v>0</v>
      </c>
      <c r="Z103" s="2">
        <v>1.7987E-6</v>
      </c>
      <c r="AA103" s="2">
        <v>17397.599999999999</v>
      </c>
      <c r="AB103" s="3">
        <v>0</v>
      </c>
      <c r="AC103" s="1">
        <f t="shared" si="15"/>
        <v>0</v>
      </c>
      <c r="AE103" s="2">
        <v>1.7987E-6</v>
      </c>
      <c r="AF103" s="2">
        <v>17397.599999999999</v>
      </c>
      <c r="AG103" s="3">
        <v>0</v>
      </c>
      <c r="AH103" s="1">
        <f t="shared" si="16"/>
        <v>0</v>
      </c>
      <c r="AJ103" s="2">
        <v>1.7987E-6</v>
      </c>
      <c r="AK103" s="2">
        <v>17397.599999999999</v>
      </c>
      <c r="AL103" s="3">
        <v>3.1274586227288099E-4</v>
      </c>
      <c r="AM103" s="1">
        <f t="shared" si="17"/>
        <v>5.4410274134786736</v>
      </c>
      <c r="AO103" s="2">
        <v>1.7987E-6</v>
      </c>
      <c r="AP103" s="2">
        <v>17397.599999999999</v>
      </c>
      <c r="AQ103" s="2">
        <v>4.2321632587500098E-6</v>
      </c>
      <c r="AR103" s="1">
        <f t="shared" si="18"/>
        <v>7.3629483510429167E-2</v>
      </c>
      <c r="AT103" s="2">
        <v>1.7987E-6</v>
      </c>
      <c r="AU103" s="2">
        <v>17397.599999999999</v>
      </c>
      <c r="AV103" s="3">
        <v>0</v>
      </c>
      <c r="AW103" s="1">
        <f t="shared" si="19"/>
        <v>0</v>
      </c>
    </row>
    <row r="104" spans="1:49" x14ac:dyDescent="0.3">
      <c r="A104" s="2">
        <v>2.0300999999999998E-6</v>
      </c>
      <c r="B104" s="2">
        <v>15591.8</v>
      </c>
      <c r="C104" s="3">
        <v>5.1494527868356198E-3</v>
      </c>
      <c r="D104" s="1">
        <f t="shared" si="10"/>
        <v>80.289237961783613</v>
      </c>
      <c r="F104" s="2">
        <v>2.0300999999999998E-6</v>
      </c>
      <c r="G104" s="2">
        <v>15591.8</v>
      </c>
      <c r="H104" s="3">
        <v>0</v>
      </c>
      <c r="I104" s="1">
        <f t="shared" si="11"/>
        <v>0</v>
      </c>
      <c r="K104" s="2">
        <v>2.0300999999999998E-6</v>
      </c>
      <c r="L104" s="2">
        <v>15591.8</v>
      </c>
      <c r="M104" s="3">
        <v>0</v>
      </c>
      <c r="N104" s="1">
        <f t="shared" si="12"/>
        <v>0</v>
      </c>
      <c r="P104" s="2">
        <v>2.0300999999999998E-6</v>
      </c>
      <c r="Q104" s="2">
        <v>15591.8</v>
      </c>
      <c r="R104" s="3">
        <v>0</v>
      </c>
      <c r="S104" s="1">
        <f t="shared" si="13"/>
        <v>0</v>
      </c>
      <c r="U104" s="2">
        <v>2.0300999999999998E-6</v>
      </c>
      <c r="V104" s="2">
        <v>15591.8</v>
      </c>
      <c r="W104" s="16">
        <v>0</v>
      </c>
      <c r="X104" s="1">
        <f t="shared" si="14"/>
        <v>0</v>
      </c>
      <c r="Z104" s="2">
        <v>2.0300999999999998E-6</v>
      </c>
      <c r="AA104" s="2">
        <v>15591.8</v>
      </c>
      <c r="AB104" s="3">
        <v>0</v>
      </c>
      <c r="AC104" s="1">
        <f t="shared" si="15"/>
        <v>0</v>
      </c>
      <c r="AE104" s="2">
        <v>2.0300999999999998E-6</v>
      </c>
      <c r="AF104" s="2">
        <v>15591.8</v>
      </c>
      <c r="AG104" s="3">
        <v>0</v>
      </c>
      <c r="AH104" s="1">
        <f t="shared" si="16"/>
        <v>0</v>
      </c>
      <c r="AJ104" s="2">
        <v>2.0300999999999998E-6</v>
      </c>
      <c r="AK104" s="2">
        <v>15591.8</v>
      </c>
      <c r="AL104" s="3">
        <v>2.9788169782852901E-4</v>
      </c>
      <c r="AM104" s="1">
        <f t="shared" si="17"/>
        <v>4.6445118562028584</v>
      </c>
      <c r="AO104" s="2">
        <v>2.0300999999999998E-6</v>
      </c>
      <c r="AP104" s="2">
        <v>15591.8</v>
      </c>
      <c r="AQ104" s="2">
        <v>4.0381651774466802E-6</v>
      </c>
      <c r="AR104" s="1">
        <f t="shared" si="18"/>
        <v>6.2962263813713143E-2</v>
      </c>
      <c r="AT104" s="2">
        <v>2.0300999999999998E-6</v>
      </c>
      <c r="AU104" s="2">
        <v>15591.8</v>
      </c>
      <c r="AV104" s="3">
        <v>0</v>
      </c>
      <c r="AW104" s="1">
        <f t="shared" si="19"/>
        <v>0</v>
      </c>
    </row>
    <row r="105" spans="1:49" x14ac:dyDescent="0.3">
      <c r="A105" s="2">
        <v>2.2912000000000002E-6</v>
      </c>
      <c r="B105" s="2">
        <v>16454.3</v>
      </c>
      <c r="C105" s="3">
        <v>5.6982747270676497E-3</v>
      </c>
      <c r="D105" s="1">
        <f t="shared" si="10"/>
        <v>93.76112184158923</v>
      </c>
      <c r="F105" s="2">
        <v>2.2912000000000002E-6</v>
      </c>
      <c r="G105" s="2">
        <v>16454.3</v>
      </c>
      <c r="H105" s="3">
        <v>0</v>
      </c>
      <c r="I105" s="1">
        <f t="shared" si="11"/>
        <v>0</v>
      </c>
      <c r="K105" s="2">
        <v>2.2912000000000002E-6</v>
      </c>
      <c r="L105" s="2">
        <v>16454.3</v>
      </c>
      <c r="M105" s="3">
        <v>0</v>
      </c>
      <c r="N105" s="1">
        <f t="shared" si="12"/>
        <v>0</v>
      </c>
      <c r="P105" s="2">
        <v>2.2912000000000002E-6</v>
      </c>
      <c r="Q105" s="2">
        <v>16454.3</v>
      </c>
      <c r="R105" s="3">
        <v>0</v>
      </c>
      <c r="S105" s="1">
        <f t="shared" si="13"/>
        <v>0</v>
      </c>
      <c r="U105" s="2">
        <v>2.2912000000000002E-6</v>
      </c>
      <c r="V105" s="2">
        <v>16454.3</v>
      </c>
      <c r="W105" s="16">
        <v>0</v>
      </c>
      <c r="X105" s="1">
        <f t="shared" si="14"/>
        <v>0</v>
      </c>
      <c r="Z105" s="2">
        <v>2.2912000000000002E-6</v>
      </c>
      <c r="AA105" s="2">
        <v>16454.3</v>
      </c>
      <c r="AB105" s="3">
        <v>0</v>
      </c>
      <c r="AC105" s="1">
        <f t="shared" si="15"/>
        <v>0</v>
      </c>
      <c r="AE105" s="2">
        <v>2.2912000000000002E-6</v>
      </c>
      <c r="AF105" s="2">
        <v>16454.3</v>
      </c>
      <c r="AG105" s="3">
        <v>0</v>
      </c>
      <c r="AH105" s="1">
        <f t="shared" si="16"/>
        <v>0</v>
      </c>
      <c r="AJ105" s="2">
        <v>2.2912000000000002E-6</v>
      </c>
      <c r="AK105" s="2">
        <v>16454.3</v>
      </c>
      <c r="AL105" s="3">
        <v>2.8371053112641499E-4</v>
      </c>
      <c r="AM105" s="1">
        <f t="shared" si="17"/>
        <v>4.6682581923133704</v>
      </c>
      <c r="AO105" s="2">
        <v>2.2912000000000002E-6</v>
      </c>
      <c r="AP105" s="2">
        <v>16454.3</v>
      </c>
      <c r="AQ105" s="2">
        <v>3.8539267343406202E-6</v>
      </c>
      <c r="AR105" s="1">
        <f t="shared" si="18"/>
        <v>6.3413666664860868E-2</v>
      </c>
      <c r="AT105" s="2">
        <v>2.2912000000000002E-6</v>
      </c>
      <c r="AU105" s="2">
        <v>16454.3</v>
      </c>
      <c r="AV105" s="3">
        <v>0</v>
      </c>
      <c r="AW105" s="1">
        <f t="shared" si="19"/>
        <v>0</v>
      </c>
    </row>
    <row r="106" spans="1:49" x14ac:dyDescent="0.3">
      <c r="A106" s="2">
        <v>2.5859000000000001E-6</v>
      </c>
      <c r="B106" s="2">
        <v>15527.6</v>
      </c>
      <c r="C106" s="3">
        <v>6.4987387569802602E-3</v>
      </c>
      <c r="D106" s="1">
        <f t="shared" si="10"/>
        <v>100.90981592288669</v>
      </c>
      <c r="F106" s="2">
        <v>2.5859000000000001E-6</v>
      </c>
      <c r="G106" s="2">
        <v>15527.6</v>
      </c>
      <c r="H106" s="3">
        <v>0</v>
      </c>
      <c r="I106" s="1">
        <f t="shared" si="11"/>
        <v>0</v>
      </c>
      <c r="K106" s="2">
        <v>2.5859000000000001E-6</v>
      </c>
      <c r="L106" s="2">
        <v>15527.6</v>
      </c>
      <c r="M106" s="3">
        <v>0</v>
      </c>
      <c r="N106" s="1">
        <f t="shared" si="12"/>
        <v>0</v>
      </c>
      <c r="P106" s="2">
        <v>2.5859000000000001E-6</v>
      </c>
      <c r="Q106" s="2">
        <v>15527.6</v>
      </c>
      <c r="R106" s="3">
        <v>0</v>
      </c>
      <c r="S106" s="1">
        <f t="shared" si="13"/>
        <v>0</v>
      </c>
      <c r="U106" s="2">
        <v>2.5859000000000001E-6</v>
      </c>
      <c r="V106" s="2">
        <v>15527.6</v>
      </c>
      <c r="W106" s="16">
        <v>0</v>
      </c>
      <c r="X106" s="1">
        <f t="shared" si="14"/>
        <v>0</v>
      </c>
      <c r="Z106" s="2">
        <v>2.5859000000000001E-6</v>
      </c>
      <c r="AA106" s="2">
        <v>15527.6</v>
      </c>
      <c r="AB106" s="3">
        <v>0</v>
      </c>
      <c r="AC106" s="1">
        <f t="shared" si="15"/>
        <v>0</v>
      </c>
      <c r="AE106" s="2">
        <v>2.5859000000000001E-6</v>
      </c>
      <c r="AF106" s="2">
        <v>15527.6</v>
      </c>
      <c r="AG106" s="3">
        <v>0</v>
      </c>
      <c r="AH106" s="1">
        <f t="shared" si="16"/>
        <v>0</v>
      </c>
      <c r="AJ106" s="2">
        <v>2.5859000000000001E-6</v>
      </c>
      <c r="AK106" s="2">
        <v>15527.6</v>
      </c>
      <c r="AL106" s="3">
        <v>2.6374200212378799E-4</v>
      </c>
      <c r="AM106" s="1">
        <f t="shared" si="17"/>
        <v>4.09528031217733</v>
      </c>
      <c r="AO106" s="2">
        <v>2.5859000000000001E-6</v>
      </c>
      <c r="AP106" s="2">
        <v>15527.6</v>
      </c>
      <c r="AQ106" s="2">
        <v>3.5959717772992402E-6</v>
      </c>
      <c r="AR106" s="1">
        <f t="shared" si="18"/>
        <v>5.5836811369191684E-2</v>
      </c>
      <c r="AT106" s="2">
        <v>2.5859000000000001E-6</v>
      </c>
      <c r="AU106" s="2">
        <v>15527.6</v>
      </c>
      <c r="AV106" s="3">
        <v>0</v>
      </c>
      <c r="AW106" s="1">
        <f t="shared" si="19"/>
        <v>0</v>
      </c>
    </row>
    <row r="107" spans="1:49" x14ac:dyDescent="0.3">
      <c r="A107" s="2">
        <v>2.9185000000000001E-6</v>
      </c>
      <c r="B107" s="2">
        <v>14728.3</v>
      </c>
      <c r="C107" s="3">
        <v>8.1872537819531292E-3</v>
      </c>
      <c r="D107" s="1">
        <f t="shared" si="10"/>
        <v>120.58432987674027</v>
      </c>
      <c r="F107" s="2">
        <v>2.9185000000000001E-6</v>
      </c>
      <c r="G107" s="2">
        <v>14728.3</v>
      </c>
      <c r="H107" s="3">
        <v>0</v>
      </c>
      <c r="I107" s="1">
        <f t="shared" si="11"/>
        <v>0</v>
      </c>
      <c r="K107" s="2">
        <v>2.9185000000000001E-6</v>
      </c>
      <c r="L107" s="2">
        <v>14728.3</v>
      </c>
      <c r="M107" s="3">
        <v>0</v>
      </c>
      <c r="N107" s="1">
        <f t="shared" si="12"/>
        <v>0</v>
      </c>
      <c r="P107" s="2">
        <v>2.9185000000000001E-6</v>
      </c>
      <c r="Q107" s="2">
        <v>14728.3</v>
      </c>
      <c r="R107" s="3">
        <v>0</v>
      </c>
      <c r="S107" s="1">
        <f t="shared" si="13"/>
        <v>0</v>
      </c>
      <c r="U107" s="2">
        <v>2.9185000000000001E-6</v>
      </c>
      <c r="V107" s="2">
        <v>14728.3</v>
      </c>
      <c r="W107" s="16">
        <v>0</v>
      </c>
      <c r="X107" s="1">
        <f t="shared" si="14"/>
        <v>0</v>
      </c>
      <c r="Z107" s="2">
        <v>2.9185000000000001E-6</v>
      </c>
      <c r="AA107" s="2">
        <v>14728.3</v>
      </c>
      <c r="AB107" s="3">
        <v>0</v>
      </c>
      <c r="AC107" s="1">
        <f t="shared" si="15"/>
        <v>0</v>
      </c>
      <c r="AE107" s="2">
        <v>2.9185000000000001E-6</v>
      </c>
      <c r="AF107" s="2">
        <v>14728.3</v>
      </c>
      <c r="AG107" s="3">
        <v>0</v>
      </c>
      <c r="AH107" s="1">
        <f t="shared" si="16"/>
        <v>0</v>
      </c>
      <c r="AJ107" s="2">
        <v>2.9185000000000001E-6</v>
      </c>
      <c r="AK107" s="2">
        <v>14728.3</v>
      </c>
      <c r="AL107" s="3">
        <v>2.4431061988600702E-4</v>
      </c>
      <c r="AM107" s="1">
        <f t="shared" si="17"/>
        <v>3.598280102867077</v>
      </c>
      <c r="AO107" s="2">
        <v>2.9185000000000001E-6</v>
      </c>
      <c r="AP107" s="2">
        <v>14728.3</v>
      </c>
      <c r="AQ107" s="2">
        <v>3.3444313470579299E-6</v>
      </c>
      <c r="AR107" s="1">
        <f t="shared" si="18"/>
        <v>4.9257788208873304E-2</v>
      </c>
      <c r="AT107" s="2">
        <v>2.9185000000000001E-6</v>
      </c>
      <c r="AU107" s="2">
        <v>14728.3</v>
      </c>
      <c r="AV107" s="3">
        <v>0</v>
      </c>
      <c r="AW107" s="1">
        <f t="shared" si="19"/>
        <v>0</v>
      </c>
    </row>
    <row r="108" spans="1:49" x14ac:dyDescent="0.3">
      <c r="A108" s="2">
        <v>3.2938999999999999E-6</v>
      </c>
      <c r="B108" s="2">
        <v>14435.1</v>
      </c>
      <c r="C108" s="3">
        <v>1.118228390521E-2</v>
      </c>
      <c r="D108" s="1">
        <f t="shared" si="10"/>
        <v>161.41738640009689</v>
      </c>
      <c r="F108" s="2">
        <v>3.2938999999999999E-6</v>
      </c>
      <c r="G108" s="2">
        <v>14435.1</v>
      </c>
      <c r="H108" s="3">
        <v>0</v>
      </c>
      <c r="I108" s="1">
        <f t="shared" si="11"/>
        <v>0</v>
      </c>
      <c r="K108" s="2">
        <v>3.2938999999999999E-6</v>
      </c>
      <c r="L108" s="2">
        <v>14435.1</v>
      </c>
      <c r="M108" s="3">
        <v>0</v>
      </c>
      <c r="N108" s="1">
        <f t="shared" si="12"/>
        <v>0</v>
      </c>
      <c r="P108" s="2">
        <v>3.2938999999999999E-6</v>
      </c>
      <c r="Q108" s="2">
        <v>14435.1</v>
      </c>
      <c r="R108" s="3">
        <v>0</v>
      </c>
      <c r="S108" s="1">
        <f t="shared" si="13"/>
        <v>0</v>
      </c>
      <c r="U108" s="2">
        <v>3.2938999999999999E-6</v>
      </c>
      <c r="V108" s="2">
        <v>14435.1</v>
      </c>
      <c r="W108" s="16">
        <v>0</v>
      </c>
      <c r="X108" s="1">
        <f t="shared" si="14"/>
        <v>0</v>
      </c>
      <c r="Z108" s="2">
        <v>3.2938999999999999E-6</v>
      </c>
      <c r="AA108" s="2">
        <v>14435.1</v>
      </c>
      <c r="AB108" s="3">
        <v>0</v>
      </c>
      <c r="AC108" s="1">
        <f t="shared" si="15"/>
        <v>0</v>
      </c>
      <c r="AE108" s="2">
        <v>3.2938999999999999E-6</v>
      </c>
      <c r="AF108" s="2">
        <v>14435.1</v>
      </c>
      <c r="AG108" s="3">
        <v>0</v>
      </c>
      <c r="AH108" s="1">
        <f t="shared" si="16"/>
        <v>0</v>
      </c>
      <c r="AJ108" s="2">
        <v>3.2938999999999999E-6</v>
      </c>
      <c r="AK108" s="2">
        <v>14435.1</v>
      </c>
      <c r="AL108" s="3">
        <v>2.32608563951496E-4</v>
      </c>
      <c r="AM108" s="1">
        <f t="shared" si="17"/>
        <v>3.3577278814962401</v>
      </c>
      <c r="AO108" s="2">
        <v>3.2938999999999999E-6</v>
      </c>
      <c r="AP108" s="2">
        <v>14435.1</v>
      </c>
      <c r="AQ108" s="2">
        <v>3.1853179988966001E-6</v>
      </c>
      <c r="AR108" s="1">
        <f t="shared" si="18"/>
        <v>4.5980383845872316E-2</v>
      </c>
      <c r="AT108" s="2">
        <v>3.2938999999999999E-6</v>
      </c>
      <c r="AU108" s="2">
        <v>14435.1</v>
      </c>
      <c r="AV108" s="3">
        <v>0</v>
      </c>
      <c r="AW108" s="1">
        <f t="shared" si="19"/>
        <v>0</v>
      </c>
    </row>
    <row r="109" spans="1:49" x14ac:dyDescent="0.3">
      <c r="A109" s="2">
        <v>3.7176000000000002E-6</v>
      </c>
      <c r="B109" s="2">
        <v>13866.4</v>
      </c>
      <c r="C109" s="3">
        <v>1.73555531642554E-2</v>
      </c>
      <c r="D109" s="1">
        <f t="shared" si="10"/>
        <v>240.65904239683107</v>
      </c>
      <c r="F109" s="2">
        <v>3.7176000000000002E-6</v>
      </c>
      <c r="G109" s="2">
        <v>13866.4</v>
      </c>
      <c r="H109" s="3">
        <v>0</v>
      </c>
      <c r="I109" s="1">
        <f t="shared" si="11"/>
        <v>0</v>
      </c>
      <c r="K109" s="2">
        <v>3.7176000000000002E-6</v>
      </c>
      <c r="L109" s="2">
        <v>13866.4</v>
      </c>
      <c r="M109" s="3">
        <v>0</v>
      </c>
      <c r="N109" s="1">
        <f t="shared" si="12"/>
        <v>0</v>
      </c>
      <c r="P109" s="2">
        <v>3.7176000000000002E-6</v>
      </c>
      <c r="Q109" s="2">
        <v>13866.4</v>
      </c>
      <c r="R109" s="3">
        <v>0</v>
      </c>
      <c r="S109" s="1">
        <f t="shared" si="13"/>
        <v>0</v>
      </c>
      <c r="U109" s="2">
        <v>3.7176000000000002E-6</v>
      </c>
      <c r="V109" s="2">
        <v>13866.4</v>
      </c>
      <c r="W109" s="16">
        <v>0</v>
      </c>
      <c r="X109" s="1">
        <f t="shared" si="14"/>
        <v>0</v>
      </c>
      <c r="Z109" s="2">
        <v>3.7176000000000002E-6</v>
      </c>
      <c r="AA109" s="2">
        <v>13866.4</v>
      </c>
      <c r="AB109" s="3">
        <v>0</v>
      </c>
      <c r="AC109" s="1">
        <f t="shared" si="15"/>
        <v>0</v>
      </c>
      <c r="AE109" s="2">
        <v>3.7176000000000002E-6</v>
      </c>
      <c r="AF109" s="2">
        <v>13866.4</v>
      </c>
      <c r="AG109" s="3">
        <v>0</v>
      </c>
      <c r="AH109" s="1">
        <f t="shared" si="16"/>
        <v>0</v>
      </c>
      <c r="AJ109" s="2">
        <v>3.7176000000000002E-6</v>
      </c>
      <c r="AK109" s="2">
        <v>13866.4</v>
      </c>
      <c r="AL109" s="3">
        <v>2.2235278548328E-4</v>
      </c>
      <c r="AM109" s="1">
        <f t="shared" si="17"/>
        <v>3.0832326646253536</v>
      </c>
      <c r="AO109" s="2">
        <v>3.7176000000000002E-6</v>
      </c>
      <c r="AP109" s="2">
        <v>13866.4</v>
      </c>
      <c r="AQ109" s="2">
        <v>3.0350636820179001E-6</v>
      </c>
      <c r="AR109" s="1">
        <f t="shared" si="18"/>
        <v>4.2085407040333006E-2</v>
      </c>
      <c r="AT109" s="2">
        <v>3.7176000000000002E-6</v>
      </c>
      <c r="AU109" s="2">
        <v>13866.4</v>
      </c>
      <c r="AV109" s="3">
        <v>0</v>
      </c>
      <c r="AW109" s="1">
        <f t="shared" si="19"/>
        <v>0</v>
      </c>
    </row>
    <row r="110" spans="1:49" x14ac:dyDescent="0.3">
      <c r="A110" s="2">
        <v>4.1957999999999997E-6</v>
      </c>
      <c r="B110" s="2">
        <v>13052.3</v>
      </c>
      <c r="C110" s="3">
        <v>3.8585218497339403E-2</v>
      </c>
      <c r="D110" s="1">
        <f t="shared" si="10"/>
        <v>503.62584739282306</v>
      </c>
      <c r="F110" s="2">
        <v>4.1957999999999997E-6</v>
      </c>
      <c r="G110" s="2">
        <v>13052.3</v>
      </c>
      <c r="H110" s="3">
        <v>0</v>
      </c>
      <c r="I110" s="1">
        <f t="shared" si="11"/>
        <v>0</v>
      </c>
      <c r="K110" s="2">
        <v>4.1957999999999997E-6</v>
      </c>
      <c r="L110" s="2">
        <v>13052.3</v>
      </c>
      <c r="M110" s="3">
        <v>0</v>
      </c>
      <c r="N110" s="1">
        <f t="shared" si="12"/>
        <v>0</v>
      </c>
      <c r="P110" s="2">
        <v>4.1957999999999997E-6</v>
      </c>
      <c r="Q110" s="2">
        <v>13052.3</v>
      </c>
      <c r="R110" s="3">
        <v>0</v>
      </c>
      <c r="S110" s="1">
        <f t="shared" si="13"/>
        <v>0</v>
      </c>
      <c r="U110" s="2">
        <v>4.1957999999999997E-6</v>
      </c>
      <c r="V110" s="2">
        <v>13052.3</v>
      </c>
      <c r="W110" s="16">
        <v>0</v>
      </c>
      <c r="X110" s="1">
        <f t="shared" si="14"/>
        <v>0</v>
      </c>
      <c r="Z110" s="2">
        <v>4.1957999999999997E-6</v>
      </c>
      <c r="AA110" s="2">
        <v>13052.3</v>
      </c>
      <c r="AB110" s="3">
        <v>0</v>
      </c>
      <c r="AC110" s="1">
        <f t="shared" si="15"/>
        <v>0</v>
      </c>
      <c r="AE110" s="2">
        <v>4.1957999999999997E-6</v>
      </c>
      <c r="AF110" s="2">
        <v>13052.3</v>
      </c>
      <c r="AG110" s="3">
        <v>0</v>
      </c>
      <c r="AH110" s="1">
        <f t="shared" si="16"/>
        <v>0</v>
      </c>
      <c r="AJ110" s="2">
        <v>4.1957999999999997E-6</v>
      </c>
      <c r="AK110" s="2">
        <v>13052.3</v>
      </c>
      <c r="AL110" s="3">
        <v>2.0710511981311501E-4</v>
      </c>
      <c r="AM110" s="1">
        <f t="shared" si="17"/>
        <v>2.7031981553367208</v>
      </c>
      <c r="AO110" s="2">
        <v>4.1957999999999997E-6</v>
      </c>
      <c r="AP110" s="2">
        <v>13052.3</v>
      </c>
      <c r="AQ110" s="2">
        <v>2.8933743206946099E-6</v>
      </c>
      <c r="AR110" s="1">
        <f t="shared" si="18"/>
        <v>3.7765189646002256E-2</v>
      </c>
      <c r="AT110" s="2">
        <v>4.1957999999999997E-6</v>
      </c>
      <c r="AU110" s="2">
        <v>13052.3</v>
      </c>
      <c r="AV110" s="3">
        <v>0</v>
      </c>
      <c r="AW110" s="1">
        <f t="shared" si="19"/>
        <v>0</v>
      </c>
    </row>
    <row r="111" spans="1:49" x14ac:dyDescent="0.3">
      <c r="A111" s="2">
        <v>4.7353999999999996E-6</v>
      </c>
      <c r="B111" s="2">
        <v>12414.6</v>
      </c>
      <c r="C111" s="3">
        <v>0.33686742795325098</v>
      </c>
      <c r="D111" s="1">
        <f t="shared" si="10"/>
        <v>4182.0743710684301</v>
      </c>
      <c r="F111" s="2">
        <v>4.7353999999999996E-6</v>
      </c>
      <c r="G111" s="2">
        <v>12414.6</v>
      </c>
      <c r="H111" s="3">
        <v>0</v>
      </c>
      <c r="I111" s="1">
        <f t="shared" si="11"/>
        <v>0</v>
      </c>
      <c r="K111" s="2">
        <v>4.7353999999999996E-6</v>
      </c>
      <c r="L111" s="2">
        <v>12414.6</v>
      </c>
      <c r="M111" s="3">
        <v>0</v>
      </c>
      <c r="N111" s="1">
        <f t="shared" si="12"/>
        <v>0</v>
      </c>
      <c r="P111" s="2">
        <v>4.7353999999999996E-6</v>
      </c>
      <c r="Q111" s="2">
        <v>12414.6</v>
      </c>
      <c r="R111" s="3">
        <v>0</v>
      </c>
      <c r="S111" s="1">
        <f t="shared" si="13"/>
        <v>0</v>
      </c>
      <c r="U111" s="2">
        <v>4.7353999999999996E-6</v>
      </c>
      <c r="V111" s="2">
        <v>12414.6</v>
      </c>
      <c r="W111" s="16">
        <v>0</v>
      </c>
      <c r="X111" s="1">
        <f t="shared" si="14"/>
        <v>0</v>
      </c>
      <c r="Z111" s="2">
        <v>4.7353999999999996E-6</v>
      </c>
      <c r="AA111" s="2">
        <v>12414.6</v>
      </c>
      <c r="AB111" s="3">
        <v>0</v>
      </c>
      <c r="AC111" s="1">
        <f t="shared" si="15"/>
        <v>0</v>
      </c>
      <c r="AE111" s="2">
        <v>4.7353999999999996E-6</v>
      </c>
      <c r="AF111" s="2">
        <v>12414.6</v>
      </c>
      <c r="AG111" s="3">
        <v>0</v>
      </c>
      <c r="AH111" s="1">
        <f t="shared" si="16"/>
        <v>0</v>
      </c>
      <c r="AJ111" s="2">
        <v>4.7353999999999996E-6</v>
      </c>
      <c r="AK111" s="2">
        <v>12414.6</v>
      </c>
      <c r="AL111" s="3">
        <v>1.9275825318837501E-4</v>
      </c>
      <c r="AM111" s="1">
        <f t="shared" si="17"/>
        <v>2.3930166100324004</v>
      </c>
      <c r="AO111" s="2">
        <v>4.7353999999999996E-6</v>
      </c>
      <c r="AP111" s="2">
        <v>12414.6</v>
      </c>
      <c r="AQ111" s="2">
        <v>2.7597077128046602E-6</v>
      </c>
      <c r="AR111" s="1">
        <f t="shared" si="18"/>
        <v>3.4260667371384737E-2</v>
      </c>
      <c r="AT111" s="2">
        <v>4.7353999999999996E-6</v>
      </c>
      <c r="AU111" s="2">
        <v>12414.6</v>
      </c>
      <c r="AV111" s="3">
        <v>0</v>
      </c>
      <c r="AW111" s="1">
        <f t="shared" si="19"/>
        <v>0</v>
      </c>
    </row>
    <row r="112" spans="1:49" x14ac:dyDescent="0.3">
      <c r="A112" s="2">
        <v>5.3445000000000002E-6</v>
      </c>
      <c r="B112" s="2">
        <v>11703.1</v>
      </c>
      <c r="C112" s="3">
        <v>1.85617493075802</v>
      </c>
      <c r="D112" s="1">
        <f t="shared" si="10"/>
        <v>21723.000832154183</v>
      </c>
      <c r="F112" s="2">
        <v>5.3445000000000002E-6</v>
      </c>
      <c r="G112" s="2">
        <v>11703.1</v>
      </c>
      <c r="H112" s="3">
        <v>0</v>
      </c>
      <c r="I112" s="1">
        <f t="shared" si="11"/>
        <v>0</v>
      </c>
      <c r="K112" s="2">
        <v>5.3445000000000002E-6</v>
      </c>
      <c r="L112" s="2">
        <v>11703.1</v>
      </c>
      <c r="M112" s="3">
        <v>0</v>
      </c>
      <c r="N112" s="1">
        <f t="shared" si="12"/>
        <v>0</v>
      </c>
      <c r="P112" s="2">
        <v>5.3445000000000002E-6</v>
      </c>
      <c r="Q112" s="2">
        <v>11703.1</v>
      </c>
      <c r="R112" s="3">
        <v>0</v>
      </c>
      <c r="S112" s="1">
        <f t="shared" si="13"/>
        <v>0</v>
      </c>
      <c r="U112" s="2">
        <v>5.3445000000000002E-6</v>
      </c>
      <c r="V112" s="2">
        <v>11703.1</v>
      </c>
      <c r="W112" s="16">
        <v>0</v>
      </c>
      <c r="X112" s="1">
        <f t="shared" si="14"/>
        <v>0</v>
      </c>
      <c r="Z112" s="2">
        <v>5.3445000000000002E-6</v>
      </c>
      <c r="AA112" s="2">
        <v>11703.1</v>
      </c>
      <c r="AB112" s="3">
        <v>0</v>
      </c>
      <c r="AC112" s="1">
        <f t="shared" si="15"/>
        <v>0</v>
      </c>
      <c r="AE112" s="2">
        <v>5.3445000000000002E-6</v>
      </c>
      <c r="AF112" s="2">
        <v>11703.1</v>
      </c>
      <c r="AG112" s="3">
        <v>0</v>
      </c>
      <c r="AH112" s="1">
        <f t="shared" si="16"/>
        <v>0</v>
      </c>
      <c r="AJ112" s="2">
        <v>5.3445000000000002E-6</v>
      </c>
      <c r="AK112" s="2">
        <v>11703.1</v>
      </c>
      <c r="AL112" s="3">
        <v>1.83564515814522E-4</v>
      </c>
      <c r="AM112" s="1">
        <f t="shared" si="17"/>
        <v>2.1482738850289325</v>
      </c>
      <c r="AO112" s="2">
        <v>5.3445000000000002E-6</v>
      </c>
      <c r="AP112" s="2">
        <v>11703.1</v>
      </c>
      <c r="AQ112" s="2">
        <v>2.5747019158478702E-6</v>
      </c>
      <c r="AR112" s="1">
        <f t="shared" si="18"/>
        <v>3.0131993991359209E-2</v>
      </c>
      <c r="AT112" s="2">
        <v>5.3445000000000002E-6</v>
      </c>
      <c r="AU112" s="2">
        <v>11703.1</v>
      </c>
      <c r="AV112" s="3">
        <v>0</v>
      </c>
      <c r="AW112" s="1">
        <f t="shared" si="19"/>
        <v>0</v>
      </c>
    </row>
    <row r="113" spans="1:49" x14ac:dyDescent="0.3">
      <c r="A113" s="2">
        <v>6.032E-6</v>
      </c>
      <c r="B113" s="2">
        <v>12092.6</v>
      </c>
      <c r="C113" s="3">
        <v>5.9295965714757697E-2</v>
      </c>
      <c r="D113" s="1">
        <f t="shared" si="10"/>
        <v>717.04239500227891</v>
      </c>
      <c r="F113" s="2">
        <v>6.032E-6</v>
      </c>
      <c r="G113" s="2">
        <v>12092.6</v>
      </c>
      <c r="H113" s="3">
        <v>0</v>
      </c>
      <c r="I113" s="1">
        <f t="shared" si="11"/>
        <v>0</v>
      </c>
      <c r="K113" s="2">
        <v>6.032E-6</v>
      </c>
      <c r="L113" s="2">
        <v>12092.6</v>
      </c>
      <c r="M113" s="3">
        <v>0</v>
      </c>
      <c r="N113" s="1">
        <f t="shared" si="12"/>
        <v>0</v>
      </c>
      <c r="P113" s="2">
        <v>6.032E-6</v>
      </c>
      <c r="Q113" s="2">
        <v>12092.6</v>
      </c>
      <c r="R113" s="3">
        <v>0</v>
      </c>
      <c r="S113" s="1">
        <f t="shared" si="13"/>
        <v>0</v>
      </c>
      <c r="U113" s="2">
        <v>6.032E-6</v>
      </c>
      <c r="V113" s="2">
        <v>12092.6</v>
      </c>
      <c r="W113" s="16">
        <v>0</v>
      </c>
      <c r="X113" s="1">
        <f t="shared" si="14"/>
        <v>0</v>
      </c>
      <c r="Z113" s="2">
        <v>6.032E-6</v>
      </c>
      <c r="AA113" s="2">
        <v>12092.6</v>
      </c>
      <c r="AB113" s="3">
        <v>0</v>
      </c>
      <c r="AC113" s="1">
        <f t="shared" si="15"/>
        <v>0</v>
      </c>
      <c r="AE113" s="2">
        <v>6.032E-6</v>
      </c>
      <c r="AF113" s="2">
        <v>12092.6</v>
      </c>
      <c r="AG113" s="3">
        <v>0</v>
      </c>
      <c r="AH113" s="1">
        <f t="shared" si="16"/>
        <v>0</v>
      </c>
      <c r="AJ113" s="2">
        <v>6.032E-6</v>
      </c>
      <c r="AK113" s="2">
        <v>12092.6</v>
      </c>
      <c r="AL113" s="3">
        <v>1.75546032037475E-4</v>
      </c>
      <c r="AM113" s="1">
        <f t="shared" si="17"/>
        <v>2.1228079470163701</v>
      </c>
      <c r="AO113" s="2">
        <v>6.032E-6</v>
      </c>
      <c r="AP113" s="2">
        <v>12092.6</v>
      </c>
      <c r="AQ113" s="2">
        <v>2.4044458545846801E-6</v>
      </c>
      <c r="AR113" s="1">
        <f t="shared" si="18"/>
        <v>2.9076001941150703E-2</v>
      </c>
      <c r="AT113" s="2">
        <v>6.032E-6</v>
      </c>
      <c r="AU113" s="2">
        <v>12092.6</v>
      </c>
      <c r="AV113" s="3">
        <v>0</v>
      </c>
      <c r="AW113" s="1">
        <f t="shared" si="19"/>
        <v>0</v>
      </c>
    </row>
    <row r="114" spans="1:49" x14ac:dyDescent="0.3">
      <c r="A114" s="2">
        <v>6.8078000000000003E-6</v>
      </c>
      <c r="B114" s="2">
        <v>11083.8</v>
      </c>
      <c r="C114" s="3">
        <v>1.1365565223549499E-2</v>
      </c>
      <c r="D114" s="1">
        <f t="shared" si="10"/>
        <v>125.97365182477793</v>
      </c>
      <c r="F114" s="2">
        <v>6.8078000000000003E-6</v>
      </c>
      <c r="G114" s="2">
        <v>11083.8</v>
      </c>
      <c r="H114" s="3">
        <v>0</v>
      </c>
      <c r="I114" s="1">
        <f t="shared" si="11"/>
        <v>0</v>
      </c>
      <c r="K114" s="2">
        <v>6.8078000000000003E-6</v>
      </c>
      <c r="L114" s="2">
        <v>11083.8</v>
      </c>
      <c r="M114" s="3">
        <v>0</v>
      </c>
      <c r="N114" s="1">
        <f t="shared" si="12"/>
        <v>0</v>
      </c>
      <c r="P114" s="2">
        <v>6.8078000000000003E-6</v>
      </c>
      <c r="Q114" s="2">
        <v>11083.8</v>
      </c>
      <c r="R114" s="3">
        <v>0</v>
      </c>
      <c r="S114" s="1">
        <f t="shared" si="13"/>
        <v>0</v>
      </c>
      <c r="U114" s="2">
        <v>6.8078000000000003E-6</v>
      </c>
      <c r="V114" s="2">
        <v>11083.8</v>
      </c>
      <c r="W114" s="16">
        <v>0</v>
      </c>
      <c r="X114" s="1">
        <f t="shared" si="14"/>
        <v>0</v>
      </c>
      <c r="Z114" s="2">
        <v>6.8078000000000003E-6</v>
      </c>
      <c r="AA114" s="2">
        <v>11083.8</v>
      </c>
      <c r="AB114" s="3">
        <v>0</v>
      </c>
      <c r="AC114" s="1">
        <f t="shared" si="15"/>
        <v>0</v>
      </c>
      <c r="AE114" s="2">
        <v>6.8078000000000003E-6</v>
      </c>
      <c r="AF114" s="2">
        <v>11083.8</v>
      </c>
      <c r="AG114" s="3">
        <v>0</v>
      </c>
      <c r="AH114" s="1">
        <f t="shared" si="16"/>
        <v>0</v>
      </c>
      <c r="AJ114" s="2">
        <v>6.8078000000000003E-6</v>
      </c>
      <c r="AK114" s="2">
        <v>11083.8</v>
      </c>
      <c r="AL114" s="3">
        <v>1.6398928998597199E-4</v>
      </c>
      <c r="AM114" s="1">
        <f t="shared" si="17"/>
        <v>1.8176244923465164</v>
      </c>
      <c r="AO114" s="2">
        <v>6.8078000000000003E-6</v>
      </c>
      <c r="AP114" s="2">
        <v>11083.8</v>
      </c>
      <c r="AQ114" s="2">
        <v>2.3001960092836398E-6</v>
      </c>
      <c r="AR114" s="1">
        <f t="shared" si="18"/>
        <v>2.5494912527698005E-2</v>
      </c>
      <c r="AT114" s="2">
        <v>6.8078000000000003E-6</v>
      </c>
      <c r="AU114" s="2">
        <v>11083.8</v>
      </c>
      <c r="AV114" s="3">
        <v>0</v>
      </c>
      <c r="AW114" s="1">
        <f t="shared" si="19"/>
        <v>0</v>
      </c>
    </row>
    <row r="115" spans="1:49" x14ac:dyDescent="0.3">
      <c r="A115" s="2">
        <v>7.6835000000000002E-6</v>
      </c>
      <c r="B115" s="2">
        <v>10345</v>
      </c>
      <c r="C115" s="3">
        <v>4.2890474407259703E-3</v>
      </c>
      <c r="D115" s="1">
        <f t="shared" si="10"/>
        <v>44.370195774310162</v>
      </c>
      <c r="F115" s="2">
        <v>7.6835000000000002E-6</v>
      </c>
      <c r="G115" s="2">
        <v>10345</v>
      </c>
      <c r="H115" s="3">
        <v>0</v>
      </c>
      <c r="I115" s="1">
        <f t="shared" si="11"/>
        <v>0</v>
      </c>
      <c r="K115" s="2">
        <v>7.6835000000000002E-6</v>
      </c>
      <c r="L115" s="2">
        <v>10345</v>
      </c>
      <c r="M115" s="3">
        <v>0</v>
      </c>
      <c r="N115" s="1">
        <f t="shared" si="12"/>
        <v>0</v>
      </c>
      <c r="P115" s="2">
        <v>7.6835000000000002E-6</v>
      </c>
      <c r="Q115" s="2">
        <v>10345</v>
      </c>
      <c r="R115" s="3">
        <v>0</v>
      </c>
      <c r="S115" s="1">
        <f t="shared" si="13"/>
        <v>0</v>
      </c>
      <c r="U115" s="2">
        <v>7.6835000000000002E-6</v>
      </c>
      <c r="V115" s="2">
        <v>10345</v>
      </c>
      <c r="W115" s="16">
        <v>0</v>
      </c>
      <c r="X115" s="1">
        <f t="shared" si="14"/>
        <v>0</v>
      </c>
      <c r="Z115" s="2">
        <v>7.6835000000000002E-6</v>
      </c>
      <c r="AA115" s="2">
        <v>10345</v>
      </c>
      <c r="AB115" s="3">
        <v>0</v>
      </c>
      <c r="AC115" s="1">
        <f t="shared" si="15"/>
        <v>0</v>
      </c>
      <c r="AE115" s="2">
        <v>7.6835000000000002E-6</v>
      </c>
      <c r="AF115" s="2">
        <v>10345</v>
      </c>
      <c r="AG115" s="3">
        <v>0</v>
      </c>
      <c r="AH115" s="1">
        <f t="shared" si="16"/>
        <v>0</v>
      </c>
      <c r="AJ115" s="2">
        <v>7.6835000000000002E-6</v>
      </c>
      <c r="AK115" s="2">
        <v>10345</v>
      </c>
      <c r="AL115" s="3">
        <v>1.5161065457256501E-4</v>
      </c>
      <c r="AM115" s="1">
        <f t="shared" si="17"/>
        <v>1.568412221553185</v>
      </c>
      <c r="AO115" s="2">
        <v>7.6835000000000002E-6</v>
      </c>
      <c r="AP115" s="2">
        <v>10345</v>
      </c>
      <c r="AQ115" s="2">
        <v>2.2026088171775301E-6</v>
      </c>
      <c r="AR115" s="1">
        <f t="shared" si="18"/>
        <v>2.278598821370155E-2</v>
      </c>
      <c r="AT115" s="2">
        <v>7.6835000000000002E-6</v>
      </c>
      <c r="AU115" s="2">
        <v>10345</v>
      </c>
      <c r="AV115" s="3">
        <v>0</v>
      </c>
      <c r="AW115" s="1">
        <f t="shared" si="19"/>
        <v>0</v>
      </c>
    </row>
    <row r="116" spans="1:49" x14ac:dyDescent="0.3">
      <c r="A116" s="2">
        <v>8.6718000000000006E-6</v>
      </c>
      <c r="B116" s="2">
        <v>9845.4500000000007</v>
      </c>
      <c r="C116" s="3">
        <v>2.1093085472043299E-3</v>
      </c>
      <c r="D116" s="1">
        <f t="shared" si="10"/>
        <v>20.767091836072872</v>
      </c>
      <c r="F116" s="2">
        <v>8.6718000000000006E-6</v>
      </c>
      <c r="G116" s="2">
        <v>9845.4500000000007</v>
      </c>
      <c r="H116" s="3">
        <v>0</v>
      </c>
      <c r="I116" s="1">
        <f t="shared" si="11"/>
        <v>0</v>
      </c>
      <c r="K116" s="2">
        <v>8.6718000000000006E-6</v>
      </c>
      <c r="L116" s="2">
        <v>9845.4500000000007</v>
      </c>
      <c r="M116" s="3">
        <v>0</v>
      </c>
      <c r="N116" s="1">
        <f t="shared" si="12"/>
        <v>0</v>
      </c>
      <c r="P116" s="2">
        <v>8.6718000000000006E-6</v>
      </c>
      <c r="Q116" s="2">
        <v>9845.4500000000007</v>
      </c>
      <c r="R116" s="3">
        <v>0</v>
      </c>
      <c r="S116" s="1">
        <f t="shared" si="13"/>
        <v>0</v>
      </c>
      <c r="U116" s="2">
        <v>8.6718000000000006E-6</v>
      </c>
      <c r="V116" s="2">
        <v>9845.4500000000007</v>
      </c>
      <c r="W116" s="16">
        <v>0</v>
      </c>
      <c r="X116" s="1">
        <f t="shared" si="14"/>
        <v>0</v>
      </c>
      <c r="Z116" s="2">
        <v>8.6718000000000006E-6</v>
      </c>
      <c r="AA116" s="2">
        <v>9845.4500000000007</v>
      </c>
      <c r="AB116" s="3">
        <v>0</v>
      </c>
      <c r="AC116" s="1">
        <f t="shared" si="15"/>
        <v>0</v>
      </c>
      <c r="AE116" s="2">
        <v>8.6718000000000006E-6</v>
      </c>
      <c r="AF116" s="2">
        <v>9845.4500000000007</v>
      </c>
      <c r="AG116" s="3">
        <v>0</v>
      </c>
      <c r="AH116" s="1">
        <f t="shared" si="16"/>
        <v>0</v>
      </c>
      <c r="AJ116" s="2">
        <v>8.6718000000000006E-6</v>
      </c>
      <c r="AK116" s="2">
        <v>9845.4500000000007</v>
      </c>
      <c r="AL116" s="3">
        <v>1.4437044548765E-4</v>
      </c>
      <c r="AM116" s="1">
        <f t="shared" si="17"/>
        <v>1.4213920025263838</v>
      </c>
      <c r="AO116" s="2">
        <v>8.6718000000000006E-6</v>
      </c>
      <c r="AP116" s="2">
        <v>9845.4500000000007</v>
      </c>
      <c r="AQ116" s="2">
        <v>2.1113993924056002E-6</v>
      </c>
      <c r="AR116" s="1">
        <f t="shared" si="18"/>
        <v>2.0787677147959718E-2</v>
      </c>
      <c r="AT116" s="2">
        <v>8.6718000000000006E-6</v>
      </c>
      <c r="AU116" s="2">
        <v>9845.4500000000007</v>
      </c>
      <c r="AV116" s="3">
        <v>0</v>
      </c>
      <c r="AW116" s="1">
        <f t="shared" si="19"/>
        <v>0</v>
      </c>
    </row>
    <row r="117" spans="1:49" x14ac:dyDescent="0.3">
      <c r="A117" s="3">
        <v>9.7872000000000001E-6</v>
      </c>
      <c r="B117" s="2">
        <v>9136.8799999999992</v>
      </c>
      <c r="C117" s="3">
        <v>1.13921952142684E-3</v>
      </c>
      <c r="D117" s="15">
        <f t="shared" si="10"/>
        <v>10.408912060934465</v>
      </c>
      <c r="E117" s="14"/>
      <c r="F117" s="15">
        <v>9.7872000000000001E-6</v>
      </c>
      <c r="G117" s="15">
        <v>9136.8799999999992</v>
      </c>
      <c r="H117" s="3">
        <v>0</v>
      </c>
      <c r="I117" s="15">
        <f t="shared" si="11"/>
        <v>0</v>
      </c>
      <c r="J117" s="14"/>
      <c r="K117" s="15">
        <v>9.7872000000000001E-6</v>
      </c>
      <c r="L117" s="15">
        <v>9136.8799999999992</v>
      </c>
      <c r="M117" s="3">
        <v>0</v>
      </c>
      <c r="N117" s="15">
        <f t="shared" si="12"/>
        <v>0</v>
      </c>
      <c r="O117" s="14"/>
      <c r="P117" s="15">
        <v>9.7872000000000001E-6</v>
      </c>
      <c r="Q117" s="15">
        <v>9136.8799999999992</v>
      </c>
      <c r="R117" s="3">
        <v>0</v>
      </c>
      <c r="S117" s="15">
        <f t="shared" si="13"/>
        <v>0</v>
      </c>
      <c r="T117" s="14"/>
      <c r="U117" s="15">
        <v>9.7872000000000001E-6</v>
      </c>
      <c r="V117" s="15">
        <v>9136.8799999999992</v>
      </c>
      <c r="W117" s="16">
        <v>0</v>
      </c>
      <c r="X117" s="15">
        <f t="shared" si="14"/>
        <v>0</v>
      </c>
      <c r="Y117" s="14"/>
      <c r="Z117" s="15">
        <v>9.7872000000000001E-6</v>
      </c>
      <c r="AA117" s="15">
        <v>9136.8799999999992</v>
      </c>
      <c r="AB117" s="3">
        <v>0</v>
      </c>
      <c r="AC117" s="15">
        <f t="shared" si="15"/>
        <v>0</v>
      </c>
      <c r="AD117" s="14"/>
      <c r="AE117" s="15">
        <v>9.7872000000000001E-6</v>
      </c>
      <c r="AF117" s="15">
        <v>9136.8799999999992</v>
      </c>
      <c r="AG117" s="3">
        <v>0</v>
      </c>
      <c r="AH117" s="15">
        <f t="shared" si="16"/>
        <v>0</v>
      </c>
      <c r="AI117" s="14"/>
      <c r="AJ117" s="15">
        <v>9.7872000000000001E-6</v>
      </c>
      <c r="AK117" s="15">
        <v>9136.8799999999992</v>
      </c>
      <c r="AL117" s="3">
        <v>1.3655976301379201E-4</v>
      </c>
      <c r="AM117" s="15">
        <f t="shared" si="17"/>
        <v>1.2477301674854557</v>
      </c>
      <c r="AN117" s="14"/>
      <c r="AO117" s="15">
        <v>9.7872000000000001E-6</v>
      </c>
      <c r="AP117" s="15">
        <v>9136.8799999999992</v>
      </c>
      <c r="AQ117" s="2">
        <v>2.0267239626979398E-6</v>
      </c>
      <c r="AR117" s="15">
        <f t="shared" si="18"/>
        <v>1.851793364029555E-2</v>
      </c>
      <c r="AS117" s="14"/>
      <c r="AT117" s="15">
        <v>9.7872000000000001E-6</v>
      </c>
      <c r="AU117" s="15">
        <v>9136.8799999999992</v>
      </c>
      <c r="AV117" s="3">
        <v>0</v>
      </c>
      <c r="AW117" s="15">
        <f t="shared" si="19"/>
        <v>0</v>
      </c>
    </row>
    <row r="118" spans="1:49" x14ac:dyDescent="0.3">
      <c r="A118" s="1">
        <v>1.1046000000000001E-5</v>
      </c>
      <c r="B118" s="1">
        <v>8096.59</v>
      </c>
      <c r="C118" s="3">
        <v>6.8733474012234205E-4</v>
      </c>
      <c r="D118" s="1">
        <f t="shared" si="10"/>
        <v>5.5650675835271537</v>
      </c>
      <c r="F118" s="1">
        <v>1.1046000000000001E-5</v>
      </c>
      <c r="G118" s="1">
        <v>8096.59</v>
      </c>
      <c r="H118" s="3">
        <v>0</v>
      </c>
      <c r="I118" s="1">
        <f t="shared" si="11"/>
        <v>0</v>
      </c>
      <c r="K118" s="1">
        <v>1.1046000000000001E-5</v>
      </c>
      <c r="L118" s="1">
        <v>8096.59</v>
      </c>
      <c r="M118" s="3">
        <v>0</v>
      </c>
      <c r="N118" s="1">
        <f t="shared" si="12"/>
        <v>0</v>
      </c>
      <c r="P118" s="1">
        <v>1.1046000000000001E-5</v>
      </c>
      <c r="Q118" s="1">
        <v>8096.59</v>
      </c>
      <c r="R118" s="3">
        <v>0</v>
      </c>
      <c r="S118" s="1">
        <f t="shared" si="13"/>
        <v>0</v>
      </c>
      <c r="U118" s="1">
        <v>1.1046000000000001E-5</v>
      </c>
      <c r="V118" s="1">
        <v>8096.59</v>
      </c>
      <c r="W118" s="16">
        <v>0</v>
      </c>
      <c r="X118" s="1">
        <f t="shared" si="14"/>
        <v>0</v>
      </c>
      <c r="Z118" s="1">
        <v>1.1046000000000001E-5</v>
      </c>
      <c r="AA118" s="1">
        <v>8096.59</v>
      </c>
      <c r="AB118" s="3">
        <v>0</v>
      </c>
      <c r="AC118" s="1">
        <f t="shared" si="15"/>
        <v>0</v>
      </c>
      <c r="AE118" s="1">
        <v>1.1046000000000001E-5</v>
      </c>
      <c r="AF118" s="1">
        <v>8096.59</v>
      </c>
      <c r="AG118" s="3">
        <v>0</v>
      </c>
      <c r="AH118" s="1">
        <f t="shared" si="16"/>
        <v>0</v>
      </c>
      <c r="AJ118" s="1">
        <v>1.1046000000000001E-5</v>
      </c>
      <c r="AK118" s="1">
        <v>8096.59</v>
      </c>
      <c r="AL118" s="3">
        <v>1.3010959095892299E-4</v>
      </c>
      <c r="AM118" s="1">
        <f t="shared" si="17"/>
        <v>1.0534440130621063</v>
      </c>
      <c r="AO118" s="1">
        <v>1.1046000000000001E-5</v>
      </c>
      <c r="AP118" s="1">
        <v>8096.59</v>
      </c>
      <c r="AQ118" s="2">
        <v>1.9482149333955099E-6</v>
      </c>
      <c r="AR118" s="1">
        <f t="shared" si="18"/>
        <v>1.577389754758075E-2</v>
      </c>
      <c r="AT118" s="1">
        <v>1.1046000000000001E-5</v>
      </c>
      <c r="AU118" s="1">
        <v>8096.59</v>
      </c>
      <c r="AV118" s="3">
        <v>0</v>
      </c>
      <c r="AW118" s="1">
        <f t="shared" si="19"/>
        <v>0</v>
      </c>
    </row>
    <row r="119" spans="1:49" x14ac:dyDescent="0.3">
      <c r="A119" s="1">
        <v>1.2466999999999999E-5</v>
      </c>
      <c r="B119" s="1">
        <v>7785.17</v>
      </c>
      <c r="C119" s="3">
        <v>4.48766394691784E-4</v>
      </c>
      <c r="D119" s="1">
        <f t="shared" si="10"/>
        <v>3.4937226729626358</v>
      </c>
      <c r="F119" s="1">
        <v>1.2466999999999999E-5</v>
      </c>
      <c r="G119" s="1">
        <v>7785.17</v>
      </c>
      <c r="H119" s="3">
        <v>0</v>
      </c>
      <c r="I119" s="1">
        <f t="shared" si="11"/>
        <v>0</v>
      </c>
      <c r="K119" s="1">
        <v>1.2466999999999999E-5</v>
      </c>
      <c r="L119" s="1">
        <v>7785.17</v>
      </c>
      <c r="M119" s="3">
        <v>0</v>
      </c>
      <c r="N119" s="1">
        <f t="shared" si="12"/>
        <v>0</v>
      </c>
      <c r="P119" s="1">
        <v>1.2466999999999999E-5</v>
      </c>
      <c r="Q119" s="1">
        <v>7785.17</v>
      </c>
      <c r="R119" s="3">
        <v>0</v>
      </c>
      <c r="S119" s="1">
        <f t="shared" si="13"/>
        <v>0</v>
      </c>
      <c r="U119" s="1">
        <v>1.2466999999999999E-5</v>
      </c>
      <c r="V119" s="1">
        <v>7785.17</v>
      </c>
      <c r="W119" s="16">
        <v>0</v>
      </c>
      <c r="X119" s="1">
        <f t="shared" si="14"/>
        <v>0</v>
      </c>
      <c r="Z119" s="1">
        <v>1.2466999999999999E-5</v>
      </c>
      <c r="AA119" s="1">
        <v>7785.17</v>
      </c>
      <c r="AB119" s="3">
        <v>0</v>
      </c>
      <c r="AC119" s="1">
        <f t="shared" si="15"/>
        <v>0</v>
      </c>
      <c r="AE119" s="1">
        <v>1.2466999999999999E-5</v>
      </c>
      <c r="AF119" s="1">
        <v>7785.17</v>
      </c>
      <c r="AG119" s="3">
        <v>0</v>
      </c>
      <c r="AH119" s="1">
        <f t="shared" si="16"/>
        <v>0</v>
      </c>
      <c r="AJ119" s="1">
        <v>1.2466999999999999E-5</v>
      </c>
      <c r="AK119" s="1">
        <v>7785.17</v>
      </c>
      <c r="AL119" s="3">
        <v>1.21216038250643E-4</v>
      </c>
      <c r="AM119" s="1">
        <f t="shared" si="17"/>
        <v>0.94368746450775831</v>
      </c>
      <c r="AO119" s="1">
        <v>1.2466999999999999E-5</v>
      </c>
      <c r="AP119" s="1">
        <v>7785.17</v>
      </c>
      <c r="AQ119" s="2">
        <v>1.8380468140840801E-6</v>
      </c>
      <c r="AR119" s="1">
        <f t="shared" si="18"/>
        <v>1.4309506915602958E-2</v>
      </c>
      <c r="AT119" s="1">
        <v>1.2466999999999999E-5</v>
      </c>
      <c r="AU119" s="1">
        <v>7785.17</v>
      </c>
      <c r="AV119" s="3">
        <v>0</v>
      </c>
      <c r="AW119" s="1">
        <f t="shared" si="19"/>
        <v>0</v>
      </c>
    </row>
    <row r="120" spans="1:49" x14ac:dyDescent="0.3">
      <c r="A120" s="1">
        <v>1.4070000000000001E-5</v>
      </c>
      <c r="B120" s="1">
        <v>7149.72</v>
      </c>
      <c r="C120" s="3">
        <v>2.9650436730932299E-4</v>
      </c>
      <c r="D120" s="1">
        <f t="shared" si="10"/>
        <v>2.119923205038813</v>
      </c>
      <c r="F120" s="1">
        <v>1.4070000000000001E-5</v>
      </c>
      <c r="G120" s="1">
        <v>7149.72</v>
      </c>
      <c r="H120" s="3">
        <v>0</v>
      </c>
      <c r="I120" s="1">
        <f t="shared" si="11"/>
        <v>0</v>
      </c>
      <c r="K120" s="1">
        <v>1.4070000000000001E-5</v>
      </c>
      <c r="L120" s="1">
        <v>7149.72</v>
      </c>
      <c r="M120" s="3">
        <v>0</v>
      </c>
      <c r="N120" s="1">
        <f t="shared" si="12"/>
        <v>0</v>
      </c>
      <c r="P120" s="1">
        <v>1.4070000000000001E-5</v>
      </c>
      <c r="Q120" s="1">
        <v>7149.72</v>
      </c>
      <c r="R120" s="3">
        <v>0</v>
      </c>
      <c r="S120" s="1">
        <f t="shared" si="13"/>
        <v>0</v>
      </c>
      <c r="U120" s="1">
        <v>1.4070000000000001E-5</v>
      </c>
      <c r="V120" s="1">
        <v>7149.72</v>
      </c>
      <c r="W120" s="16">
        <v>0</v>
      </c>
      <c r="X120" s="1">
        <f t="shared" si="14"/>
        <v>0</v>
      </c>
      <c r="Z120" s="1">
        <v>1.4070000000000001E-5</v>
      </c>
      <c r="AA120" s="1">
        <v>7149.72</v>
      </c>
      <c r="AB120" s="3">
        <v>0</v>
      </c>
      <c r="AC120" s="1">
        <f t="shared" si="15"/>
        <v>0</v>
      </c>
      <c r="AE120" s="1">
        <v>1.4070000000000001E-5</v>
      </c>
      <c r="AF120" s="1">
        <v>7149.72</v>
      </c>
      <c r="AG120" s="3">
        <v>0</v>
      </c>
      <c r="AH120" s="1">
        <f t="shared" si="16"/>
        <v>0</v>
      </c>
      <c r="AJ120" s="1">
        <v>1.4070000000000001E-5</v>
      </c>
      <c r="AK120" s="1">
        <v>7149.72</v>
      </c>
      <c r="AL120" s="3">
        <v>1.1327229432910601E-4</v>
      </c>
      <c r="AM120" s="1">
        <f t="shared" si="17"/>
        <v>0.80986518821069586</v>
      </c>
      <c r="AO120" s="1">
        <v>1.4070000000000001E-5</v>
      </c>
      <c r="AP120" s="1">
        <v>7149.72</v>
      </c>
      <c r="AQ120" s="2">
        <v>1.7450361754828999E-6</v>
      </c>
      <c r="AR120" s="1">
        <f t="shared" si="18"/>
        <v>1.24765200445736E-2</v>
      </c>
      <c r="AT120" s="1">
        <v>1.4070000000000001E-5</v>
      </c>
      <c r="AU120" s="1">
        <v>7149.72</v>
      </c>
      <c r="AV120" s="3">
        <v>0</v>
      </c>
      <c r="AW120" s="1">
        <f t="shared" si="19"/>
        <v>0</v>
      </c>
    </row>
    <row r="121" spans="1:49" x14ac:dyDescent="0.3">
      <c r="A121" s="1">
        <v>1.588E-5</v>
      </c>
      <c r="B121" s="1">
        <v>7133.4</v>
      </c>
      <c r="C121" s="3">
        <v>2.0551108349207899E-4</v>
      </c>
      <c r="D121" s="1">
        <f t="shared" si="10"/>
        <v>1.4659927629823961</v>
      </c>
      <c r="F121" s="1">
        <v>1.588E-5</v>
      </c>
      <c r="G121" s="1">
        <v>7133.4</v>
      </c>
      <c r="H121" s="3">
        <v>0</v>
      </c>
      <c r="I121" s="1">
        <f t="shared" si="11"/>
        <v>0</v>
      </c>
      <c r="K121" s="1">
        <v>1.588E-5</v>
      </c>
      <c r="L121" s="1">
        <v>7133.4</v>
      </c>
      <c r="M121" s="3">
        <v>0</v>
      </c>
      <c r="N121" s="1">
        <f t="shared" si="12"/>
        <v>0</v>
      </c>
      <c r="P121" s="1">
        <v>1.588E-5</v>
      </c>
      <c r="Q121" s="1">
        <v>7133.4</v>
      </c>
      <c r="R121" s="3">
        <v>0</v>
      </c>
      <c r="S121" s="1">
        <f t="shared" si="13"/>
        <v>0</v>
      </c>
      <c r="U121" s="1">
        <v>1.588E-5</v>
      </c>
      <c r="V121" s="1">
        <v>7133.4</v>
      </c>
      <c r="W121" s="16">
        <v>0</v>
      </c>
      <c r="X121" s="1">
        <f t="shared" si="14"/>
        <v>0</v>
      </c>
      <c r="Z121" s="1">
        <v>1.588E-5</v>
      </c>
      <c r="AA121" s="1">
        <v>7133.4</v>
      </c>
      <c r="AB121" s="3">
        <v>0</v>
      </c>
      <c r="AC121" s="1">
        <f t="shared" si="15"/>
        <v>0</v>
      </c>
      <c r="AE121" s="1">
        <v>1.588E-5</v>
      </c>
      <c r="AF121" s="1">
        <v>7133.4</v>
      </c>
      <c r="AG121" s="3">
        <v>0</v>
      </c>
      <c r="AH121" s="1">
        <f t="shared" si="16"/>
        <v>0</v>
      </c>
      <c r="AJ121" s="1">
        <v>1.588E-5</v>
      </c>
      <c r="AK121" s="1">
        <v>7133.4</v>
      </c>
      <c r="AL121" s="3">
        <v>1.0765920865595E-4</v>
      </c>
      <c r="AM121" s="1">
        <f t="shared" si="17"/>
        <v>0.76797619902635372</v>
      </c>
      <c r="AO121" s="1">
        <v>1.588E-5</v>
      </c>
      <c r="AP121" s="1">
        <v>7133.4</v>
      </c>
      <c r="AQ121" s="2">
        <v>1.6879303452025199E-6</v>
      </c>
      <c r="AR121" s="1">
        <f t="shared" si="18"/>
        <v>1.2040682324467655E-2</v>
      </c>
      <c r="AT121" s="1">
        <v>1.588E-5</v>
      </c>
      <c r="AU121" s="1">
        <v>7133.4</v>
      </c>
      <c r="AV121" s="3">
        <v>0</v>
      </c>
      <c r="AW121" s="1">
        <f t="shared" si="19"/>
        <v>0</v>
      </c>
    </row>
    <row r="122" spans="1:49" x14ac:dyDescent="0.3">
      <c r="A122" s="1">
        <v>1.7923000000000001E-5</v>
      </c>
      <c r="B122" s="1">
        <v>6515.77</v>
      </c>
      <c r="C122" s="3">
        <v>1.5226122884029599E-4</v>
      </c>
      <c r="D122" s="1">
        <f t="shared" si="10"/>
        <v>0.99209914704073554</v>
      </c>
      <c r="F122" s="1">
        <v>1.7923000000000001E-5</v>
      </c>
      <c r="G122" s="1">
        <v>6515.77</v>
      </c>
      <c r="H122" s="3">
        <v>0</v>
      </c>
      <c r="I122" s="1">
        <f t="shared" si="11"/>
        <v>0</v>
      </c>
      <c r="K122" s="1">
        <v>1.7923000000000001E-5</v>
      </c>
      <c r="L122" s="1">
        <v>6515.77</v>
      </c>
      <c r="M122" s="3">
        <v>0</v>
      </c>
      <c r="N122" s="1">
        <f t="shared" si="12"/>
        <v>0</v>
      </c>
      <c r="P122" s="1">
        <v>1.7923000000000001E-5</v>
      </c>
      <c r="Q122" s="1">
        <v>6515.77</v>
      </c>
      <c r="R122" s="3">
        <v>0</v>
      </c>
      <c r="S122" s="1">
        <f t="shared" si="13"/>
        <v>0</v>
      </c>
      <c r="U122" s="1">
        <v>1.7923000000000001E-5</v>
      </c>
      <c r="V122" s="1">
        <v>6515.77</v>
      </c>
      <c r="W122" s="16">
        <v>0</v>
      </c>
      <c r="X122" s="1">
        <f t="shared" si="14"/>
        <v>0</v>
      </c>
      <c r="Z122" s="1">
        <v>1.7923000000000001E-5</v>
      </c>
      <c r="AA122" s="1">
        <v>6515.77</v>
      </c>
      <c r="AB122" s="3">
        <v>0</v>
      </c>
      <c r="AC122" s="1">
        <f t="shared" si="15"/>
        <v>0</v>
      </c>
      <c r="AE122" s="1">
        <v>1.7923000000000001E-5</v>
      </c>
      <c r="AF122" s="1">
        <v>6515.77</v>
      </c>
      <c r="AG122" s="3">
        <v>0</v>
      </c>
      <c r="AH122" s="1">
        <f t="shared" si="16"/>
        <v>0</v>
      </c>
      <c r="AJ122" s="1">
        <v>1.7923000000000001E-5</v>
      </c>
      <c r="AK122" s="1">
        <v>6515.77</v>
      </c>
      <c r="AL122" s="3">
        <v>1.02664625918227E-4</v>
      </c>
      <c r="AM122" s="1">
        <f t="shared" si="17"/>
        <v>0.66893908961920601</v>
      </c>
      <c r="AO122" s="1">
        <v>1.7923000000000001E-5</v>
      </c>
      <c r="AP122" s="1">
        <v>6515.77</v>
      </c>
      <c r="AQ122" s="2">
        <v>1.63776286411133E-6</v>
      </c>
      <c r="AR122" s="1">
        <f t="shared" si="18"/>
        <v>1.0671286137090681E-2</v>
      </c>
      <c r="AT122" s="1">
        <v>1.7923000000000001E-5</v>
      </c>
      <c r="AU122" s="1">
        <v>6515.77</v>
      </c>
      <c r="AV122" s="3">
        <v>0</v>
      </c>
      <c r="AW122" s="1">
        <f t="shared" si="19"/>
        <v>0</v>
      </c>
    </row>
    <row r="123" spans="1:49" x14ac:dyDescent="0.3">
      <c r="A123" s="1">
        <v>2.0228E-5</v>
      </c>
      <c r="B123" s="1">
        <v>5983.4</v>
      </c>
      <c r="C123" s="3">
        <v>1.17857538401586E-4</v>
      </c>
      <c r="D123" s="1">
        <f t="shared" si="10"/>
        <v>0.7051887952720497</v>
      </c>
      <c r="F123" s="1">
        <v>2.0228E-5</v>
      </c>
      <c r="G123" s="1">
        <v>5983.4</v>
      </c>
      <c r="H123" s="3">
        <v>0</v>
      </c>
      <c r="I123" s="1">
        <f t="shared" si="11"/>
        <v>0</v>
      </c>
      <c r="K123" s="1">
        <v>2.0228E-5</v>
      </c>
      <c r="L123" s="1">
        <v>5983.4</v>
      </c>
      <c r="M123" s="3">
        <v>0</v>
      </c>
      <c r="N123" s="1">
        <f t="shared" si="12"/>
        <v>0</v>
      </c>
      <c r="P123" s="1">
        <v>2.0228E-5</v>
      </c>
      <c r="Q123" s="1">
        <v>5983.4</v>
      </c>
      <c r="R123" s="3">
        <v>0</v>
      </c>
      <c r="S123" s="1">
        <f t="shared" si="13"/>
        <v>0</v>
      </c>
      <c r="U123" s="1">
        <v>2.0228E-5</v>
      </c>
      <c r="V123" s="1">
        <v>5983.4</v>
      </c>
      <c r="W123" s="16">
        <v>0</v>
      </c>
      <c r="X123" s="1">
        <f t="shared" si="14"/>
        <v>0</v>
      </c>
      <c r="Z123" s="1">
        <v>2.0228E-5</v>
      </c>
      <c r="AA123" s="1">
        <v>5983.4</v>
      </c>
      <c r="AB123" s="3">
        <v>0</v>
      </c>
      <c r="AC123" s="1">
        <f t="shared" si="15"/>
        <v>0</v>
      </c>
      <c r="AE123" s="1">
        <v>2.0228E-5</v>
      </c>
      <c r="AF123" s="1">
        <v>5983.4</v>
      </c>
      <c r="AG123" s="3">
        <v>0</v>
      </c>
      <c r="AH123" s="1">
        <f t="shared" si="16"/>
        <v>0</v>
      </c>
      <c r="AJ123" s="1">
        <v>2.0228E-5</v>
      </c>
      <c r="AK123" s="1">
        <v>5983.4</v>
      </c>
      <c r="AL123" s="2">
        <v>9.7268163301697093E-5</v>
      </c>
      <c r="AM123" s="1">
        <f t="shared" si="17"/>
        <v>0.58199432829937436</v>
      </c>
      <c r="AO123" s="1">
        <v>2.0228E-5</v>
      </c>
      <c r="AP123" s="1">
        <v>5983.4</v>
      </c>
      <c r="AQ123" s="2">
        <v>1.5951862127291299E-6</v>
      </c>
      <c r="AR123" s="1">
        <f t="shared" si="18"/>
        <v>9.544637185243475E-3</v>
      </c>
      <c r="AT123" s="1">
        <v>2.0228E-5</v>
      </c>
      <c r="AU123" s="1">
        <v>5983.4</v>
      </c>
      <c r="AV123" s="3">
        <v>0</v>
      </c>
      <c r="AW123" s="1">
        <f t="shared" si="19"/>
        <v>0</v>
      </c>
    </row>
    <row r="124" spans="1:49" x14ac:dyDescent="0.3">
      <c r="A124" s="1">
        <v>2.283E-5</v>
      </c>
      <c r="B124" s="1">
        <v>5737.67</v>
      </c>
      <c r="C124" s="2">
        <v>9.1818606941505498E-5</v>
      </c>
      <c r="D124" s="1">
        <f t="shared" si="10"/>
        <v>0.52682486649006788</v>
      </c>
      <c r="F124" s="1">
        <v>2.283E-5</v>
      </c>
      <c r="G124" s="1">
        <v>5737.67</v>
      </c>
      <c r="H124" s="3">
        <v>0</v>
      </c>
      <c r="I124" s="1">
        <f t="shared" si="11"/>
        <v>0</v>
      </c>
      <c r="K124" s="1">
        <v>2.283E-5</v>
      </c>
      <c r="L124" s="1">
        <v>5737.67</v>
      </c>
      <c r="M124" s="3">
        <v>0</v>
      </c>
      <c r="N124" s="1">
        <f t="shared" si="12"/>
        <v>0</v>
      </c>
      <c r="P124" s="1">
        <v>2.283E-5</v>
      </c>
      <c r="Q124" s="1">
        <v>5737.67</v>
      </c>
      <c r="R124" s="3">
        <v>0</v>
      </c>
      <c r="S124" s="1">
        <f t="shared" si="13"/>
        <v>0</v>
      </c>
      <c r="U124" s="1">
        <v>2.283E-5</v>
      </c>
      <c r="V124" s="1">
        <v>5737.67</v>
      </c>
      <c r="W124" s="16">
        <v>0</v>
      </c>
      <c r="X124" s="1">
        <f t="shared" si="14"/>
        <v>0</v>
      </c>
      <c r="Z124" s="1">
        <v>2.283E-5</v>
      </c>
      <c r="AA124" s="1">
        <v>5737.67</v>
      </c>
      <c r="AB124" s="3">
        <v>0</v>
      </c>
      <c r="AC124" s="1">
        <f t="shared" si="15"/>
        <v>0</v>
      </c>
      <c r="AE124" s="1">
        <v>2.283E-5</v>
      </c>
      <c r="AF124" s="1">
        <v>5737.67</v>
      </c>
      <c r="AG124" s="3">
        <v>0</v>
      </c>
      <c r="AH124" s="1">
        <f t="shared" si="16"/>
        <v>0</v>
      </c>
      <c r="AJ124" s="1">
        <v>2.283E-5</v>
      </c>
      <c r="AK124" s="1">
        <v>5737.67</v>
      </c>
      <c r="AL124" s="2">
        <v>9.0789810645570501E-5</v>
      </c>
      <c r="AM124" s="1">
        <f t="shared" si="17"/>
        <v>0.52092197284677055</v>
      </c>
      <c r="AO124" s="1">
        <v>2.283E-5</v>
      </c>
      <c r="AP124" s="1">
        <v>5737.67</v>
      </c>
      <c r="AQ124" s="2">
        <v>1.5606966438455999E-6</v>
      </c>
      <c r="AR124" s="1">
        <f t="shared" si="18"/>
        <v>8.9547623124935829E-3</v>
      </c>
      <c r="AT124" s="1">
        <v>2.283E-5</v>
      </c>
      <c r="AU124" s="1">
        <v>5737.67</v>
      </c>
      <c r="AV124" s="3">
        <v>0</v>
      </c>
      <c r="AW124" s="1">
        <f t="shared" si="19"/>
        <v>0</v>
      </c>
    </row>
    <row r="125" spans="1:49" x14ac:dyDescent="0.3">
      <c r="A125" s="1">
        <v>2.5766999999999999E-5</v>
      </c>
      <c r="B125" s="1">
        <v>5639.24</v>
      </c>
      <c r="C125" s="2">
        <v>7.4079654216706301E-5</v>
      </c>
      <c r="D125" s="1">
        <f t="shared" si="10"/>
        <v>0.41775294924501882</v>
      </c>
      <c r="F125" s="1">
        <v>2.5766999999999999E-5</v>
      </c>
      <c r="G125" s="1">
        <v>5639.24</v>
      </c>
      <c r="H125" s="3">
        <v>0</v>
      </c>
      <c r="I125" s="1">
        <f t="shared" si="11"/>
        <v>0</v>
      </c>
      <c r="K125" s="1">
        <v>2.5766999999999999E-5</v>
      </c>
      <c r="L125" s="1">
        <v>5639.24</v>
      </c>
      <c r="M125" s="3">
        <v>0</v>
      </c>
      <c r="N125" s="1">
        <f t="shared" si="12"/>
        <v>0</v>
      </c>
      <c r="P125" s="1">
        <v>2.5766999999999999E-5</v>
      </c>
      <c r="Q125" s="1">
        <v>5639.24</v>
      </c>
      <c r="R125" s="3">
        <v>0</v>
      </c>
      <c r="S125" s="1">
        <f t="shared" si="13"/>
        <v>0</v>
      </c>
      <c r="U125" s="1">
        <v>2.5766999999999999E-5</v>
      </c>
      <c r="V125" s="1">
        <v>5639.24</v>
      </c>
      <c r="W125" s="16">
        <v>0</v>
      </c>
      <c r="X125" s="1">
        <f t="shared" si="14"/>
        <v>0</v>
      </c>
      <c r="Z125" s="1">
        <v>2.5766999999999999E-5</v>
      </c>
      <c r="AA125" s="1">
        <v>5639.24</v>
      </c>
      <c r="AB125" s="3">
        <v>0</v>
      </c>
      <c r="AC125" s="1">
        <f t="shared" si="15"/>
        <v>0</v>
      </c>
      <c r="AE125" s="1">
        <v>2.5766999999999999E-5</v>
      </c>
      <c r="AF125" s="1">
        <v>5639.24</v>
      </c>
      <c r="AG125" s="3">
        <v>0</v>
      </c>
      <c r="AH125" s="1">
        <f t="shared" si="16"/>
        <v>0</v>
      </c>
      <c r="AJ125" s="1">
        <v>2.5766999999999999E-5</v>
      </c>
      <c r="AK125" s="1">
        <v>5639.24</v>
      </c>
      <c r="AL125" s="2">
        <v>8.4963777646387097E-5</v>
      </c>
      <c r="AM125" s="1">
        <f t="shared" si="17"/>
        <v>0.47913113345461195</v>
      </c>
      <c r="AO125" s="1">
        <v>2.5766999999999999E-5</v>
      </c>
      <c r="AP125" s="1">
        <v>5639.24</v>
      </c>
      <c r="AQ125" s="2">
        <v>1.5347260811850999E-6</v>
      </c>
      <c r="AR125" s="1">
        <f t="shared" si="18"/>
        <v>8.6546887060622631E-3</v>
      </c>
      <c r="AT125" s="1">
        <v>2.5766999999999999E-5</v>
      </c>
      <c r="AU125" s="1">
        <v>5639.24</v>
      </c>
      <c r="AV125" s="3">
        <v>0</v>
      </c>
      <c r="AW125" s="1">
        <f t="shared" si="19"/>
        <v>0</v>
      </c>
    </row>
    <row r="126" spans="1:49" x14ac:dyDescent="0.3">
      <c r="A126" s="1">
        <v>2.9081000000000002E-5</v>
      </c>
      <c r="B126" s="1">
        <v>5334.2</v>
      </c>
      <c r="C126" s="2">
        <v>6.3373557690663796E-5</v>
      </c>
      <c r="D126" s="1">
        <f t="shared" si="10"/>
        <v>0.33804723143353882</v>
      </c>
      <c r="F126" s="1">
        <v>2.9081000000000002E-5</v>
      </c>
      <c r="G126" s="1">
        <v>5334.2</v>
      </c>
      <c r="H126" s="3">
        <v>0</v>
      </c>
      <c r="I126" s="1">
        <f t="shared" si="11"/>
        <v>0</v>
      </c>
      <c r="K126" s="1">
        <v>2.9081000000000002E-5</v>
      </c>
      <c r="L126" s="1">
        <v>5334.2</v>
      </c>
      <c r="M126" s="3">
        <v>0</v>
      </c>
      <c r="N126" s="1">
        <f t="shared" si="12"/>
        <v>0</v>
      </c>
      <c r="P126" s="1">
        <v>2.9081000000000002E-5</v>
      </c>
      <c r="Q126" s="1">
        <v>5334.2</v>
      </c>
      <c r="R126" s="3">
        <v>0</v>
      </c>
      <c r="S126" s="1">
        <f t="shared" si="13"/>
        <v>0</v>
      </c>
      <c r="U126" s="1">
        <v>2.9081000000000002E-5</v>
      </c>
      <c r="V126" s="1">
        <v>5334.2</v>
      </c>
      <c r="W126" s="16">
        <v>0</v>
      </c>
      <c r="X126" s="1">
        <f t="shared" si="14"/>
        <v>0</v>
      </c>
      <c r="Z126" s="1">
        <v>2.9081000000000002E-5</v>
      </c>
      <c r="AA126" s="1">
        <v>5334.2</v>
      </c>
      <c r="AB126" s="3">
        <v>0</v>
      </c>
      <c r="AC126" s="1">
        <f t="shared" si="15"/>
        <v>0</v>
      </c>
      <c r="AE126" s="1">
        <v>2.9081000000000002E-5</v>
      </c>
      <c r="AF126" s="1">
        <v>5334.2</v>
      </c>
      <c r="AG126" s="3">
        <v>0</v>
      </c>
      <c r="AH126" s="1">
        <f t="shared" si="16"/>
        <v>0</v>
      </c>
      <c r="AJ126" s="1">
        <v>2.9081000000000002E-5</v>
      </c>
      <c r="AK126" s="1">
        <v>5334.2</v>
      </c>
      <c r="AL126" s="2">
        <v>8.1048389412488001E-5</v>
      </c>
      <c r="AM126" s="1">
        <f t="shared" si="17"/>
        <v>0.4323283188040935</v>
      </c>
      <c r="AO126" s="1">
        <v>2.9081000000000002E-5</v>
      </c>
      <c r="AP126" s="1">
        <v>5334.2</v>
      </c>
      <c r="AQ126" s="2">
        <v>1.5193698143041001E-6</v>
      </c>
      <c r="AR126" s="1">
        <f t="shared" si="18"/>
        <v>8.1046224634609299E-3</v>
      </c>
      <c r="AT126" s="1">
        <v>2.9081000000000002E-5</v>
      </c>
      <c r="AU126" s="1">
        <v>5334.2</v>
      </c>
      <c r="AV126" s="3">
        <v>0</v>
      </c>
      <c r="AW126" s="1">
        <f t="shared" si="19"/>
        <v>0</v>
      </c>
    </row>
    <row r="127" spans="1:49" x14ac:dyDescent="0.3">
      <c r="A127" s="1">
        <v>3.2821000000000003E-5</v>
      </c>
      <c r="B127" s="1">
        <v>4789.1400000000003</v>
      </c>
      <c r="C127" s="2">
        <v>5.67930190155268E-5</v>
      </c>
      <c r="D127" s="1">
        <f t="shared" si="10"/>
        <v>0.27198971908802005</v>
      </c>
      <c r="F127" s="1">
        <v>3.2821000000000003E-5</v>
      </c>
      <c r="G127" s="1">
        <v>4789.1400000000003</v>
      </c>
      <c r="H127" s="3">
        <v>0</v>
      </c>
      <c r="I127" s="1">
        <f t="shared" si="11"/>
        <v>0</v>
      </c>
      <c r="K127" s="1">
        <v>3.2821000000000003E-5</v>
      </c>
      <c r="L127" s="1">
        <v>4789.1400000000003</v>
      </c>
      <c r="M127" s="3">
        <v>0</v>
      </c>
      <c r="N127" s="1">
        <f t="shared" si="12"/>
        <v>0</v>
      </c>
      <c r="P127" s="1">
        <v>3.2821000000000003E-5</v>
      </c>
      <c r="Q127" s="1">
        <v>4789.1400000000003</v>
      </c>
      <c r="R127" s="3">
        <v>0</v>
      </c>
      <c r="S127" s="1">
        <f t="shared" si="13"/>
        <v>0</v>
      </c>
      <c r="U127" s="1">
        <v>3.2821000000000003E-5</v>
      </c>
      <c r="V127" s="1">
        <v>4789.1400000000003</v>
      </c>
      <c r="W127" s="16">
        <v>0</v>
      </c>
      <c r="X127" s="1">
        <f t="shared" si="14"/>
        <v>0</v>
      </c>
      <c r="Z127" s="1">
        <v>3.2821000000000003E-5</v>
      </c>
      <c r="AA127" s="1">
        <v>4789.1400000000003</v>
      </c>
      <c r="AB127" s="3">
        <v>0</v>
      </c>
      <c r="AC127" s="1">
        <f t="shared" si="15"/>
        <v>0</v>
      </c>
      <c r="AE127" s="1">
        <v>3.2821000000000003E-5</v>
      </c>
      <c r="AF127" s="1">
        <v>4789.1400000000003</v>
      </c>
      <c r="AG127" s="3">
        <v>0</v>
      </c>
      <c r="AH127" s="1">
        <f t="shared" si="16"/>
        <v>0</v>
      </c>
      <c r="AJ127" s="1">
        <v>3.2821000000000003E-5</v>
      </c>
      <c r="AK127" s="1">
        <v>4789.1400000000003</v>
      </c>
      <c r="AL127" s="2">
        <v>7.7031060916647298E-5</v>
      </c>
      <c r="AM127" s="1">
        <f t="shared" si="17"/>
        <v>0.36891253507835226</v>
      </c>
      <c r="AO127" s="1">
        <v>3.2821000000000003E-5</v>
      </c>
      <c r="AP127" s="1">
        <v>4789.1400000000003</v>
      </c>
      <c r="AQ127" s="2">
        <v>1.51379156535331E-6</v>
      </c>
      <c r="AR127" s="1">
        <f t="shared" si="18"/>
        <v>7.2497597372961509E-3</v>
      </c>
      <c r="AT127" s="1">
        <v>3.2821000000000003E-5</v>
      </c>
      <c r="AU127" s="1">
        <v>4789.1400000000003</v>
      </c>
      <c r="AV127" s="3">
        <v>0</v>
      </c>
      <c r="AW127" s="1">
        <f t="shared" si="19"/>
        <v>0</v>
      </c>
    </row>
    <row r="128" spans="1:49" x14ac:dyDescent="0.3">
      <c r="A128" s="1">
        <v>3.7042999999999998E-5</v>
      </c>
      <c r="B128" s="1">
        <v>4812.74</v>
      </c>
      <c r="C128" s="2">
        <v>5.4522358409019298E-5</v>
      </c>
      <c r="D128" s="1">
        <f t="shared" si="10"/>
        <v>0.26240193520942351</v>
      </c>
      <c r="F128" s="1">
        <v>3.7042999999999998E-5</v>
      </c>
      <c r="G128" s="1">
        <v>4812.74</v>
      </c>
      <c r="H128" s="3">
        <v>0</v>
      </c>
      <c r="I128" s="1">
        <f t="shared" si="11"/>
        <v>0</v>
      </c>
      <c r="K128" s="1">
        <v>3.7042999999999998E-5</v>
      </c>
      <c r="L128" s="1">
        <v>4812.74</v>
      </c>
      <c r="M128" s="3">
        <v>0</v>
      </c>
      <c r="N128" s="1">
        <f t="shared" si="12"/>
        <v>0</v>
      </c>
      <c r="P128" s="1">
        <v>3.7042999999999998E-5</v>
      </c>
      <c r="Q128" s="1">
        <v>4812.74</v>
      </c>
      <c r="R128" s="3">
        <v>0</v>
      </c>
      <c r="S128" s="1">
        <f t="shared" si="13"/>
        <v>0</v>
      </c>
      <c r="U128" s="1">
        <v>3.7042999999999998E-5</v>
      </c>
      <c r="V128" s="1">
        <v>4812.74</v>
      </c>
      <c r="W128" s="16">
        <v>0</v>
      </c>
      <c r="X128" s="1">
        <f t="shared" si="14"/>
        <v>0</v>
      </c>
      <c r="Z128" s="1">
        <v>3.7042999999999998E-5</v>
      </c>
      <c r="AA128" s="1">
        <v>4812.74</v>
      </c>
      <c r="AB128" s="3">
        <v>0</v>
      </c>
      <c r="AC128" s="1">
        <f t="shared" si="15"/>
        <v>0</v>
      </c>
      <c r="AE128" s="1">
        <v>3.7042999999999998E-5</v>
      </c>
      <c r="AF128" s="1">
        <v>4812.74</v>
      </c>
      <c r="AG128" s="3">
        <v>0</v>
      </c>
      <c r="AH128" s="1">
        <f t="shared" si="16"/>
        <v>0</v>
      </c>
      <c r="AJ128" s="1">
        <v>3.7042999999999998E-5</v>
      </c>
      <c r="AK128" s="1">
        <v>4812.74</v>
      </c>
      <c r="AL128" s="2">
        <v>7.3456290384908701E-5</v>
      </c>
      <c r="AM128" s="1">
        <f t="shared" si="17"/>
        <v>0.35352602698706548</v>
      </c>
      <c r="AO128" s="1">
        <v>3.7042999999999998E-5</v>
      </c>
      <c r="AP128" s="1">
        <v>4812.74</v>
      </c>
      <c r="AQ128" s="2">
        <v>1.52969922422286E-6</v>
      </c>
      <c r="AR128" s="1">
        <f t="shared" si="18"/>
        <v>7.3620446443863263E-3</v>
      </c>
      <c r="AT128" s="1">
        <v>3.7042999999999998E-5</v>
      </c>
      <c r="AU128" s="1">
        <v>4812.74</v>
      </c>
      <c r="AV128" s="3">
        <v>0</v>
      </c>
      <c r="AW128" s="1">
        <f t="shared" si="19"/>
        <v>0</v>
      </c>
    </row>
    <row r="129" spans="1:49" x14ac:dyDescent="0.3">
      <c r="A129" s="1">
        <v>4.1807000000000001E-5</v>
      </c>
      <c r="B129" s="1">
        <v>4378.76</v>
      </c>
      <c r="C129" s="2">
        <v>5.9316158989134499E-5</v>
      </c>
      <c r="D129" s="1">
        <f t="shared" si="10"/>
        <v>0.25973122433526258</v>
      </c>
      <c r="F129" s="1">
        <v>4.1807000000000001E-5</v>
      </c>
      <c r="G129" s="1">
        <v>4378.76</v>
      </c>
      <c r="H129" s="3">
        <v>0</v>
      </c>
      <c r="I129" s="1">
        <f t="shared" si="11"/>
        <v>0</v>
      </c>
      <c r="K129" s="1">
        <v>4.1807000000000001E-5</v>
      </c>
      <c r="L129" s="1">
        <v>4378.76</v>
      </c>
      <c r="M129" s="3">
        <v>0</v>
      </c>
      <c r="N129" s="1">
        <f t="shared" si="12"/>
        <v>0</v>
      </c>
      <c r="P129" s="1">
        <v>4.1807000000000001E-5</v>
      </c>
      <c r="Q129" s="1">
        <v>4378.76</v>
      </c>
      <c r="R129" s="3">
        <v>0</v>
      </c>
      <c r="S129" s="1">
        <f t="shared" si="13"/>
        <v>0</v>
      </c>
      <c r="U129" s="1">
        <v>4.1807000000000001E-5</v>
      </c>
      <c r="V129" s="1">
        <v>4378.76</v>
      </c>
      <c r="W129" s="16">
        <v>0</v>
      </c>
      <c r="X129" s="1">
        <f t="shared" si="14"/>
        <v>0</v>
      </c>
      <c r="Z129" s="1">
        <v>4.1807000000000001E-5</v>
      </c>
      <c r="AA129" s="1">
        <v>4378.76</v>
      </c>
      <c r="AB129" s="3">
        <v>0</v>
      </c>
      <c r="AC129" s="1">
        <f t="shared" si="15"/>
        <v>0</v>
      </c>
      <c r="AE129" s="1">
        <v>4.1807000000000001E-5</v>
      </c>
      <c r="AF129" s="1">
        <v>4378.76</v>
      </c>
      <c r="AG129" s="3">
        <v>0</v>
      </c>
      <c r="AH129" s="1">
        <f t="shared" si="16"/>
        <v>0</v>
      </c>
      <c r="AJ129" s="1">
        <v>4.1807000000000001E-5</v>
      </c>
      <c r="AK129" s="1">
        <v>4378.76</v>
      </c>
      <c r="AL129" s="2">
        <v>6.7872365507836498E-5</v>
      </c>
      <c r="AM129" s="1">
        <f t="shared" si="17"/>
        <v>0.29719679919109415</v>
      </c>
      <c r="AO129" s="1">
        <v>4.1807000000000001E-5</v>
      </c>
      <c r="AP129" s="1">
        <v>4378.76</v>
      </c>
      <c r="AQ129" s="2">
        <v>1.56727658824224E-6</v>
      </c>
      <c r="AR129" s="1">
        <f t="shared" si="18"/>
        <v>6.8627280335315909E-3</v>
      </c>
      <c r="AT129" s="1">
        <v>4.1807000000000001E-5</v>
      </c>
      <c r="AU129" s="1">
        <v>4378.76</v>
      </c>
      <c r="AV129" s="3">
        <v>0</v>
      </c>
      <c r="AW129" s="1">
        <f t="shared" si="19"/>
        <v>0</v>
      </c>
    </row>
    <row r="130" spans="1:49" x14ac:dyDescent="0.3">
      <c r="A130" s="1">
        <v>4.7185000000000003E-5</v>
      </c>
      <c r="B130" s="1">
        <v>4056.79</v>
      </c>
      <c r="C130" s="3">
        <v>8.9235025378633503E-4</v>
      </c>
      <c r="D130" s="1">
        <f t="shared" si="10"/>
        <v>3.620077586057866</v>
      </c>
      <c r="F130" s="1">
        <v>4.7185000000000003E-5</v>
      </c>
      <c r="G130" s="1">
        <v>4056.79</v>
      </c>
      <c r="H130" s="3">
        <v>0</v>
      </c>
      <c r="I130" s="1">
        <f t="shared" si="11"/>
        <v>0</v>
      </c>
      <c r="K130" s="1">
        <v>4.7185000000000003E-5</v>
      </c>
      <c r="L130" s="1">
        <v>4056.79</v>
      </c>
      <c r="M130" s="3">
        <v>0</v>
      </c>
      <c r="N130" s="1">
        <f t="shared" si="12"/>
        <v>0</v>
      </c>
      <c r="P130" s="1">
        <v>4.7185000000000003E-5</v>
      </c>
      <c r="Q130" s="1">
        <v>4056.79</v>
      </c>
      <c r="R130" s="3">
        <v>0</v>
      </c>
      <c r="S130" s="1">
        <f t="shared" si="13"/>
        <v>0</v>
      </c>
      <c r="U130" s="1">
        <v>4.7185000000000003E-5</v>
      </c>
      <c r="V130" s="1">
        <v>4056.79</v>
      </c>
      <c r="W130" s="16">
        <v>0</v>
      </c>
      <c r="X130" s="1">
        <f t="shared" si="14"/>
        <v>0</v>
      </c>
      <c r="Z130" s="1">
        <v>4.7185000000000003E-5</v>
      </c>
      <c r="AA130" s="1">
        <v>4056.79</v>
      </c>
      <c r="AB130" s="3">
        <v>0</v>
      </c>
      <c r="AC130" s="1">
        <f t="shared" si="15"/>
        <v>0</v>
      </c>
      <c r="AE130" s="1">
        <v>4.7185000000000003E-5</v>
      </c>
      <c r="AF130" s="1">
        <v>4056.79</v>
      </c>
      <c r="AG130" s="3">
        <v>0</v>
      </c>
      <c r="AH130" s="1">
        <f t="shared" si="16"/>
        <v>0</v>
      </c>
      <c r="AJ130" s="1">
        <v>4.7185000000000003E-5</v>
      </c>
      <c r="AK130" s="1">
        <v>4056.79</v>
      </c>
      <c r="AL130" s="2">
        <v>6.2660914664781496E-5</v>
      </c>
      <c r="AM130" s="1">
        <f t="shared" si="17"/>
        <v>0.25420217200293893</v>
      </c>
      <c r="AO130" s="1">
        <v>4.7185000000000003E-5</v>
      </c>
      <c r="AP130" s="1">
        <v>4056.79</v>
      </c>
      <c r="AQ130" s="2">
        <v>1.6283018965745399E-6</v>
      </c>
      <c r="AR130" s="1">
        <f t="shared" si="18"/>
        <v>6.6056788510046281E-3</v>
      </c>
      <c r="AT130" s="1">
        <v>4.7185000000000003E-5</v>
      </c>
      <c r="AU130" s="1">
        <v>4056.79</v>
      </c>
      <c r="AV130" s="3">
        <v>0</v>
      </c>
      <c r="AW130" s="1">
        <f t="shared" si="19"/>
        <v>0</v>
      </c>
    </row>
    <row r="131" spans="1:49" x14ac:dyDescent="0.3">
      <c r="A131" s="1">
        <v>5.3254000000000002E-5</v>
      </c>
      <c r="B131" s="1">
        <v>3768.24</v>
      </c>
      <c r="C131" s="3">
        <v>1.5291984452581999E-4</v>
      </c>
      <c r="D131" s="1">
        <f t="shared" si="10"/>
        <v>0.57623867493597591</v>
      </c>
      <c r="F131" s="1">
        <v>5.3254000000000002E-5</v>
      </c>
      <c r="G131" s="1">
        <v>3768.24</v>
      </c>
      <c r="H131" s="3">
        <v>0</v>
      </c>
      <c r="I131" s="1">
        <f t="shared" si="11"/>
        <v>0</v>
      </c>
      <c r="K131" s="1">
        <v>5.3254000000000002E-5</v>
      </c>
      <c r="L131" s="1">
        <v>3768.24</v>
      </c>
      <c r="M131" s="3">
        <v>0</v>
      </c>
      <c r="N131" s="1">
        <f t="shared" si="12"/>
        <v>0</v>
      </c>
      <c r="P131" s="1">
        <v>5.3254000000000002E-5</v>
      </c>
      <c r="Q131" s="1">
        <v>3768.24</v>
      </c>
      <c r="R131" s="3">
        <v>0</v>
      </c>
      <c r="S131" s="1">
        <f t="shared" si="13"/>
        <v>0</v>
      </c>
      <c r="U131" s="1">
        <v>5.3254000000000002E-5</v>
      </c>
      <c r="V131" s="1">
        <v>3768.24</v>
      </c>
      <c r="W131" s="16">
        <v>0</v>
      </c>
      <c r="X131" s="1">
        <f t="shared" si="14"/>
        <v>0</v>
      </c>
      <c r="Z131" s="1">
        <v>5.3254000000000002E-5</v>
      </c>
      <c r="AA131" s="1">
        <v>3768.24</v>
      </c>
      <c r="AB131" s="3">
        <v>0</v>
      </c>
      <c r="AC131" s="1">
        <f t="shared" si="15"/>
        <v>0</v>
      </c>
      <c r="AE131" s="1">
        <v>5.3254000000000002E-5</v>
      </c>
      <c r="AF131" s="1">
        <v>3768.24</v>
      </c>
      <c r="AG131" s="3">
        <v>0</v>
      </c>
      <c r="AH131" s="1">
        <f t="shared" si="16"/>
        <v>0</v>
      </c>
      <c r="AJ131" s="1">
        <v>5.3254000000000002E-5</v>
      </c>
      <c r="AK131" s="1">
        <v>3768.24</v>
      </c>
      <c r="AL131" s="2">
        <v>5.9996255029318999E-5</v>
      </c>
      <c r="AM131" s="1">
        <f t="shared" si="17"/>
        <v>0.22608028805168101</v>
      </c>
      <c r="AO131" s="1">
        <v>5.3254000000000002E-5</v>
      </c>
      <c r="AP131" s="1">
        <v>3768.24</v>
      </c>
      <c r="AQ131" s="2">
        <v>1.75275566332254E-6</v>
      </c>
      <c r="AR131" s="1">
        <f t="shared" si="18"/>
        <v>6.6048040007585275E-3</v>
      </c>
      <c r="AT131" s="1">
        <v>5.3254000000000002E-5</v>
      </c>
      <c r="AU131" s="1">
        <v>3768.24</v>
      </c>
      <c r="AV131" s="3">
        <v>0</v>
      </c>
      <c r="AW131" s="1">
        <f t="shared" si="19"/>
        <v>0</v>
      </c>
    </row>
    <row r="132" spans="1:49" x14ac:dyDescent="0.3">
      <c r="A132" s="1">
        <v>6.0103999999999999E-5</v>
      </c>
      <c r="B132" s="1">
        <v>2858.68</v>
      </c>
      <c r="C132" s="3">
        <v>3.0282520538268E-2</v>
      </c>
      <c r="D132" s="1">
        <f t="shared" ref="D132:D195" si="20">B132*C132</f>
        <v>86.568035812335964</v>
      </c>
      <c r="F132" s="1">
        <v>6.0103999999999999E-5</v>
      </c>
      <c r="G132" s="1">
        <v>2858.68</v>
      </c>
      <c r="H132" s="3">
        <v>0</v>
      </c>
      <c r="I132" s="1">
        <f t="shared" ref="I132:I195" si="21">G132*H132</f>
        <v>0</v>
      </c>
      <c r="K132" s="1">
        <v>6.0103999999999999E-5</v>
      </c>
      <c r="L132" s="1">
        <v>2858.68</v>
      </c>
      <c r="M132" s="3">
        <v>0</v>
      </c>
      <c r="N132" s="1">
        <f t="shared" ref="N132:N195" si="22">L132*M132</f>
        <v>0</v>
      </c>
      <c r="P132" s="1">
        <v>6.0103999999999999E-5</v>
      </c>
      <c r="Q132" s="1">
        <v>2858.68</v>
      </c>
      <c r="R132" s="3">
        <v>0</v>
      </c>
      <c r="S132" s="1">
        <f t="shared" ref="S132:S195" si="23">Q132*R132</f>
        <v>0</v>
      </c>
      <c r="U132" s="1">
        <v>6.0103999999999999E-5</v>
      </c>
      <c r="V132" s="1">
        <v>2858.68</v>
      </c>
      <c r="W132" s="16">
        <v>0</v>
      </c>
      <c r="X132" s="1">
        <f t="shared" ref="X132:X195" si="24">V132*W132</f>
        <v>0</v>
      </c>
      <c r="Z132" s="1">
        <v>6.0103999999999999E-5</v>
      </c>
      <c r="AA132" s="1">
        <v>2858.68</v>
      </c>
      <c r="AB132" s="3">
        <v>0</v>
      </c>
      <c r="AC132" s="1">
        <f t="shared" ref="AC132:AC195" si="25">AA132*AB132</f>
        <v>0</v>
      </c>
      <c r="AE132" s="1">
        <v>6.0103999999999999E-5</v>
      </c>
      <c r="AF132" s="1">
        <v>2858.68</v>
      </c>
      <c r="AG132" s="3">
        <v>0</v>
      </c>
      <c r="AH132" s="1">
        <f t="shared" ref="AH132:AH195" si="26">AF132*AG132</f>
        <v>0</v>
      </c>
      <c r="AJ132" s="1">
        <v>6.0103999999999999E-5</v>
      </c>
      <c r="AK132" s="1">
        <v>2858.68</v>
      </c>
      <c r="AL132" s="2">
        <v>5.7435496045450797E-5</v>
      </c>
      <c r="AM132" s="1">
        <f t="shared" ref="AM132:AM195" si="27">AK132*AL132</f>
        <v>0.16418970383520928</v>
      </c>
      <c r="AO132" s="1">
        <v>6.0103999999999999E-5</v>
      </c>
      <c r="AP132" s="1">
        <v>2858.68</v>
      </c>
      <c r="AQ132" s="2">
        <v>1.9167304508495498E-6</v>
      </c>
      <c r="AR132" s="1">
        <f t="shared" ref="AR132:AR195" si="28">AP132*AQ132</f>
        <v>5.4793190052345904E-3</v>
      </c>
      <c r="AT132" s="1">
        <v>6.0103999999999999E-5</v>
      </c>
      <c r="AU132" s="1">
        <v>2858.68</v>
      </c>
      <c r="AV132" s="3">
        <v>0</v>
      </c>
      <c r="AW132" s="1">
        <f t="shared" ref="AW132:AW195" si="29">AU132*AV132</f>
        <v>0</v>
      </c>
    </row>
    <row r="133" spans="1:49" x14ac:dyDescent="0.3">
      <c r="A133" s="1">
        <v>6.7835000000000004E-5</v>
      </c>
      <c r="B133" s="1">
        <v>3437.82</v>
      </c>
      <c r="C133" s="3">
        <v>0.123776959872245</v>
      </c>
      <c r="D133" s="1">
        <f t="shared" si="20"/>
        <v>425.52290818800134</v>
      </c>
      <c r="F133" s="1">
        <v>6.7835000000000004E-5</v>
      </c>
      <c r="G133" s="1">
        <v>3437.82</v>
      </c>
      <c r="H133" s="3">
        <v>0</v>
      </c>
      <c r="I133" s="1">
        <f t="shared" si="21"/>
        <v>0</v>
      </c>
      <c r="K133" s="1">
        <v>6.7835000000000004E-5</v>
      </c>
      <c r="L133" s="1">
        <v>3437.82</v>
      </c>
      <c r="M133" s="3">
        <v>0</v>
      </c>
      <c r="N133" s="1">
        <f t="shared" si="22"/>
        <v>0</v>
      </c>
      <c r="P133" s="1">
        <v>6.7835000000000004E-5</v>
      </c>
      <c r="Q133" s="1">
        <v>3437.82</v>
      </c>
      <c r="R133" s="3">
        <v>0</v>
      </c>
      <c r="S133" s="1">
        <f t="shared" si="23"/>
        <v>0</v>
      </c>
      <c r="U133" s="1">
        <v>6.7835000000000004E-5</v>
      </c>
      <c r="V133" s="1">
        <v>3437.82</v>
      </c>
      <c r="W133" s="16">
        <v>0</v>
      </c>
      <c r="X133" s="1">
        <f t="shared" si="24"/>
        <v>0</v>
      </c>
      <c r="Z133" s="1">
        <v>6.7835000000000004E-5</v>
      </c>
      <c r="AA133" s="1">
        <v>3437.82</v>
      </c>
      <c r="AB133" s="3">
        <v>0</v>
      </c>
      <c r="AC133" s="1">
        <f t="shared" si="25"/>
        <v>0</v>
      </c>
      <c r="AE133" s="1">
        <v>6.7835000000000004E-5</v>
      </c>
      <c r="AF133" s="1">
        <v>3437.82</v>
      </c>
      <c r="AG133" s="3">
        <v>0</v>
      </c>
      <c r="AH133" s="1">
        <f t="shared" si="26"/>
        <v>0</v>
      </c>
      <c r="AJ133" s="1">
        <v>6.7835000000000004E-5</v>
      </c>
      <c r="AK133" s="1">
        <v>3437.82</v>
      </c>
      <c r="AL133" s="2">
        <v>5.4974226836458301E-5</v>
      </c>
      <c r="AM133" s="1">
        <f t="shared" si="27"/>
        <v>0.18899149650291308</v>
      </c>
      <c r="AO133" s="1">
        <v>6.7835000000000004E-5</v>
      </c>
      <c r="AP133" s="1">
        <v>3437.82</v>
      </c>
      <c r="AQ133" s="2">
        <v>2.1788897718035902E-6</v>
      </c>
      <c r="AR133" s="1">
        <f t="shared" si="28"/>
        <v>7.4906308353018189E-3</v>
      </c>
      <c r="AT133" s="1">
        <v>6.7835000000000004E-5</v>
      </c>
      <c r="AU133" s="1">
        <v>3437.82</v>
      </c>
      <c r="AV133" s="3">
        <v>0</v>
      </c>
      <c r="AW133" s="1">
        <f t="shared" si="29"/>
        <v>0</v>
      </c>
    </row>
    <row r="134" spans="1:49" x14ac:dyDescent="0.3">
      <c r="A134" s="1">
        <v>7.6559999999999999E-5</v>
      </c>
      <c r="B134" s="1">
        <v>3103.09</v>
      </c>
      <c r="C134" s="3">
        <v>1.7778117046521799E-4</v>
      </c>
      <c r="D134" s="1">
        <f t="shared" si="20"/>
        <v>0.55167097225891326</v>
      </c>
      <c r="F134" s="1">
        <v>7.6559999999999999E-5</v>
      </c>
      <c r="G134" s="1">
        <v>3103.09</v>
      </c>
      <c r="H134" s="3">
        <v>0</v>
      </c>
      <c r="I134" s="1">
        <f t="shared" si="21"/>
        <v>0</v>
      </c>
      <c r="K134" s="1">
        <v>7.6559999999999999E-5</v>
      </c>
      <c r="L134" s="1">
        <v>3103.09</v>
      </c>
      <c r="M134" s="3">
        <v>0</v>
      </c>
      <c r="N134" s="1">
        <f t="shared" si="22"/>
        <v>0</v>
      </c>
      <c r="P134" s="1">
        <v>7.6559999999999999E-5</v>
      </c>
      <c r="Q134" s="1">
        <v>3103.09</v>
      </c>
      <c r="R134" s="3">
        <v>0</v>
      </c>
      <c r="S134" s="1">
        <f t="shared" si="23"/>
        <v>0</v>
      </c>
      <c r="U134" s="1">
        <v>7.6559999999999999E-5</v>
      </c>
      <c r="V134" s="1">
        <v>3103.09</v>
      </c>
      <c r="W134" s="16">
        <v>0</v>
      </c>
      <c r="X134" s="1">
        <f t="shared" si="24"/>
        <v>0</v>
      </c>
      <c r="Z134" s="1">
        <v>7.6559999999999999E-5</v>
      </c>
      <c r="AA134" s="1">
        <v>3103.09</v>
      </c>
      <c r="AB134" s="3">
        <v>0</v>
      </c>
      <c r="AC134" s="1">
        <f t="shared" si="25"/>
        <v>0</v>
      </c>
      <c r="AE134" s="1">
        <v>7.6559999999999999E-5</v>
      </c>
      <c r="AF134" s="1">
        <v>3103.09</v>
      </c>
      <c r="AG134" s="3">
        <v>0</v>
      </c>
      <c r="AH134" s="1">
        <f t="shared" si="26"/>
        <v>0</v>
      </c>
      <c r="AJ134" s="1">
        <v>7.6559999999999999E-5</v>
      </c>
      <c r="AK134" s="1">
        <v>3103.09</v>
      </c>
      <c r="AL134" s="2">
        <v>5.1424941370205001E-5</v>
      </c>
      <c r="AM134" s="1">
        <f t="shared" si="27"/>
        <v>0.15957622131646945</v>
      </c>
      <c r="AO134" s="1">
        <v>7.6559999999999999E-5</v>
      </c>
      <c r="AP134" s="1">
        <v>3103.09</v>
      </c>
      <c r="AQ134" s="2">
        <v>2.6452134638497701E-6</v>
      </c>
      <c r="AR134" s="1">
        <f t="shared" si="28"/>
        <v>8.208335447537584E-3</v>
      </c>
      <c r="AT134" s="1">
        <v>7.6559999999999999E-5</v>
      </c>
      <c r="AU134" s="1">
        <v>3103.09</v>
      </c>
      <c r="AV134" s="3">
        <v>0</v>
      </c>
      <c r="AW134" s="1">
        <f t="shared" si="29"/>
        <v>0</v>
      </c>
    </row>
    <row r="135" spans="1:49" x14ac:dyDescent="0.3">
      <c r="A135" s="1">
        <v>8.6407000000000001E-5</v>
      </c>
      <c r="B135" s="1">
        <v>3170.97</v>
      </c>
      <c r="C135" s="3">
        <v>1.51984917028932E-2</v>
      </c>
      <c r="D135" s="1">
        <f t="shared" si="20"/>
        <v>48.193961235123247</v>
      </c>
      <c r="F135" s="1">
        <v>8.6407000000000001E-5</v>
      </c>
      <c r="G135" s="1">
        <v>3170.97</v>
      </c>
      <c r="H135" s="3">
        <v>0</v>
      </c>
      <c r="I135" s="1">
        <f t="shared" si="21"/>
        <v>0</v>
      </c>
      <c r="K135" s="1">
        <v>8.6407000000000001E-5</v>
      </c>
      <c r="L135" s="1">
        <v>3170.97</v>
      </c>
      <c r="M135" s="3">
        <v>0</v>
      </c>
      <c r="N135" s="1">
        <f t="shared" si="22"/>
        <v>0</v>
      </c>
      <c r="P135" s="1">
        <v>8.6407000000000001E-5</v>
      </c>
      <c r="Q135" s="1">
        <v>3170.97</v>
      </c>
      <c r="R135" s="3">
        <v>0</v>
      </c>
      <c r="S135" s="1">
        <f t="shared" si="23"/>
        <v>0</v>
      </c>
      <c r="U135" s="1">
        <v>8.6407000000000001E-5</v>
      </c>
      <c r="V135" s="1">
        <v>3170.97</v>
      </c>
      <c r="W135" s="16">
        <v>0</v>
      </c>
      <c r="X135" s="1">
        <f t="shared" si="24"/>
        <v>0</v>
      </c>
      <c r="Z135" s="1">
        <v>8.6407000000000001E-5</v>
      </c>
      <c r="AA135" s="1">
        <v>3170.97</v>
      </c>
      <c r="AB135" s="3">
        <v>0</v>
      </c>
      <c r="AC135" s="1">
        <f t="shared" si="25"/>
        <v>0</v>
      </c>
      <c r="AE135" s="1">
        <v>8.6407000000000001E-5</v>
      </c>
      <c r="AF135" s="1">
        <v>3170.97</v>
      </c>
      <c r="AG135" s="3">
        <v>0</v>
      </c>
      <c r="AH135" s="1">
        <f t="shared" si="26"/>
        <v>0</v>
      </c>
      <c r="AJ135" s="1">
        <v>8.6407000000000001E-5</v>
      </c>
      <c r="AK135" s="1">
        <v>3170.97</v>
      </c>
      <c r="AL135" s="2">
        <v>4.80603736189794E-5</v>
      </c>
      <c r="AM135" s="1">
        <f t="shared" si="27"/>
        <v>0.15239800293457509</v>
      </c>
      <c r="AO135" s="1">
        <v>8.6407000000000001E-5</v>
      </c>
      <c r="AP135" s="1">
        <v>3170.97</v>
      </c>
      <c r="AQ135" s="2">
        <v>3.4057516501041002E-6</v>
      </c>
      <c r="AR135" s="1">
        <f t="shared" si="28"/>
        <v>1.0799536309930597E-2</v>
      </c>
      <c r="AT135" s="1">
        <v>8.6407000000000001E-5</v>
      </c>
      <c r="AU135" s="1">
        <v>3170.97</v>
      </c>
      <c r="AV135" s="3">
        <v>0</v>
      </c>
      <c r="AW135" s="1">
        <f t="shared" si="29"/>
        <v>0</v>
      </c>
    </row>
    <row r="136" spans="1:49" x14ac:dyDescent="0.3">
      <c r="A136" s="1">
        <v>9.7522000000000006E-5</v>
      </c>
      <c r="B136" s="1">
        <v>2855.37</v>
      </c>
      <c r="C136" s="2">
        <v>3.1884993100806101E-5</v>
      </c>
      <c r="D136" s="1">
        <f t="shared" si="20"/>
        <v>9.1043452750248707E-2</v>
      </c>
      <c r="F136" s="1">
        <v>9.7522000000000006E-5</v>
      </c>
      <c r="G136" s="1">
        <v>2855.37</v>
      </c>
      <c r="H136" s="3">
        <v>0</v>
      </c>
      <c r="I136" s="1">
        <f t="shared" si="21"/>
        <v>0</v>
      </c>
      <c r="K136" s="1">
        <v>9.7522000000000006E-5</v>
      </c>
      <c r="L136" s="1">
        <v>2855.37</v>
      </c>
      <c r="M136" s="3">
        <v>0</v>
      </c>
      <c r="N136" s="1">
        <f t="shared" si="22"/>
        <v>0</v>
      </c>
      <c r="P136" s="1">
        <v>9.7522000000000006E-5</v>
      </c>
      <c r="Q136" s="1">
        <v>2855.37</v>
      </c>
      <c r="R136" s="3">
        <v>0</v>
      </c>
      <c r="S136" s="1">
        <f t="shared" si="23"/>
        <v>0</v>
      </c>
      <c r="U136" s="1">
        <v>9.7522000000000006E-5</v>
      </c>
      <c r="V136" s="1">
        <v>2855.37</v>
      </c>
      <c r="W136" s="16">
        <v>0</v>
      </c>
      <c r="X136" s="1">
        <f t="shared" si="24"/>
        <v>0</v>
      </c>
      <c r="Z136" s="1">
        <v>9.7522000000000006E-5</v>
      </c>
      <c r="AA136" s="1">
        <v>2855.37</v>
      </c>
      <c r="AB136" s="3">
        <v>0</v>
      </c>
      <c r="AC136" s="1">
        <f t="shared" si="25"/>
        <v>0</v>
      </c>
      <c r="AE136" s="1">
        <v>9.7522000000000006E-5</v>
      </c>
      <c r="AF136" s="1">
        <v>2855.37</v>
      </c>
      <c r="AG136" s="3">
        <v>0</v>
      </c>
      <c r="AH136" s="1">
        <f t="shared" si="26"/>
        <v>0</v>
      </c>
      <c r="AJ136" s="1">
        <v>9.7522000000000006E-5</v>
      </c>
      <c r="AK136" s="1">
        <v>2855.37</v>
      </c>
      <c r="AL136" s="2">
        <v>4.5585430692159201E-5</v>
      </c>
      <c r="AM136" s="1">
        <f t="shared" si="27"/>
        <v>0.13016327123547061</v>
      </c>
      <c r="AO136" s="1">
        <v>9.7522000000000006E-5</v>
      </c>
      <c r="AP136" s="1">
        <v>2855.37</v>
      </c>
      <c r="AQ136" s="2">
        <v>5.0752783687022604E-6</v>
      </c>
      <c r="AR136" s="1">
        <f t="shared" si="28"/>
        <v>1.4491797595641372E-2</v>
      </c>
      <c r="AT136" s="1">
        <v>9.7522000000000006E-5</v>
      </c>
      <c r="AU136" s="1">
        <v>2855.37</v>
      </c>
      <c r="AV136" s="3">
        <v>0</v>
      </c>
      <c r="AW136" s="1">
        <f t="shared" si="29"/>
        <v>0</v>
      </c>
    </row>
    <row r="137" spans="1:49" x14ac:dyDescent="0.3">
      <c r="A137" s="1">
        <v>1.1006E-4</v>
      </c>
      <c r="B137" s="1">
        <v>2462.06</v>
      </c>
      <c r="C137" s="3">
        <v>7.9054517661801896E-3</v>
      </c>
      <c r="D137" s="1">
        <f t="shared" si="20"/>
        <v>19.463696575441595</v>
      </c>
      <c r="F137" s="1">
        <v>1.1006E-4</v>
      </c>
      <c r="G137" s="1">
        <v>2462.06</v>
      </c>
      <c r="H137" s="3">
        <v>0</v>
      </c>
      <c r="I137" s="1">
        <f t="shared" si="21"/>
        <v>0</v>
      </c>
      <c r="K137" s="1">
        <v>1.1006E-4</v>
      </c>
      <c r="L137" s="1">
        <v>2462.06</v>
      </c>
      <c r="M137" s="3">
        <v>0</v>
      </c>
      <c r="N137" s="1">
        <f t="shared" si="22"/>
        <v>0</v>
      </c>
      <c r="P137" s="1">
        <v>1.1006E-4</v>
      </c>
      <c r="Q137" s="1">
        <v>2462.06</v>
      </c>
      <c r="R137" s="3">
        <v>0</v>
      </c>
      <c r="S137" s="1">
        <f t="shared" si="23"/>
        <v>0</v>
      </c>
      <c r="U137" s="1">
        <v>1.1006E-4</v>
      </c>
      <c r="V137" s="1">
        <v>2462.06</v>
      </c>
      <c r="W137" s="16">
        <v>0</v>
      </c>
      <c r="X137" s="1">
        <f t="shared" si="24"/>
        <v>0</v>
      </c>
      <c r="Z137" s="1">
        <v>1.1006E-4</v>
      </c>
      <c r="AA137" s="1">
        <v>2462.06</v>
      </c>
      <c r="AB137" s="3">
        <v>0</v>
      </c>
      <c r="AC137" s="1">
        <f t="shared" si="25"/>
        <v>0</v>
      </c>
      <c r="AE137" s="1">
        <v>1.1006E-4</v>
      </c>
      <c r="AF137" s="1">
        <v>2462.06</v>
      </c>
      <c r="AG137" s="3">
        <v>0</v>
      </c>
      <c r="AH137" s="1">
        <f t="shared" si="26"/>
        <v>0</v>
      </c>
      <c r="AJ137" s="1">
        <v>1.1006E-4</v>
      </c>
      <c r="AK137" s="1">
        <v>2462.06</v>
      </c>
      <c r="AL137" s="2">
        <v>4.4059610415704297E-5</v>
      </c>
      <c r="AM137" s="1">
        <f t="shared" si="27"/>
        <v>0.10847740442008892</v>
      </c>
      <c r="AO137" s="1">
        <v>1.1006E-4</v>
      </c>
      <c r="AP137" s="1">
        <v>2462.06</v>
      </c>
      <c r="AQ137" s="2">
        <v>1.02295534860492E-5</v>
      </c>
      <c r="AR137" s="1">
        <f t="shared" si="28"/>
        <v>2.5185774455862293E-2</v>
      </c>
      <c r="AT137" s="1">
        <v>1.1006E-4</v>
      </c>
      <c r="AU137" s="1">
        <v>2462.06</v>
      </c>
      <c r="AV137" s="3">
        <v>0</v>
      </c>
      <c r="AW137" s="1">
        <f t="shared" si="29"/>
        <v>0</v>
      </c>
    </row>
    <row r="138" spans="1:49" x14ac:dyDescent="0.3">
      <c r="A138" s="1">
        <v>1.2422E-4</v>
      </c>
      <c r="B138" s="1">
        <v>2413.7800000000002</v>
      </c>
      <c r="C138" s="3">
        <v>9.0826460364754297E-4</v>
      </c>
      <c r="D138" s="1">
        <f t="shared" si="20"/>
        <v>2.1923509349923664</v>
      </c>
      <c r="F138" s="1">
        <v>1.2422E-4</v>
      </c>
      <c r="G138" s="1">
        <v>2413.7800000000002</v>
      </c>
      <c r="H138" s="3">
        <v>0</v>
      </c>
      <c r="I138" s="1">
        <f t="shared" si="21"/>
        <v>0</v>
      </c>
      <c r="K138" s="1">
        <v>1.2422E-4</v>
      </c>
      <c r="L138" s="1">
        <v>2413.7800000000002</v>
      </c>
      <c r="M138" s="3">
        <v>0</v>
      </c>
      <c r="N138" s="1">
        <f t="shared" si="22"/>
        <v>0</v>
      </c>
      <c r="P138" s="1">
        <v>1.2422E-4</v>
      </c>
      <c r="Q138" s="1">
        <v>2413.7800000000002</v>
      </c>
      <c r="R138" s="3">
        <v>0</v>
      </c>
      <c r="S138" s="1">
        <f t="shared" si="23"/>
        <v>0</v>
      </c>
      <c r="U138" s="1">
        <v>1.2422E-4</v>
      </c>
      <c r="V138" s="1">
        <v>2413.7800000000002</v>
      </c>
      <c r="W138" s="16">
        <v>0</v>
      </c>
      <c r="X138" s="1">
        <f t="shared" si="24"/>
        <v>0</v>
      </c>
      <c r="Z138" s="1">
        <v>1.2422E-4</v>
      </c>
      <c r="AA138" s="1">
        <v>2413.7800000000002</v>
      </c>
      <c r="AB138" s="3">
        <v>0</v>
      </c>
      <c r="AC138" s="1">
        <f t="shared" si="25"/>
        <v>0</v>
      </c>
      <c r="AE138" s="1">
        <v>1.2422E-4</v>
      </c>
      <c r="AF138" s="1">
        <v>2413.7800000000002</v>
      </c>
      <c r="AG138" s="3">
        <v>0</v>
      </c>
      <c r="AH138" s="1">
        <f t="shared" si="26"/>
        <v>0</v>
      </c>
      <c r="AJ138" s="1">
        <v>1.2422E-4</v>
      </c>
      <c r="AK138" s="1">
        <v>2413.7800000000002</v>
      </c>
      <c r="AL138" s="2">
        <v>4.1383923588445198E-5</v>
      </c>
      <c r="AM138" s="1">
        <f t="shared" si="27"/>
        <v>9.9891687079317254E-2</v>
      </c>
      <c r="AO138" s="1">
        <v>1.2422E-4</v>
      </c>
      <c r="AP138" s="1">
        <v>2413.7800000000002</v>
      </c>
      <c r="AQ138" s="2">
        <v>4.4064003701705003E-5</v>
      </c>
      <c r="AR138" s="1">
        <f t="shared" si="28"/>
        <v>0.1063608108551015</v>
      </c>
      <c r="AT138" s="1">
        <v>1.2422E-4</v>
      </c>
      <c r="AU138" s="1">
        <v>2413.7800000000002</v>
      </c>
      <c r="AV138" s="3">
        <v>0</v>
      </c>
      <c r="AW138" s="1">
        <f t="shared" si="29"/>
        <v>0</v>
      </c>
    </row>
    <row r="139" spans="1:49" x14ac:dyDescent="0.3">
      <c r="A139" s="1">
        <v>1.4019999999999999E-4</v>
      </c>
      <c r="B139" s="1">
        <v>2402.21</v>
      </c>
      <c r="C139" s="2">
        <v>2.76148963462145E-5</v>
      </c>
      <c r="D139" s="1">
        <f t="shared" si="20"/>
        <v>6.6336780151839941E-2</v>
      </c>
      <c r="F139" s="1">
        <v>1.4019999999999999E-4</v>
      </c>
      <c r="G139" s="1">
        <v>2402.21</v>
      </c>
      <c r="H139" s="3">
        <v>0</v>
      </c>
      <c r="I139" s="1">
        <f t="shared" si="21"/>
        <v>0</v>
      </c>
      <c r="K139" s="1">
        <v>1.4019999999999999E-4</v>
      </c>
      <c r="L139" s="1">
        <v>2402.21</v>
      </c>
      <c r="M139" s="3">
        <v>0</v>
      </c>
      <c r="N139" s="1">
        <f t="shared" si="22"/>
        <v>0</v>
      </c>
      <c r="P139" s="1">
        <v>1.4019999999999999E-4</v>
      </c>
      <c r="Q139" s="1">
        <v>2402.21</v>
      </c>
      <c r="R139" s="3">
        <v>0</v>
      </c>
      <c r="S139" s="1">
        <f t="shared" si="23"/>
        <v>0</v>
      </c>
      <c r="U139" s="1">
        <v>1.4019999999999999E-4</v>
      </c>
      <c r="V139" s="1">
        <v>2402.21</v>
      </c>
      <c r="W139" s="16">
        <v>0</v>
      </c>
      <c r="X139" s="1">
        <f t="shared" si="24"/>
        <v>0</v>
      </c>
      <c r="Z139" s="1">
        <v>1.4019999999999999E-4</v>
      </c>
      <c r="AA139" s="1">
        <v>2402.21</v>
      </c>
      <c r="AB139" s="3">
        <v>0</v>
      </c>
      <c r="AC139" s="1">
        <f t="shared" si="25"/>
        <v>0</v>
      </c>
      <c r="AE139" s="1">
        <v>1.4019999999999999E-4</v>
      </c>
      <c r="AF139" s="1">
        <v>2402.21</v>
      </c>
      <c r="AG139" s="3">
        <v>0</v>
      </c>
      <c r="AH139" s="1">
        <f t="shared" si="26"/>
        <v>0</v>
      </c>
      <c r="AJ139" s="1">
        <v>1.4019999999999999E-4</v>
      </c>
      <c r="AK139" s="1">
        <v>2402.21</v>
      </c>
      <c r="AL139" s="2">
        <v>3.90685073696152E-5</v>
      </c>
      <c r="AM139" s="1">
        <f t="shared" si="27"/>
        <v>9.3850759088363336E-2</v>
      </c>
      <c r="AO139" s="1">
        <v>1.4019999999999999E-4</v>
      </c>
      <c r="AP139" s="1">
        <v>2402.21</v>
      </c>
      <c r="AQ139" s="3">
        <v>3.5368733718930701E-4</v>
      </c>
      <c r="AR139" s="1">
        <f t="shared" si="28"/>
        <v>0.84963125826952524</v>
      </c>
      <c r="AT139" s="1">
        <v>1.4019999999999999E-4</v>
      </c>
      <c r="AU139" s="1">
        <v>2402.21</v>
      </c>
      <c r="AV139" s="3">
        <v>0</v>
      </c>
      <c r="AW139" s="1">
        <f t="shared" si="29"/>
        <v>0</v>
      </c>
    </row>
    <row r="140" spans="1:49" x14ac:dyDescent="0.3">
      <c r="A140" s="1">
        <v>1.5823000000000001E-4</v>
      </c>
      <c r="B140" s="1">
        <v>2578.46</v>
      </c>
      <c r="C140" s="3">
        <v>8.5372484541445196E-3</v>
      </c>
      <c r="D140" s="1">
        <f t="shared" si="20"/>
        <v>22.012953649073477</v>
      </c>
      <c r="F140" s="1">
        <v>1.5823000000000001E-4</v>
      </c>
      <c r="G140" s="1">
        <v>2578.46</v>
      </c>
      <c r="H140" s="3">
        <v>0</v>
      </c>
      <c r="I140" s="1">
        <f t="shared" si="21"/>
        <v>0</v>
      </c>
      <c r="K140" s="1">
        <v>1.5823000000000001E-4</v>
      </c>
      <c r="L140" s="1">
        <v>2578.46</v>
      </c>
      <c r="M140" s="3">
        <v>0</v>
      </c>
      <c r="N140" s="1">
        <f t="shared" si="22"/>
        <v>0</v>
      </c>
      <c r="P140" s="1">
        <v>1.5823000000000001E-4</v>
      </c>
      <c r="Q140" s="1">
        <v>2578.46</v>
      </c>
      <c r="R140" s="3">
        <v>0</v>
      </c>
      <c r="S140" s="1">
        <f t="shared" si="23"/>
        <v>0</v>
      </c>
      <c r="U140" s="1">
        <v>1.5823000000000001E-4</v>
      </c>
      <c r="V140" s="1">
        <v>2578.46</v>
      </c>
      <c r="W140" s="16">
        <v>0</v>
      </c>
      <c r="X140" s="1">
        <f t="shared" si="24"/>
        <v>0</v>
      </c>
      <c r="Z140" s="1">
        <v>1.5823000000000001E-4</v>
      </c>
      <c r="AA140" s="1">
        <v>2578.46</v>
      </c>
      <c r="AB140" s="3">
        <v>0</v>
      </c>
      <c r="AC140" s="1">
        <f t="shared" si="25"/>
        <v>0</v>
      </c>
      <c r="AE140" s="1">
        <v>1.5823000000000001E-4</v>
      </c>
      <c r="AF140" s="1">
        <v>2578.46</v>
      </c>
      <c r="AG140" s="3">
        <v>0</v>
      </c>
      <c r="AH140" s="1">
        <f t="shared" si="26"/>
        <v>0</v>
      </c>
      <c r="AJ140" s="1">
        <v>1.5823000000000001E-4</v>
      </c>
      <c r="AK140" s="1">
        <v>2578.46</v>
      </c>
      <c r="AL140" s="2">
        <v>3.7328416504117802E-5</v>
      </c>
      <c r="AM140" s="1">
        <f t="shared" si="27"/>
        <v>9.6249828819207586E-2</v>
      </c>
      <c r="AO140" s="1">
        <v>1.5823000000000001E-4</v>
      </c>
      <c r="AP140" s="1">
        <v>2578.46</v>
      </c>
      <c r="AQ140" s="2">
        <v>3.30531861891806E-5</v>
      </c>
      <c r="AR140" s="1">
        <f t="shared" si="28"/>
        <v>8.5226318461354617E-2</v>
      </c>
      <c r="AT140" s="1">
        <v>1.5823000000000001E-4</v>
      </c>
      <c r="AU140" s="1">
        <v>2578.46</v>
      </c>
      <c r="AV140" s="3">
        <v>0</v>
      </c>
      <c r="AW140" s="1">
        <f t="shared" si="29"/>
        <v>0</v>
      </c>
    </row>
    <row r="141" spans="1:49" x14ac:dyDescent="0.3">
      <c r="A141" s="1">
        <v>1.7859000000000001E-4</v>
      </c>
      <c r="B141" s="1">
        <v>2589.02</v>
      </c>
      <c r="C141" s="3">
        <v>1.2482869200025899E-2</v>
      </c>
      <c r="D141" s="1">
        <f t="shared" si="20"/>
        <v>32.318398016251052</v>
      </c>
      <c r="F141" s="1">
        <v>1.7859000000000001E-4</v>
      </c>
      <c r="G141" s="1">
        <v>2589.02</v>
      </c>
      <c r="H141" s="3">
        <v>0</v>
      </c>
      <c r="I141" s="1">
        <f t="shared" si="21"/>
        <v>0</v>
      </c>
      <c r="K141" s="1">
        <v>1.7859000000000001E-4</v>
      </c>
      <c r="L141" s="1">
        <v>2589.02</v>
      </c>
      <c r="M141" s="3">
        <v>0</v>
      </c>
      <c r="N141" s="1">
        <f t="shared" si="22"/>
        <v>0</v>
      </c>
      <c r="P141" s="1">
        <v>1.7859000000000001E-4</v>
      </c>
      <c r="Q141" s="1">
        <v>2589.02</v>
      </c>
      <c r="R141" s="3">
        <v>0</v>
      </c>
      <c r="S141" s="1">
        <f t="shared" si="23"/>
        <v>0</v>
      </c>
      <c r="U141" s="1">
        <v>1.7859000000000001E-4</v>
      </c>
      <c r="V141" s="1">
        <v>2589.02</v>
      </c>
      <c r="W141" s="16">
        <v>0</v>
      </c>
      <c r="X141" s="1">
        <f t="shared" si="24"/>
        <v>0</v>
      </c>
      <c r="Z141" s="1">
        <v>1.7859000000000001E-4</v>
      </c>
      <c r="AA141" s="1">
        <v>2589.02</v>
      </c>
      <c r="AB141" s="3">
        <v>0</v>
      </c>
      <c r="AC141" s="1">
        <f t="shared" si="25"/>
        <v>0</v>
      </c>
      <c r="AE141" s="1">
        <v>1.7859000000000001E-4</v>
      </c>
      <c r="AF141" s="1">
        <v>2589.02</v>
      </c>
      <c r="AG141" s="3">
        <v>0</v>
      </c>
      <c r="AH141" s="1">
        <f t="shared" si="26"/>
        <v>0</v>
      </c>
      <c r="AJ141" s="1">
        <v>1.7859000000000001E-4</v>
      </c>
      <c r="AK141" s="1">
        <v>2589.02</v>
      </c>
      <c r="AL141" s="2">
        <v>3.6020052449891101E-5</v>
      </c>
      <c r="AM141" s="1">
        <f t="shared" si="27"/>
        <v>9.325663619381705E-2</v>
      </c>
      <c r="AO141" s="1">
        <v>1.7859000000000001E-4</v>
      </c>
      <c r="AP141" s="1">
        <v>2589.02</v>
      </c>
      <c r="AQ141" s="2">
        <v>5.08325792976316E-6</v>
      </c>
      <c r="AR141" s="1">
        <f t="shared" si="28"/>
        <v>1.3160656445315416E-2</v>
      </c>
      <c r="AT141" s="1">
        <v>1.7859000000000001E-4</v>
      </c>
      <c r="AU141" s="1">
        <v>2589.02</v>
      </c>
      <c r="AV141" s="3">
        <v>0</v>
      </c>
      <c r="AW141" s="1">
        <f t="shared" si="29"/>
        <v>0</v>
      </c>
    </row>
    <row r="142" spans="1:49" x14ac:dyDescent="0.3">
      <c r="A142" s="1">
        <v>2.0155999999999999E-4</v>
      </c>
      <c r="B142" s="1">
        <v>2079.3000000000002</v>
      </c>
      <c r="C142" s="3">
        <v>8.3154676170055196E-3</v>
      </c>
      <c r="D142" s="1">
        <f t="shared" si="20"/>
        <v>17.290351816039578</v>
      </c>
      <c r="F142" s="1">
        <v>2.0155999999999999E-4</v>
      </c>
      <c r="G142" s="1">
        <v>2079.3000000000002</v>
      </c>
      <c r="H142" s="3">
        <v>0</v>
      </c>
      <c r="I142" s="1">
        <f t="shared" si="21"/>
        <v>0</v>
      </c>
      <c r="K142" s="1">
        <v>2.0155999999999999E-4</v>
      </c>
      <c r="L142" s="1">
        <v>2079.3000000000002</v>
      </c>
      <c r="M142" s="3">
        <v>0</v>
      </c>
      <c r="N142" s="1">
        <f t="shared" si="22"/>
        <v>0</v>
      </c>
      <c r="P142" s="1">
        <v>2.0155999999999999E-4</v>
      </c>
      <c r="Q142" s="1">
        <v>2079.3000000000002</v>
      </c>
      <c r="R142" s="3">
        <v>0</v>
      </c>
      <c r="S142" s="1">
        <f t="shared" si="23"/>
        <v>0</v>
      </c>
      <c r="U142" s="1">
        <v>2.0155999999999999E-4</v>
      </c>
      <c r="V142" s="1">
        <v>2079.3000000000002</v>
      </c>
      <c r="W142" s="16">
        <v>0</v>
      </c>
      <c r="X142" s="1">
        <f t="shared" si="24"/>
        <v>0</v>
      </c>
      <c r="Z142" s="1">
        <v>2.0155999999999999E-4</v>
      </c>
      <c r="AA142" s="1">
        <v>2079.3000000000002</v>
      </c>
      <c r="AB142" s="3">
        <v>0</v>
      </c>
      <c r="AC142" s="1">
        <f t="shared" si="25"/>
        <v>0</v>
      </c>
      <c r="AE142" s="1">
        <v>2.0155999999999999E-4</v>
      </c>
      <c r="AF142" s="1">
        <v>2079.3000000000002</v>
      </c>
      <c r="AG142" s="3">
        <v>0</v>
      </c>
      <c r="AH142" s="1">
        <f t="shared" si="26"/>
        <v>0</v>
      </c>
      <c r="AJ142" s="1">
        <v>2.0155999999999999E-4</v>
      </c>
      <c r="AK142" s="1">
        <v>2079.3000000000002</v>
      </c>
      <c r="AL142" s="2">
        <v>3.4247223077193198E-5</v>
      </c>
      <c r="AM142" s="1">
        <f t="shared" si="27"/>
        <v>7.1210250944407819E-2</v>
      </c>
      <c r="AO142" s="1">
        <v>2.0155999999999999E-4</v>
      </c>
      <c r="AP142" s="1">
        <v>2079.3000000000002</v>
      </c>
      <c r="AQ142" s="2">
        <v>1.8303349844664999E-6</v>
      </c>
      <c r="AR142" s="1">
        <f t="shared" si="28"/>
        <v>3.8058155332011939E-3</v>
      </c>
      <c r="AT142" s="1">
        <v>2.0155999999999999E-4</v>
      </c>
      <c r="AU142" s="1">
        <v>2079.3000000000002</v>
      </c>
      <c r="AV142" s="3">
        <v>0</v>
      </c>
      <c r="AW142" s="1">
        <f t="shared" si="29"/>
        <v>0</v>
      </c>
    </row>
    <row r="143" spans="1:49" x14ac:dyDescent="0.3">
      <c r="A143" s="1">
        <v>2.2748000000000001E-4</v>
      </c>
      <c r="B143" s="1">
        <v>2143.15</v>
      </c>
      <c r="C143" s="3">
        <v>2.86451102840552E-4</v>
      </c>
      <c r="D143" s="1">
        <f t="shared" si="20"/>
        <v>0.61390768105272908</v>
      </c>
      <c r="F143" s="1">
        <v>2.2748000000000001E-4</v>
      </c>
      <c r="G143" s="1">
        <v>2143.15</v>
      </c>
      <c r="H143" s="3">
        <v>0</v>
      </c>
      <c r="I143" s="1">
        <f t="shared" si="21"/>
        <v>0</v>
      </c>
      <c r="K143" s="1">
        <v>2.2748000000000001E-4</v>
      </c>
      <c r="L143" s="1">
        <v>2143.15</v>
      </c>
      <c r="M143" s="3">
        <v>0</v>
      </c>
      <c r="N143" s="1">
        <f t="shared" si="22"/>
        <v>0</v>
      </c>
      <c r="P143" s="1">
        <v>2.2748000000000001E-4</v>
      </c>
      <c r="Q143" s="1">
        <v>2143.15</v>
      </c>
      <c r="R143" s="3">
        <v>0</v>
      </c>
      <c r="S143" s="1">
        <f t="shared" si="23"/>
        <v>0</v>
      </c>
      <c r="U143" s="1">
        <v>2.2748000000000001E-4</v>
      </c>
      <c r="V143" s="1">
        <v>2143.15</v>
      </c>
      <c r="W143" s="16">
        <v>0</v>
      </c>
      <c r="X143" s="1">
        <f t="shared" si="24"/>
        <v>0</v>
      </c>
      <c r="Z143" s="1">
        <v>2.2748000000000001E-4</v>
      </c>
      <c r="AA143" s="1">
        <v>2143.15</v>
      </c>
      <c r="AB143" s="3">
        <v>0</v>
      </c>
      <c r="AC143" s="1">
        <f t="shared" si="25"/>
        <v>0</v>
      </c>
      <c r="AE143" s="1">
        <v>2.2748000000000001E-4</v>
      </c>
      <c r="AF143" s="1">
        <v>2143.15</v>
      </c>
      <c r="AG143" s="3">
        <v>0</v>
      </c>
      <c r="AH143" s="1">
        <f t="shared" si="26"/>
        <v>0</v>
      </c>
      <c r="AJ143" s="1">
        <v>2.2748000000000001E-4</v>
      </c>
      <c r="AK143" s="1">
        <v>2143.15</v>
      </c>
      <c r="AL143" s="2">
        <v>3.3032249612947802E-5</v>
      </c>
      <c r="AM143" s="1">
        <f t="shared" si="27"/>
        <v>7.079306575798909E-2</v>
      </c>
      <c r="AO143" s="1">
        <v>2.2748000000000001E-4</v>
      </c>
      <c r="AP143" s="1">
        <v>2143.15</v>
      </c>
      <c r="AQ143" s="2">
        <v>8.6974542148147304E-7</v>
      </c>
      <c r="AR143" s="1">
        <f t="shared" si="28"/>
        <v>1.8639949000480191E-3</v>
      </c>
      <c r="AT143" s="1">
        <v>2.2748000000000001E-4</v>
      </c>
      <c r="AU143" s="1">
        <v>2143.15</v>
      </c>
      <c r="AV143" s="3">
        <v>0</v>
      </c>
      <c r="AW143" s="1">
        <f t="shared" si="29"/>
        <v>0</v>
      </c>
    </row>
    <row r="144" spans="1:49" x14ac:dyDescent="0.3">
      <c r="A144" s="1">
        <v>2.5673999999999998E-4</v>
      </c>
      <c r="B144" s="1">
        <v>1930.4</v>
      </c>
      <c r="C144" s="3">
        <v>9.6745269018915295E-3</v>
      </c>
      <c r="D144" s="1">
        <f t="shared" si="20"/>
        <v>18.67570673141141</v>
      </c>
      <c r="F144" s="1">
        <v>2.5673999999999998E-4</v>
      </c>
      <c r="G144" s="1">
        <v>1930.4</v>
      </c>
      <c r="H144" s="3">
        <v>0</v>
      </c>
      <c r="I144" s="1">
        <f t="shared" si="21"/>
        <v>0</v>
      </c>
      <c r="K144" s="1">
        <v>2.5673999999999998E-4</v>
      </c>
      <c r="L144" s="1">
        <v>1930.4</v>
      </c>
      <c r="M144" s="3">
        <v>0</v>
      </c>
      <c r="N144" s="1">
        <f t="shared" si="22"/>
        <v>0</v>
      </c>
      <c r="P144" s="1">
        <v>2.5673999999999998E-4</v>
      </c>
      <c r="Q144" s="1">
        <v>1930.4</v>
      </c>
      <c r="R144" s="3">
        <v>0</v>
      </c>
      <c r="S144" s="1">
        <f t="shared" si="23"/>
        <v>0</v>
      </c>
      <c r="U144" s="1">
        <v>2.5673999999999998E-4</v>
      </c>
      <c r="V144" s="1">
        <v>1930.4</v>
      </c>
      <c r="W144" s="16">
        <v>0</v>
      </c>
      <c r="X144" s="1">
        <f t="shared" si="24"/>
        <v>0</v>
      </c>
      <c r="Z144" s="1">
        <v>2.5673999999999998E-4</v>
      </c>
      <c r="AA144" s="1">
        <v>1930.4</v>
      </c>
      <c r="AB144" s="3">
        <v>0</v>
      </c>
      <c r="AC144" s="1">
        <f t="shared" si="25"/>
        <v>0</v>
      </c>
      <c r="AE144" s="1">
        <v>2.5673999999999998E-4</v>
      </c>
      <c r="AF144" s="1">
        <v>1930.4</v>
      </c>
      <c r="AG144" s="3">
        <v>0</v>
      </c>
      <c r="AH144" s="1">
        <f t="shared" si="26"/>
        <v>0</v>
      </c>
      <c r="AJ144" s="1">
        <v>2.5673999999999998E-4</v>
      </c>
      <c r="AK144" s="1">
        <v>1930.4</v>
      </c>
      <c r="AL144" s="2">
        <v>3.23207481654633E-5</v>
      </c>
      <c r="AM144" s="1">
        <f t="shared" si="27"/>
        <v>6.2391972258610359E-2</v>
      </c>
      <c r="AO144" s="1">
        <v>2.5673999999999998E-4</v>
      </c>
      <c r="AP144" s="1">
        <v>1930.4</v>
      </c>
      <c r="AQ144" s="2">
        <v>4.7229400367548799E-7</v>
      </c>
      <c r="AR144" s="1">
        <f t="shared" si="28"/>
        <v>9.1171634469516209E-4</v>
      </c>
      <c r="AT144" s="1">
        <v>2.5673999999999998E-4</v>
      </c>
      <c r="AU144" s="1">
        <v>1930.4</v>
      </c>
      <c r="AV144" s="3">
        <v>0</v>
      </c>
      <c r="AW144" s="1">
        <f t="shared" si="29"/>
        <v>0</v>
      </c>
    </row>
    <row r="145" spans="1:49" x14ac:dyDescent="0.3">
      <c r="A145" s="1">
        <v>2.8977000000000001E-4</v>
      </c>
      <c r="B145" s="1">
        <v>1943.74</v>
      </c>
      <c r="C145" s="3">
        <v>6.4467155815619102E-3</v>
      </c>
      <c r="D145" s="1">
        <f t="shared" si="20"/>
        <v>12.530738944505147</v>
      </c>
      <c r="F145" s="1">
        <v>2.8977000000000001E-4</v>
      </c>
      <c r="G145" s="1">
        <v>1943.74</v>
      </c>
      <c r="H145" s="3">
        <v>0</v>
      </c>
      <c r="I145" s="1">
        <f t="shared" si="21"/>
        <v>0</v>
      </c>
      <c r="K145" s="1">
        <v>2.8977000000000001E-4</v>
      </c>
      <c r="L145" s="1">
        <v>1943.74</v>
      </c>
      <c r="M145" s="3">
        <v>0</v>
      </c>
      <c r="N145" s="1">
        <f t="shared" si="22"/>
        <v>0</v>
      </c>
      <c r="P145" s="1">
        <v>2.8977000000000001E-4</v>
      </c>
      <c r="Q145" s="1">
        <v>1943.74</v>
      </c>
      <c r="R145" s="3">
        <v>0</v>
      </c>
      <c r="S145" s="1">
        <f t="shared" si="23"/>
        <v>0</v>
      </c>
      <c r="U145" s="1">
        <v>2.8977000000000001E-4</v>
      </c>
      <c r="V145" s="1">
        <v>1943.74</v>
      </c>
      <c r="W145" s="16">
        <v>0</v>
      </c>
      <c r="X145" s="1">
        <f t="shared" si="24"/>
        <v>0</v>
      </c>
      <c r="Z145" s="1">
        <v>2.8977000000000001E-4</v>
      </c>
      <c r="AA145" s="1">
        <v>1943.74</v>
      </c>
      <c r="AB145" s="3">
        <v>0</v>
      </c>
      <c r="AC145" s="1">
        <f t="shared" si="25"/>
        <v>0</v>
      </c>
      <c r="AE145" s="1">
        <v>2.8977000000000001E-4</v>
      </c>
      <c r="AF145" s="1">
        <v>1943.74</v>
      </c>
      <c r="AG145" s="3">
        <v>0</v>
      </c>
      <c r="AH145" s="1">
        <f t="shared" si="26"/>
        <v>0</v>
      </c>
      <c r="AJ145" s="1">
        <v>2.8977000000000001E-4</v>
      </c>
      <c r="AK145" s="1">
        <v>1943.74</v>
      </c>
      <c r="AL145" s="2">
        <v>3.1092073950619703E-5</v>
      </c>
      <c r="AM145" s="1">
        <f t="shared" si="27"/>
        <v>6.0434907820777539E-2</v>
      </c>
      <c r="AO145" s="1">
        <v>2.8977000000000001E-4</v>
      </c>
      <c r="AP145" s="1">
        <v>1943.74</v>
      </c>
      <c r="AQ145" s="2">
        <v>2.9920631480445002E-7</v>
      </c>
      <c r="AR145" s="1">
        <f t="shared" si="28"/>
        <v>5.8157928233800165E-4</v>
      </c>
      <c r="AT145" s="1">
        <v>2.8977000000000001E-4</v>
      </c>
      <c r="AU145" s="1">
        <v>1943.74</v>
      </c>
      <c r="AV145" s="3">
        <v>0</v>
      </c>
      <c r="AW145" s="1">
        <f t="shared" si="29"/>
        <v>0</v>
      </c>
    </row>
    <row r="146" spans="1:49" x14ac:dyDescent="0.3">
      <c r="A146" s="1">
        <v>3.2704000000000001E-4</v>
      </c>
      <c r="B146" s="1">
        <v>1998.06</v>
      </c>
      <c r="C146" s="3">
        <v>1.5600973418374801E-2</v>
      </c>
      <c r="D146" s="1">
        <f t="shared" si="20"/>
        <v>31.171680948317952</v>
      </c>
      <c r="F146" s="1">
        <v>3.2704000000000001E-4</v>
      </c>
      <c r="G146" s="1">
        <v>1998.06</v>
      </c>
      <c r="H146" s="3">
        <v>0</v>
      </c>
      <c r="I146" s="1">
        <f t="shared" si="21"/>
        <v>0</v>
      </c>
      <c r="K146" s="1">
        <v>3.2704000000000001E-4</v>
      </c>
      <c r="L146" s="1">
        <v>1998.06</v>
      </c>
      <c r="M146" s="3">
        <v>0</v>
      </c>
      <c r="N146" s="1">
        <f t="shared" si="22"/>
        <v>0</v>
      </c>
      <c r="P146" s="1">
        <v>3.2704000000000001E-4</v>
      </c>
      <c r="Q146" s="1">
        <v>1998.06</v>
      </c>
      <c r="R146" s="3">
        <v>0</v>
      </c>
      <c r="S146" s="1">
        <f t="shared" si="23"/>
        <v>0</v>
      </c>
      <c r="U146" s="1">
        <v>3.2704000000000001E-4</v>
      </c>
      <c r="V146" s="1">
        <v>1998.06</v>
      </c>
      <c r="W146" s="16">
        <v>0</v>
      </c>
      <c r="X146" s="1">
        <f t="shared" si="24"/>
        <v>0</v>
      </c>
      <c r="Z146" s="1">
        <v>3.2704000000000001E-4</v>
      </c>
      <c r="AA146" s="1">
        <v>1998.06</v>
      </c>
      <c r="AB146" s="3">
        <v>0</v>
      </c>
      <c r="AC146" s="1">
        <f t="shared" si="25"/>
        <v>0</v>
      </c>
      <c r="AE146" s="1">
        <v>3.2704000000000001E-4</v>
      </c>
      <c r="AF146" s="1">
        <v>1998.06</v>
      </c>
      <c r="AG146" s="3">
        <v>0</v>
      </c>
      <c r="AH146" s="1">
        <f t="shared" si="26"/>
        <v>0</v>
      </c>
      <c r="AJ146" s="1">
        <v>3.2704000000000001E-4</v>
      </c>
      <c r="AK146" s="1">
        <v>1998.06</v>
      </c>
      <c r="AL146" s="2">
        <v>2.9763762931676601E-5</v>
      </c>
      <c r="AM146" s="1">
        <f t="shared" si="27"/>
        <v>5.9469784163265746E-2</v>
      </c>
      <c r="AO146" s="1">
        <v>3.2704000000000001E-4</v>
      </c>
      <c r="AP146" s="1">
        <v>1998.06</v>
      </c>
      <c r="AQ146" s="2">
        <v>1.9289667580620201E-7</v>
      </c>
      <c r="AR146" s="1">
        <f t="shared" si="28"/>
        <v>3.8541913206133996E-4</v>
      </c>
      <c r="AT146" s="1">
        <v>3.2704000000000001E-4</v>
      </c>
      <c r="AU146" s="1">
        <v>1998.06</v>
      </c>
      <c r="AV146" s="3">
        <v>0</v>
      </c>
      <c r="AW146" s="1">
        <f t="shared" si="29"/>
        <v>0</v>
      </c>
    </row>
    <row r="147" spans="1:49" x14ac:dyDescent="0.3">
      <c r="A147" s="1">
        <v>3.6910000000000003E-4</v>
      </c>
      <c r="B147" s="1">
        <v>1872.23</v>
      </c>
      <c r="C147" s="3">
        <v>7.9652795946978106E-3</v>
      </c>
      <c r="D147" s="1">
        <f t="shared" si="20"/>
        <v>14.912835415581082</v>
      </c>
      <c r="F147" s="1">
        <v>3.6910000000000003E-4</v>
      </c>
      <c r="G147" s="1">
        <v>1872.23</v>
      </c>
      <c r="H147" s="3">
        <v>0</v>
      </c>
      <c r="I147" s="1">
        <f t="shared" si="21"/>
        <v>0</v>
      </c>
      <c r="K147" s="1">
        <v>3.6910000000000003E-4</v>
      </c>
      <c r="L147" s="1">
        <v>1872.23</v>
      </c>
      <c r="M147" s="3">
        <v>0</v>
      </c>
      <c r="N147" s="1">
        <f t="shared" si="22"/>
        <v>0</v>
      </c>
      <c r="P147" s="1">
        <v>3.6910000000000003E-4</v>
      </c>
      <c r="Q147" s="1">
        <v>1872.23</v>
      </c>
      <c r="R147" s="3">
        <v>0</v>
      </c>
      <c r="S147" s="1">
        <f t="shared" si="23"/>
        <v>0</v>
      </c>
      <c r="U147" s="1">
        <v>3.6910000000000003E-4</v>
      </c>
      <c r="V147" s="1">
        <v>1872.23</v>
      </c>
      <c r="W147" s="16">
        <v>0</v>
      </c>
      <c r="X147" s="1">
        <f t="shared" si="24"/>
        <v>0</v>
      </c>
      <c r="Z147" s="1">
        <v>3.6910000000000003E-4</v>
      </c>
      <c r="AA147" s="1">
        <v>1872.23</v>
      </c>
      <c r="AB147" s="3">
        <v>0</v>
      </c>
      <c r="AC147" s="1">
        <f t="shared" si="25"/>
        <v>0</v>
      </c>
      <c r="AE147" s="1">
        <v>3.6910000000000003E-4</v>
      </c>
      <c r="AF147" s="1">
        <v>1872.23</v>
      </c>
      <c r="AG147" s="3">
        <v>0</v>
      </c>
      <c r="AH147" s="1">
        <f t="shared" si="26"/>
        <v>0</v>
      </c>
      <c r="AJ147" s="1">
        <v>3.6910000000000003E-4</v>
      </c>
      <c r="AK147" s="1">
        <v>1872.23</v>
      </c>
      <c r="AL147" s="2">
        <v>2.8652418037548401E-5</v>
      </c>
      <c r="AM147" s="1">
        <f t="shared" si="27"/>
        <v>5.3643916622439246E-2</v>
      </c>
      <c r="AO147" s="1">
        <v>3.6910000000000003E-4</v>
      </c>
      <c r="AP147" s="1">
        <v>1872.23</v>
      </c>
      <c r="AQ147" s="2">
        <v>1.3751210751673101E-7</v>
      </c>
      <c r="AR147" s="1">
        <f t="shared" si="28"/>
        <v>2.5745429305604927E-4</v>
      </c>
      <c r="AT147" s="1">
        <v>3.6910000000000003E-4</v>
      </c>
      <c r="AU147" s="1">
        <v>1872.23</v>
      </c>
      <c r="AV147" s="3">
        <v>0</v>
      </c>
      <c r="AW147" s="1">
        <f t="shared" si="29"/>
        <v>0</v>
      </c>
    </row>
    <row r="148" spans="1:49" x14ac:dyDescent="0.3">
      <c r="A148" s="1">
        <v>4.1658E-4</v>
      </c>
      <c r="B148" s="1">
        <v>2152.0100000000002</v>
      </c>
      <c r="C148" s="3">
        <v>6.1231741354656199E-3</v>
      </c>
      <c r="D148" s="1">
        <f t="shared" si="20"/>
        <v>13.177131971263369</v>
      </c>
      <c r="F148" s="1">
        <v>4.1658E-4</v>
      </c>
      <c r="G148" s="1">
        <v>2152.0100000000002</v>
      </c>
      <c r="H148" s="3">
        <v>0</v>
      </c>
      <c r="I148" s="1">
        <f t="shared" si="21"/>
        <v>0</v>
      </c>
      <c r="K148" s="1">
        <v>4.1658E-4</v>
      </c>
      <c r="L148" s="1">
        <v>2152.0100000000002</v>
      </c>
      <c r="M148" s="3">
        <v>0</v>
      </c>
      <c r="N148" s="1">
        <f t="shared" si="22"/>
        <v>0</v>
      </c>
      <c r="P148" s="1">
        <v>4.1658E-4</v>
      </c>
      <c r="Q148" s="1">
        <v>2152.0100000000002</v>
      </c>
      <c r="R148" s="3">
        <v>0</v>
      </c>
      <c r="S148" s="1">
        <f t="shared" si="23"/>
        <v>0</v>
      </c>
      <c r="U148" s="1">
        <v>4.1658E-4</v>
      </c>
      <c r="V148" s="1">
        <v>2152.0100000000002</v>
      </c>
      <c r="W148" s="16">
        <v>0</v>
      </c>
      <c r="X148" s="1">
        <f t="shared" si="24"/>
        <v>0</v>
      </c>
      <c r="Z148" s="1">
        <v>4.1658E-4</v>
      </c>
      <c r="AA148" s="1">
        <v>2152.0100000000002</v>
      </c>
      <c r="AB148" s="3">
        <v>0</v>
      </c>
      <c r="AC148" s="1">
        <f t="shared" si="25"/>
        <v>0</v>
      </c>
      <c r="AE148" s="1">
        <v>4.1658E-4</v>
      </c>
      <c r="AF148" s="1">
        <v>2152.0100000000002</v>
      </c>
      <c r="AG148" s="3">
        <v>0</v>
      </c>
      <c r="AH148" s="1">
        <f t="shared" si="26"/>
        <v>0</v>
      </c>
      <c r="AJ148" s="1">
        <v>4.1658E-4</v>
      </c>
      <c r="AK148" s="1">
        <v>2152.0100000000002</v>
      </c>
      <c r="AL148" s="2">
        <v>2.7920163492515401E-5</v>
      </c>
      <c r="AM148" s="1">
        <f t="shared" si="27"/>
        <v>6.0084471037528071E-2</v>
      </c>
      <c r="AO148" s="1">
        <v>4.1658E-4</v>
      </c>
      <c r="AP148" s="1">
        <v>2152.0100000000002</v>
      </c>
      <c r="AQ148" s="2">
        <v>1.02009300715047E-7</v>
      </c>
      <c r="AR148" s="1">
        <f t="shared" si="28"/>
        <v>2.1952503523178834E-4</v>
      </c>
      <c r="AT148" s="1">
        <v>4.1658E-4</v>
      </c>
      <c r="AU148" s="1">
        <v>2152.0100000000002</v>
      </c>
      <c r="AV148" s="3">
        <v>0</v>
      </c>
      <c r="AW148" s="1">
        <f t="shared" si="29"/>
        <v>0</v>
      </c>
    </row>
    <row r="149" spans="1:49" x14ac:dyDescent="0.3">
      <c r="A149" s="1">
        <v>4.7016000000000001E-4</v>
      </c>
      <c r="B149" s="1">
        <v>2267.89</v>
      </c>
      <c r="C149" s="3">
        <v>6.3916397890329997E-3</v>
      </c>
      <c r="D149" s="1">
        <f t="shared" si="20"/>
        <v>14.495535961150049</v>
      </c>
      <c r="F149" s="1">
        <v>4.7016000000000001E-4</v>
      </c>
      <c r="G149" s="1">
        <v>2267.89</v>
      </c>
      <c r="H149" s="3">
        <v>0</v>
      </c>
      <c r="I149" s="1">
        <f t="shared" si="21"/>
        <v>0</v>
      </c>
      <c r="K149" s="1">
        <v>4.7016000000000001E-4</v>
      </c>
      <c r="L149" s="1">
        <v>2267.89</v>
      </c>
      <c r="M149" s="3">
        <v>0</v>
      </c>
      <c r="N149" s="1">
        <f t="shared" si="22"/>
        <v>0</v>
      </c>
      <c r="P149" s="1">
        <v>4.7016000000000001E-4</v>
      </c>
      <c r="Q149" s="1">
        <v>2267.89</v>
      </c>
      <c r="R149" s="3">
        <v>0</v>
      </c>
      <c r="S149" s="1">
        <f t="shared" si="23"/>
        <v>0</v>
      </c>
      <c r="U149" s="1">
        <v>4.7016000000000001E-4</v>
      </c>
      <c r="V149" s="1">
        <v>2267.89</v>
      </c>
      <c r="W149" s="16">
        <v>0</v>
      </c>
      <c r="X149" s="1">
        <f t="shared" si="24"/>
        <v>0</v>
      </c>
      <c r="Z149" s="1">
        <v>4.7016000000000001E-4</v>
      </c>
      <c r="AA149" s="1">
        <v>2267.89</v>
      </c>
      <c r="AB149" s="3">
        <v>0</v>
      </c>
      <c r="AC149" s="1">
        <f t="shared" si="25"/>
        <v>0</v>
      </c>
      <c r="AE149" s="1">
        <v>4.7016000000000001E-4</v>
      </c>
      <c r="AF149" s="1">
        <v>2267.89</v>
      </c>
      <c r="AG149" s="3">
        <v>0</v>
      </c>
      <c r="AH149" s="1">
        <f t="shared" si="26"/>
        <v>0</v>
      </c>
      <c r="AJ149" s="1">
        <v>4.7016000000000001E-4</v>
      </c>
      <c r="AK149" s="1">
        <v>2267.89</v>
      </c>
      <c r="AL149" s="2">
        <v>2.76249328622176E-5</v>
      </c>
      <c r="AM149" s="1">
        <f t="shared" si="27"/>
        <v>6.2650308988894662E-2</v>
      </c>
      <c r="AO149" s="1">
        <v>4.7016000000000001E-4</v>
      </c>
      <c r="AP149" s="1">
        <v>2267.89</v>
      </c>
      <c r="AQ149" s="2">
        <v>7.98600545476973E-8</v>
      </c>
      <c r="AR149" s="1">
        <f t="shared" si="28"/>
        <v>1.8111381910817723E-4</v>
      </c>
      <c r="AT149" s="1">
        <v>4.7016000000000001E-4</v>
      </c>
      <c r="AU149" s="1">
        <v>2267.89</v>
      </c>
      <c r="AV149" s="3">
        <v>0</v>
      </c>
      <c r="AW149" s="1">
        <f t="shared" si="29"/>
        <v>0</v>
      </c>
    </row>
    <row r="150" spans="1:49" x14ac:dyDescent="0.3">
      <c r="A150" s="1">
        <v>5.3063999999999997E-4</v>
      </c>
      <c r="B150" s="1">
        <v>2097.77</v>
      </c>
      <c r="C150" s="3">
        <v>6.1793432605601302E-3</v>
      </c>
      <c r="D150" s="1">
        <f t="shared" si="20"/>
        <v>12.962840911705225</v>
      </c>
      <c r="F150" s="1">
        <v>5.3063999999999997E-4</v>
      </c>
      <c r="G150" s="1">
        <v>2097.77</v>
      </c>
      <c r="H150" s="3">
        <v>0</v>
      </c>
      <c r="I150" s="1">
        <f t="shared" si="21"/>
        <v>0</v>
      </c>
      <c r="K150" s="1">
        <v>5.3063999999999997E-4</v>
      </c>
      <c r="L150" s="1">
        <v>2097.77</v>
      </c>
      <c r="M150" s="3">
        <v>0</v>
      </c>
      <c r="N150" s="1">
        <f t="shared" si="22"/>
        <v>0</v>
      </c>
      <c r="P150" s="1">
        <v>5.3063999999999997E-4</v>
      </c>
      <c r="Q150" s="1">
        <v>2097.77</v>
      </c>
      <c r="R150" s="3">
        <v>0</v>
      </c>
      <c r="S150" s="1">
        <f t="shared" si="23"/>
        <v>0</v>
      </c>
      <c r="U150" s="1">
        <v>5.3063999999999997E-4</v>
      </c>
      <c r="V150" s="1">
        <v>2097.77</v>
      </c>
      <c r="W150" s="16">
        <v>0</v>
      </c>
      <c r="X150" s="1">
        <f t="shared" si="24"/>
        <v>0</v>
      </c>
      <c r="Z150" s="1">
        <v>5.3063999999999997E-4</v>
      </c>
      <c r="AA150" s="1">
        <v>2097.77</v>
      </c>
      <c r="AB150" s="3">
        <v>0</v>
      </c>
      <c r="AC150" s="1">
        <f t="shared" si="25"/>
        <v>0</v>
      </c>
      <c r="AE150" s="1">
        <v>5.3063999999999997E-4</v>
      </c>
      <c r="AF150" s="1">
        <v>2097.77</v>
      </c>
      <c r="AG150" s="3">
        <v>0</v>
      </c>
      <c r="AH150" s="1">
        <f t="shared" si="26"/>
        <v>0</v>
      </c>
      <c r="AJ150" s="1">
        <v>5.3063999999999997E-4</v>
      </c>
      <c r="AK150" s="1">
        <v>2097.77</v>
      </c>
      <c r="AL150" s="2">
        <v>2.7197367827556801E-5</v>
      </c>
      <c r="AM150" s="1">
        <f t="shared" si="27"/>
        <v>5.7053822307613834E-2</v>
      </c>
      <c r="AO150" s="1">
        <v>5.3063999999999997E-4</v>
      </c>
      <c r="AP150" s="1">
        <v>2097.77</v>
      </c>
      <c r="AQ150" s="2">
        <v>6.3934967096383094E-8</v>
      </c>
      <c r="AR150" s="1">
        <f t="shared" si="28"/>
        <v>1.3412085592577955E-4</v>
      </c>
      <c r="AT150" s="1">
        <v>5.3063999999999997E-4</v>
      </c>
      <c r="AU150" s="1">
        <v>2097.77</v>
      </c>
      <c r="AV150" s="3">
        <v>0</v>
      </c>
      <c r="AW150" s="1">
        <f t="shared" si="29"/>
        <v>0</v>
      </c>
    </row>
    <row r="151" spans="1:49" x14ac:dyDescent="0.3">
      <c r="A151" s="1">
        <v>5.9889000000000003E-4</v>
      </c>
      <c r="B151" s="1">
        <v>1841.27</v>
      </c>
      <c r="C151" s="3">
        <v>4.6518890224115103E-3</v>
      </c>
      <c r="D151" s="1">
        <f t="shared" si="20"/>
        <v>8.5653837002956408</v>
      </c>
      <c r="F151" s="1">
        <v>5.9889000000000003E-4</v>
      </c>
      <c r="G151" s="1">
        <v>1841.27</v>
      </c>
      <c r="H151" s="3">
        <v>0</v>
      </c>
      <c r="I151" s="1">
        <f t="shared" si="21"/>
        <v>0</v>
      </c>
      <c r="K151" s="1">
        <v>5.9889000000000003E-4</v>
      </c>
      <c r="L151" s="1">
        <v>1841.27</v>
      </c>
      <c r="M151" s="3">
        <v>0</v>
      </c>
      <c r="N151" s="1">
        <f t="shared" si="22"/>
        <v>0</v>
      </c>
      <c r="P151" s="1">
        <v>5.9889000000000003E-4</v>
      </c>
      <c r="Q151" s="1">
        <v>1841.27</v>
      </c>
      <c r="R151" s="3">
        <v>0</v>
      </c>
      <c r="S151" s="1">
        <f t="shared" si="23"/>
        <v>0</v>
      </c>
      <c r="U151" s="1">
        <v>5.9889000000000003E-4</v>
      </c>
      <c r="V151" s="1">
        <v>1841.27</v>
      </c>
      <c r="W151" s="16">
        <v>0</v>
      </c>
      <c r="X151" s="1">
        <f t="shared" si="24"/>
        <v>0</v>
      </c>
      <c r="Z151" s="1">
        <v>5.9889000000000003E-4</v>
      </c>
      <c r="AA151" s="1">
        <v>1841.27</v>
      </c>
      <c r="AB151" s="3">
        <v>0</v>
      </c>
      <c r="AC151" s="1">
        <f t="shared" si="25"/>
        <v>0</v>
      </c>
      <c r="AE151" s="1">
        <v>5.9889000000000003E-4</v>
      </c>
      <c r="AF151" s="1">
        <v>1841.27</v>
      </c>
      <c r="AG151" s="3">
        <v>0</v>
      </c>
      <c r="AH151" s="1">
        <f t="shared" si="26"/>
        <v>0</v>
      </c>
      <c r="AJ151" s="1">
        <v>5.9889000000000003E-4</v>
      </c>
      <c r="AK151" s="1">
        <v>1841.27</v>
      </c>
      <c r="AL151" s="2">
        <v>2.7117359424855101E-5</v>
      </c>
      <c r="AM151" s="1">
        <f t="shared" si="27"/>
        <v>4.9930380388202952E-2</v>
      </c>
      <c r="AO151" s="1">
        <v>5.9889000000000003E-4</v>
      </c>
      <c r="AP151" s="1">
        <v>1841.27</v>
      </c>
      <c r="AQ151" s="2">
        <v>5.2937490644305402E-8</v>
      </c>
      <c r="AR151" s="1">
        <f t="shared" si="28"/>
        <v>9.7472213398640207E-5</v>
      </c>
      <c r="AT151" s="1">
        <v>5.9889000000000003E-4</v>
      </c>
      <c r="AU151" s="1">
        <v>1841.27</v>
      </c>
      <c r="AV151" s="3">
        <v>0</v>
      </c>
      <c r="AW151" s="1">
        <f t="shared" si="29"/>
        <v>0</v>
      </c>
    </row>
    <row r="152" spans="1:49" x14ac:dyDescent="0.3">
      <c r="A152" s="1">
        <v>6.7591999999999999E-4</v>
      </c>
      <c r="B152" s="1">
        <v>1829.24</v>
      </c>
      <c r="C152" s="3">
        <v>4.6814794818998704E-3</v>
      </c>
      <c r="D152" s="1">
        <f t="shared" si="20"/>
        <v>8.5635495274705189</v>
      </c>
      <c r="F152" s="1">
        <v>6.7591999999999999E-4</v>
      </c>
      <c r="G152" s="1">
        <v>1829.24</v>
      </c>
      <c r="H152" s="3">
        <v>0</v>
      </c>
      <c r="I152" s="1">
        <f t="shared" si="21"/>
        <v>0</v>
      </c>
      <c r="K152" s="1">
        <v>6.7591999999999999E-4</v>
      </c>
      <c r="L152" s="1">
        <v>1829.24</v>
      </c>
      <c r="M152" s="3">
        <v>0</v>
      </c>
      <c r="N152" s="1">
        <f t="shared" si="22"/>
        <v>0</v>
      </c>
      <c r="P152" s="1">
        <v>6.7591999999999999E-4</v>
      </c>
      <c r="Q152" s="1">
        <v>1829.24</v>
      </c>
      <c r="R152" s="3">
        <v>0</v>
      </c>
      <c r="S152" s="1">
        <f t="shared" si="23"/>
        <v>0</v>
      </c>
      <c r="U152" s="1">
        <v>6.7591999999999999E-4</v>
      </c>
      <c r="V152" s="1">
        <v>1829.24</v>
      </c>
      <c r="W152" s="16">
        <v>0</v>
      </c>
      <c r="X152" s="1">
        <f t="shared" si="24"/>
        <v>0</v>
      </c>
      <c r="Z152" s="1">
        <v>6.7591999999999999E-4</v>
      </c>
      <c r="AA152" s="1">
        <v>1829.24</v>
      </c>
      <c r="AB152" s="3">
        <v>0</v>
      </c>
      <c r="AC152" s="1">
        <f t="shared" si="25"/>
        <v>0</v>
      </c>
      <c r="AE152" s="1">
        <v>6.7591999999999999E-4</v>
      </c>
      <c r="AF152" s="1">
        <v>1829.24</v>
      </c>
      <c r="AG152" s="3">
        <v>0</v>
      </c>
      <c r="AH152" s="1">
        <f t="shared" si="26"/>
        <v>0</v>
      </c>
      <c r="AJ152" s="1">
        <v>6.7591999999999999E-4</v>
      </c>
      <c r="AK152" s="1">
        <v>1829.24</v>
      </c>
      <c r="AL152" s="2">
        <v>2.7475171377927902E-5</v>
      </c>
      <c r="AM152" s="1">
        <f t="shared" si="27"/>
        <v>5.0258682491360833E-2</v>
      </c>
      <c r="AO152" s="1">
        <v>6.7591999999999999E-4</v>
      </c>
      <c r="AP152" s="1">
        <v>1829.24</v>
      </c>
      <c r="AQ152" s="2">
        <v>4.5586822779226298E-8</v>
      </c>
      <c r="AR152" s="1">
        <f t="shared" si="28"/>
        <v>8.338923970067192E-5</v>
      </c>
      <c r="AT152" s="1">
        <v>6.7591999999999999E-4</v>
      </c>
      <c r="AU152" s="1">
        <v>1829.24</v>
      </c>
      <c r="AV152" s="3">
        <v>0</v>
      </c>
      <c r="AW152" s="1">
        <f t="shared" si="29"/>
        <v>0</v>
      </c>
    </row>
    <row r="153" spans="1:49" x14ac:dyDescent="0.3">
      <c r="A153" s="1">
        <v>7.6285999999999997E-4</v>
      </c>
      <c r="B153" s="1">
        <v>1831.38</v>
      </c>
      <c r="C153" s="3">
        <v>4.2528481529155804E-3</v>
      </c>
      <c r="D153" s="1">
        <f t="shared" si="20"/>
        <v>7.7885810502865365</v>
      </c>
      <c r="F153" s="1">
        <v>7.6285999999999997E-4</v>
      </c>
      <c r="G153" s="1">
        <v>1831.38</v>
      </c>
      <c r="H153" s="3">
        <v>0</v>
      </c>
      <c r="I153" s="1">
        <f t="shared" si="21"/>
        <v>0</v>
      </c>
      <c r="K153" s="1">
        <v>7.6285999999999997E-4</v>
      </c>
      <c r="L153" s="1">
        <v>1831.38</v>
      </c>
      <c r="M153" s="3">
        <v>0</v>
      </c>
      <c r="N153" s="1">
        <f t="shared" si="22"/>
        <v>0</v>
      </c>
      <c r="P153" s="1">
        <v>7.6285999999999997E-4</v>
      </c>
      <c r="Q153" s="1">
        <v>1831.38</v>
      </c>
      <c r="R153" s="3">
        <v>0</v>
      </c>
      <c r="S153" s="1">
        <f t="shared" si="23"/>
        <v>0</v>
      </c>
      <c r="U153" s="1">
        <v>7.6285999999999997E-4</v>
      </c>
      <c r="V153" s="1">
        <v>1831.38</v>
      </c>
      <c r="W153" s="16">
        <v>0</v>
      </c>
      <c r="X153" s="1">
        <f t="shared" si="24"/>
        <v>0</v>
      </c>
      <c r="Z153" s="1">
        <v>7.6285999999999997E-4</v>
      </c>
      <c r="AA153" s="1">
        <v>1831.38</v>
      </c>
      <c r="AB153" s="3">
        <v>0</v>
      </c>
      <c r="AC153" s="1">
        <f t="shared" si="25"/>
        <v>0</v>
      </c>
      <c r="AE153" s="1">
        <v>7.6285999999999997E-4</v>
      </c>
      <c r="AF153" s="1">
        <v>1831.38</v>
      </c>
      <c r="AG153" s="3">
        <v>0</v>
      </c>
      <c r="AH153" s="1">
        <f t="shared" si="26"/>
        <v>0</v>
      </c>
      <c r="AJ153" s="1">
        <v>7.6285999999999997E-4</v>
      </c>
      <c r="AK153" s="1">
        <v>1831.38</v>
      </c>
      <c r="AL153" s="2">
        <v>2.8101156467202998E-5</v>
      </c>
      <c r="AM153" s="1">
        <f t="shared" si="27"/>
        <v>5.146389593090623E-2</v>
      </c>
      <c r="AO153" s="1">
        <v>7.6285999999999997E-4</v>
      </c>
      <c r="AP153" s="1">
        <v>1831.38</v>
      </c>
      <c r="AQ153" s="2">
        <v>3.9356491536207397E-8</v>
      </c>
      <c r="AR153" s="1">
        <f t="shared" si="28"/>
        <v>7.2076691469579504E-5</v>
      </c>
      <c r="AT153" s="1">
        <v>7.6285999999999997E-4</v>
      </c>
      <c r="AU153" s="1">
        <v>1831.38</v>
      </c>
      <c r="AV153" s="3">
        <v>0</v>
      </c>
      <c r="AW153" s="1">
        <f t="shared" si="29"/>
        <v>0</v>
      </c>
    </row>
    <row r="154" spans="1:49" x14ac:dyDescent="0.3">
      <c r="A154" s="1">
        <v>8.6098000000000001E-4</v>
      </c>
      <c r="B154" s="1">
        <v>1725.01</v>
      </c>
      <c r="C154" s="3">
        <v>4.3593789986010401E-3</v>
      </c>
      <c r="D154" s="1">
        <f t="shared" si="20"/>
        <v>7.5199723663767806</v>
      </c>
      <c r="F154" s="1">
        <v>8.6098000000000001E-4</v>
      </c>
      <c r="G154" s="1">
        <v>1725.01</v>
      </c>
      <c r="H154" s="3">
        <v>0</v>
      </c>
      <c r="I154" s="1">
        <f t="shared" si="21"/>
        <v>0</v>
      </c>
      <c r="K154" s="1">
        <v>8.6098000000000001E-4</v>
      </c>
      <c r="L154" s="1">
        <v>1725.01</v>
      </c>
      <c r="M154" s="3">
        <v>0</v>
      </c>
      <c r="N154" s="1">
        <f t="shared" si="22"/>
        <v>0</v>
      </c>
      <c r="P154" s="1">
        <v>8.6098000000000001E-4</v>
      </c>
      <c r="Q154" s="1">
        <v>1725.01</v>
      </c>
      <c r="R154" s="3">
        <v>0</v>
      </c>
      <c r="S154" s="1">
        <f t="shared" si="23"/>
        <v>0</v>
      </c>
      <c r="U154" s="1">
        <v>8.6098000000000001E-4</v>
      </c>
      <c r="V154" s="1">
        <v>1725.01</v>
      </c>
      <c r="W154" s="16">
        <v>0</v>
      </c>
      <c r="X154" s="1">
        <f t="shared" si="24"/>
        <v>0</v>
      </c>
      <c r="Z154" s="1">
        <v>8.6098000000000001E-4</v>
      </c>
      <c r="AA154" s="1">
        <v>1725.01</v>
      </c>
      <c r="AB154" s="3">
        <v>0</v>
      </c>
      <c r="AC154" s="1">
        <f t="shared" si="25"/>
        <v>0</v>
      </c>
      <c r="AE154" s="1">
        <v>8.6098000000000001E-4</v>
      </c>
      <c r="AF154" s="1">
        <v>1725.01</v>
      </c>
      <c r="AG154" s="3">
        <v>0</v>
      </c>
      <c r="AH154" s="1">
        <f t="shared" si="26"/>
        <v>0</v>
      </c>
      <c r="AJ154" s="1">
        <v>8.6098000000000001E-4</v>
      </c>
      <c r="AK154" s="1">
        <v>1725.01</v>
      </c>
      <c r="AL154" s="2">
        <v>2.8821256596389099E-5</v>
      </c>
      <c r="AM154" s="1">
        <f t="shared" si="27"/>
        <v>4.971695584133716E-2</v>
      </c>
      <c r="AO154" s="1">
        <v>8.6098000000000001E-4</v>
      </c>
      <c r="AP154" s="1">
        <v>1725.01</v>
      </c>
      <c r="AQ154" s="2">
        <v>3.4788331442659402E-8</v>
      </c>
      <c r="AR154" s="1">
        <f t="shared" si="28"/>
        <v>6.0010219621901892E-5</v>
      </c>
      <c r="AT154" s="1">
        <v>8.6098000000000001E-4</v>
      </c>
      <c r="AU154" s="1">
        <v>1725.01</v>
      </c>
      <c r="AV154" s="3">
        <v>0</v>
      </c>
      <c r="AW154" s="1">
        <f t="shared" si="29"/>
        <v>0</v>
      </c>
    </row>
    <row r="155" spans="1:49" x14ac:dyDescent="0.3">
      <c r="A155" s="1">
        <v>9.7172999999999997E-4</v>
      </c>
      <c r="B155" s="1">
        <v>1929.99</v>
      </c>
      <c r="C155" s="3">
        <v>2.0885562538030598E-3</v>
      </c>
      <c r="D155" s="1">
        <f t="shared" si="20"/>
        <v>4.0308926842773678</v>
      </c>
      <c r="F155" s="1">
        <v>9.7172999999999997E-4</v>
      </c>
      <c r="G155" s="1">
        <v>1929.99</v>
      </c>
      <c r="H155" s="3">
        <v>0</v>
      </c>
      <c r="I155" s="1">
        <f t="shared" si="21"/>
        <v>0</v>
      </c>
      <c r="K155" s="1">
        <v>9.7172999999999997E-4</v>
      </c>
      <c r="L155" s="1">
        <v>1929.99</v>
      </c>
      <c r="M155" s="3">
        <v>0</v>
      </c>
      <c r="N155" s="1">
        <f t="shared" si="22"/>
        <v>0</v>
      </c>
      <c r="P155" s="1">
        <v>9.7172999999999997E-4</v>
      </c>
      <c r="Q155" s="1">
        <v>1929.99</v>
      </c>
      <c r="R155" s="3">
        <v>0</v>
      </c>
      <c r="S155" s="1">
        <f t="shared" si="23"/>
        <v>0</v>
      </c>
      <c r="U155" s="1">
        <v>9.7172999999999997E-4</v>
      </c>
      <c r="V155" s="1">
        <v>1929.99</v>
      </c>
      <c r="W155" s="16">
        <v>0</v>
      </c>
      <c r="X155" s="1">
        <f t="shared" si="24"/>
        <v>0</v>
      </c>
      <c r="Z155" s="1">
        <v>9.7172999999999997E-4</v>
      </c>
      <c r="AA155" s="1">
        <v>1929.99</v>
      </c>
      <c r="AB155" s="3">
        <v>0</v>
      </c>
      <c r="AC155" s="1">
        <f t="shared" si="25"/>
        <v>0</v>
      </c>
      <c r="AE155" s="1">
        <v>9.7172999999999997E-4</v>
      </c>
      <c r="AF155" s="1">
        <v>1929.99</v>
      </c>
      <c r="AG155" s="3">
        <v>0</v>
      </c>
      <c r="AH155" s="1">
        <f t="shared" si="26"/>
        <v>0</v>
      </c>
      <c r="AJ155" s="1">
        <v>9.7172999999999997E-4</v>
      </c>
      <c r="AK155" s="1">
        <v>1929.99</v>
      </c>
      <c r="AL155" s="2">
        <v>3.0308187643108102E-5</v>
      </c>
      <c r="AM155" s="1">
        <f t="shared" si="27"/>
        <v>5.8494499069322206E-2</v>
      </c>
      <c r="AO155" s="1">
        <v>9.7172999999999997E-4</v>
      </c>
      <c r="AP155" s="1">
        <v>1929.99</v>
      </c>
      <c r="AQ155" s="2">
        <v>3.0801338505038598E-8</v>
      </c>
      <c r="AR155" s="1">
        <f t="shared" si="28"/>
        <v>5.9446275301339444E-5</v>
      </c>
      <c r="AT155" s="1">
        <v>9.7172999999999997E-4</v>
      </c>
      <c r="AU155" s="1">
        <v>1929.99</v>
      </c>
      <c r="AV155" s="3">
        <v>0</v>
      </c>
      <c r="AW155" s="1">
        <f t="shared" si="29"/>
        <v>0</v>
      </c>
    </row>
    <row r="156" spans="1:49" x14ac:dyDescent="0.3">
      <c r="A156" s="1">
        <v>1.0966999999999999E-3</v>
      </c>
      <c r="B156" s="1">
        <v>1980.84</v>
      </c>
      <c r="C156" s="3">
        <v>3.2495364515324398E-3</v>
      </c>
      <c r="D156" s="1">
        <f t="shared" si="20"/>
        <v>6.4368117846535178</v>
      </c>
      <c r="F156" s="1">
        <v>1.0966999999999999E-3</v>
      </c>
      <c r="G156" s="1">
        <v>1980.84</v>
      </c>
      <c r="H156" s="3">
        <v>0</v>
      </c>
      <c r="I156" s="1">
        <f t="shared" si="21"/>
        <v>0</v>
      </c>
      <c r="K156" s="1">
        <v>1.0966999999999999E-3</v>
      </c>
      <c r="L156" s="1">
        <v>1980.84</v>
      </c>
      <c r="M156" s="3">
        <v>0</v>
      </c>
      <c r="N156" s="1">
        <f t="shared" si="22"/>
        <v>0</v>
      </c>
      <c r="P156" s="1">
        <v>1.0966999999999999E-3</v>
      </c>
      <c r="Q156" s="1">
        <v>1980.84</v>
      </c>
      <c r="R156" s="3">
        <v>0</v>
      </c>
      <c r="S156" s="1">
        <f t="shared" si="23"/>
        <v>0</v>
      </c>
      <c r="U156" s="1">
        <v>1.0966999999999999E-3</v>
      </c>
      <c r="V156" s="1">
        <v>1980.84</v>
      </c>
      <c r="W156" s="16">
        <v>0</v>
      </c>
      <c r="X156" s="1">
        <f t="shared" si="24"/>
        <v>0</v>
      </c>
      <c r="Z156" s="1">
        <v>1.0966999999999999E-3</v>
      </c>
      <c r="AA156" s="1">
        <v>1980.84</v>
      </c>
      <c r="AB156" s="3">
        <v>0</v>
      </c>
      <c r="AC156" s="1">
        <f t="shared" si="25"/>
        <v>0</v>
      </c>
      <c r="AE156" s="1">
        <v>1.0966999999999999E-3</v>
      </c>
      <c r="AF156" s="1">
        <v>1980.84</v>
      </c>
      <c r="AG156" s="3">
        <v>0</v>
      </c>
      <c r="AH156" s="1">
        <f t="shared" si="26"/>
        <v>0</v>
      </c>
      <c r="AJ156" s="1">
        <v>1.0966999999999999E-3</v>
      </c>
      <c r="AK156" s="1">
        <v>1980.84</v>
      </c>
      <c r="AL156" s="2">
        <v>3.22297860855769E-5</v>
      </c>
      <c r="AM156" s="1">
        <f t="shared" si="27"/>
        <v>6.384204946975415E-2</v>
      </c>
      <c r="AO156" s="1">
        <v>1.0966999999999999E-3</v>
      </c>
      <c r="AP156" s="1">
        <v>1980.84</v>
      </c>
      <c r="AQ156" s="2">
        <v>2.7725046018721599E-8</v>
      </c>
      <c r="AR156" s="1">
        <f t="shared" si="28"/>
        <v>5.4918880155724492E-5</v>
      </c>
      <c r="AT156" s="1">
        <v>1.0966999999999999E-3</v>
      </c>
      <c r="AU156" s="1">
        <v>1980.84</v>
      </c>
      <c r="AV156" s="3">
        <v>0</v>
      </c>
      <c r="AW156" s="1">
        <f t="shared" si="29"/>
        <v>0</v>
      </c>
    </row>
    <row r="157" spans="1:49" x14ac:dyDescent="0.3">
      <c r="A157" s="1">
        <v>1.2378000000000001E-3</v>
      </c>
      <c r="B157" s="1">
        <v>1806.72</v>
      </c>
      <c r="C157" s="3">
        <v>2.2664999301195399E-3</v>
      </c>
      <c r="D157" s="1">
        <f t="shared" si="20"/>
        <v>4.094930753745575</v>
      </c>
      <c r="F157" s="1">
        <v>1.2378000000000001E-3</v>
      </c>
      <c r="G157" s="1">
        <v>1806.72</v>
      </c>
      <c r="H157" s="3">
        <v>0</v>
      </c>
      <c r="I157" s="1">
        <f t="shared" si="21"/>
        <v>0</v>
      </c>
      <c r="K157" s="1">
        <v>1.2378000000000001E-3</v>
      </c>
      <c r="L157" s="1">
        <v>1806.72</v>
      </c>
      <c r="M157" s="3">
        <v>0</v>
      </c>
      <c r="N157" s="1">
        <f t="shared" si="22"/>
        <v>0</v>
      </c>
      <c r="P157" s="1">
        <v>1.2378000000000001E-3</v>
      </c>
      <c r="Q157" s="1">
        <v>1806.72</v>
      </c>
      <c r="R157" s="3">
        <v>0</v>
      </c>
      <c r="S157" s="1">
        <f t="shared" si="23"/>
        <v>0</v>
      </c>
      <c r="U157" s="1">
        <v>1.2378000000000001E-3</v>
      </c>
      <c r="V157" s="1">
        <v>1806.72</v>
      </c>
      <c r="W157" s="16">
        <v>0</v>
      </c>
      <c r="X157" s="1">
        <f t="shared" si="24"/>
        <v>0</v>
      </c>
      <c r="Z157" s="1">
        <v>1.2378000000000001E-3</v>
      </c>
      <c r="AA157" s="1">
        <v>1806.72</v>
      </c>
      <c r="AB157" s="3">
        <v>0</v>
      </c>
      <c r="AC157" s="1">
        <f t="shared" si="25"/>
        <v>0</v>
      </c>
      <c r="AE157" s="1">
        <v>1.2378000000000001E-3</v>
      </c>
      <c r="AF157" s="1">
        <v>1806.72</v>
      </c>
      <c r="AG157" s="3">
        <v>0</v>
      </c>
      <c r="AH157" s="1">
        <f t="shared" si="26"/>
        <v>0</v>
      </c>
      <c r="AJ157" s="1">
        <v>1.2378000000000001E-3</v>
      </c>
      <c r="AK157" s="1">
        <v>1806.72</v>
      </c>
      <c r="AL157" s="2">
        <v>3.5352049675726101E-5</v>
      </c>
      <c r="AM157" s="1">
        <f t="shared" si="27"/>
        <v>6.387125519012786E-2</v>
      </c>
      <c r="AO157" s="1">
        <v>1.2378000000000001E-3</v>
      </c>
      <c r="AP157" s="1">
        <v>1806.72</v>
      </c>
      <c r="AQ157" s="2">
        <v>2.5610319894651801E-8</v>
      </c>
      <c r="AR157" s="1">
        <f t="shared" si="28"/>
        <v>4.6270677160065301E-5</v>
      </c>
      <c r="AT157" s="1">
        <v>1.2378000000000001E-3</v>
      </c>
      <c r="AU157" s="1">
        <v>1806.72</v>
      </c>
      <c r="AV157" s="3">
        <v>0</v>
      </c>
      <c r="AW157" s="1">
        <f t="shared" si="29"/>
        <v>0</v>
      </c>
    </row>
    <row r="158" spans="1:49" x14ac:dyDescent="0.3">
      <c r="A158" s="1">
        <v>1.397E-3</v>
      </c>
      <c r="B158" s="1">
        <v>2011.08</v>
      </c>
      <c r="C158" s="3">
        <v>2.0976041879323601E-3</v>
      </c>
      <c r="D158" s="1">
        <f t="shared" si="20"/>
        <v>4.2184498302670104</v>
      </c>
      <c r="F158" s="1">
        <v>1.397E-3</v>
      </c>
      <c r="G158" s="1">
        <v>2011.08</v>
      </c>
      <c r="H158" s="3">
        <v>0</v>
      </c>
      <c r="I158" s="1">
        <f t="shared" si="21"/>
        <v>0</v>
      </c>
      <c r="K158" s="1">
        <v>1.397E-3</v>
      </c>
      <c r="L158" s="1">
        <v>2011.08</v>
      </c>
      <c r="M158" s="3">
        <v>0</v>
      </c>
      <c r="N158" s="1">
        <f t="shared" si="22"/>
        <v>0</v>
      </c>
      <c r="P158" s="1">
        <v>1.397E-3</v>
      </c>
      <c r="Q158" s="1">
        <v>2011.08</v>
      </c>
      <c r="R158" s="3">
        <v>0</v>
      </c>
      <c r="S158" s="1">
        <f t="shared" si="23"/>
        <v>0</v>
      </c>
      <c r="U158" s="1">
        <v>1.397E-3</v>
      </c>
      <c r="V158" s="1">
        <v>2011.08</v>
      </c>
      <c r="W158" s="16">
        <v>0</v>
      </c>
      <c r="X158" s="1">
        <f t="shared" si="24"/>
        <v>0</v>
      </c>
      <c r="Z158" s="1">
        <v>1.397E-3</v>
      </c>
      <c r="AA158" s="1">
        <v>2011.08</v>
      </c>
      <c r="AB158" s="3">
        <v>0</v>
      </c>
      <c r="AC158" s="1">
        <f t="shared" si="25"/>
        <v>0</v>
      </c>
      <c r="AE158" s="1">
        <v>1.397E-3</v>
      </c>
      <c r="AF158" s="1">
        <v>2011.08</v>
      </c>
      <c r="AG158" s="3">
        <v>0</v>
      </c>
      <c r="AH158" s="1">
        <f t="shared" si="26"/>
        <v>0</v>
      </c>
      <c r="AJ158" s="1">
        <v>1.397E-3</v>
      </c>
      <c r="AK158" s="1">
        <v>2011.08</v>
      </c>
      <c r="AL158" s="2">
        <v>4.1140459530157601E-5</v>
      </c>
      <c r="AM158" s="1">
        <f t="shared" si="27"/>
        <v>8.2736755351909344E-2</v>
      </c>
      <c r="AO158" s="1">
        <v>1.397E-3</v>
      </c>
      <c r="AP158" s="1">
        <v>2011.08</v>
      </c>
      <c r="AQ158" s="2">
        <v>5.2623368441298197E-7</v>
      </c>
      <c r="AR158" s="1">
        <f t="shared" si="28"/>
        <v>1.0582980380492598E-3</v>
      </c>
      <c r="AT158" s="1">
        <v>1.397E-3</v>
      </c>
      <c r="AU158" s="1">
        <v>2011.08</v>
      </c>
      <c r="AV158" s="3">
        <v>0</v>
      </c>
      <c r="AW158" s="1">
        <f t="shared" si="29"/>
        <v>0</v>
      </c>
    </row>
    <row r="159" spans="1:49" x14ac:dyDescent="0.3">
      <c r="A159" s="1">
        <v>1.5767000000000001E-3</v>
      </c>
      <c r="B159" s="1">
        <v>1855.43</v>
      </c>
      <c r="C159" s="3">
        <v>1.74587384981775E-3</v>
      </c>
      <c r="D159" s="1">
        <f t="shared" si="20"/>
        <v>3.239346717167348</v>
      </c>
      <c r="F159" s="1">
        <v>1.5767000000000001E-3</v>
      </c>
      <c r="G159" s="1">
        <v>1855.43</v>
      </c>
      <c r="H159" s="3">
        <v>0</v>
      </c>
      <c r="I159" s="1">
        <f t="shared" si="21"/>
        <v>0</v>
      </c>
      <c r="K159" s="1">
        <v>1.5767000000000001E-3</v>
      </c>
      <c r="L159" s="1">
        <v>1855.43</v>
      </c>
      <c r="M159" s="3">
        <v>0</v>
      </c>
      <c r="N159" s="1">
        <f t="shared" si="22"/>
        <v>0</v>
      </c>
      <c r="P159" s="1">
        <v>1.5767000000000001E-3</v>
      </c>
      <c r="Q159" s="1">
        <v>1855.43</v>
      </c>
      <c r="R159" s="3">
        <v>0</v>
      </c>
      <c r="S159" s="1">
        <f t="shared" si="23"/>
        <v>0</v>
      </c>
      <c r="U159" s="1">
        <v>1.5767000000000001E-3</v>
      </c>
      <c r="V159" s="1">
        <v>1855.43</v>
      </c>
      <c r="W159" s="16">
        <v>0</v>
      </c>
      <c r="X159" s="1">
        <f t="shared" si="24"/>
        <v>0</v>
      </c>
      <c r="Z159" s="1">
        <v>1.5767000000000001E-3</v>
      </c>
      <c r="AA159" s="1">
        <v>1855.43</v>
      </c>
      <c r="AB159" s="3">
        <v>0</v>
      </c>
      <c r="AC159" s="1">
        <f t="shared" si="25"/>
        <v>0</v>
      </c>
      <c r="AE159" s="1">
        <v>1.5767000000000001E-3</v>
      </c>
      <c r="AF159" s="1">
        <v>1855.43</v>
      </c>
      <c r="AG159" s="3">
        <v>0</v>
      </c>
      <c r="AH159" s="1">
        <f t="shared" si="26"/>
        <v>0</v>
      </c>
      <c r="AJ159" s="1">
        <v>1.5767000000000001E-3</v>
      </c>
      <c r="AK159" s="1">
        <v>1855.43</v>
      </c>
      <c r="AL159" s="2">
        <v>4.8022750474227598E-5</v>
      </c>
      <c r="AM159" s="1">
        <f t="shared" si="27"/>
        <v>8.9102851912396114E-2</v>
      </c>
      <c r="AO159" s="1">
        <v>1.5767000000000001E-3</v>
      </c>
      <c r="AP159" s="1">
        <v>1855.43</v>
      </c>
      <c r="AQ159" s="2">
        <v>2.4215189033966802E-8</v>
      </c>
      <c r="AR159" s="1">
        <f t="shared" si="28"/>
        <v>4.4929588189293024E-5</v>
      </c>
      <c r="AT159" s="1">
        <v>1.5767000000000001E-3</v>
      </c>
      <c r="AU159" s="1">
        <v>1855.43</v>
      </c>
      <c r="AV159" s="3">
        <v>0</v>
      </c>
      <c r="AW159" s="1">
        <f t="shared" si="29"/>
        <v>0</v>
      </c>
    </row>
    <row r="160" spans="1:49" x14ac:dyDescent="0.3">
      <c r="A160" s="1">
        <v>1.7795E-3</v>
      </c>
      <c r="B160" s="1">
        <v>2078.84</v>
      </c>
      <c r="C160" s="3">
        <v>1.5154374408993499E-3</v>
      </c>
      <c r="D160" s="1">
        <f t="shared" si="20"/>
        <v>3.1503519696392046</v>
      </c>
      <c r="F160" s="1">
        <v>1.7795E-3</v>
      </c>
      <c r="G160" s="1">
        <v>2078.84</v>
      </c>
      <c r="H160" s="3">
        <v>0</v>
      </c>
      <c r="I160" s="1">
        <f t="shared" si="21"/>
        <v>0</v>
      </c>
      <c r="K160" s="1">
        <v>1.7795E-3</v>
      </c>
      <c r="L160" s="1">
        <v>2078.84</v>
      </c>
      <c r="M160" s="3">
        <v>0</v>
      </c>
      <c r="N160" s="1">
        <f t="shared" si="22"/>
        <v>0</v>
      </c>
      <c r="P160" s="1">
        <v>1.7795E-3</v>
      </c>
      <c r="Q160" s="1">
        <v>2078.84</v>
      </c>
      <c r="R160" s="3">
        <v>0</v>
      </c>
      <c r="S160" s="1">
        <f t="shared" si="23"/>
        <v>0</v>
      </c>
      <c r="U160" s="1">
        <v>1.7795E-3</v>
      </c>
      <c r="V160" s="1">
        <v>2078.84</v>
      </c>
      <c r="W160" s="16">
        <v>0</v>
      </c>
      <c r="X160" s="1">
        <f t="shared" si="24"/>
        <v>0</v>
      </c>
      <c r="Z160" s="1">
        <v>1.7795E-3</v>
      </c>
      <c r="AA160" s="1">
        <v>2078.84</v>
      </c>
      <c r="AB160" s="3">
        <v>0</v>
      </c>
      <c r="AC160" s="1">
        <f t="shared" si="25"/>
        <v>0</v>
      </c>
      <c r="AE160" s="1">
        <v>1.7795E-3</v>
      </c>
      <c r="AF160" s="1">
        <v>2078.84</v>
      </c>
      <c r="AG160" s="3">
        <v>0</v>
      </c>
      <c r="AH160" s="1">
        <f t="shared" si="26"/>
        <v>0</v>
      </c>
      <c r="AJ160" s="1">
        <v>1.7795E-3</v>
      </c>
      <c r="AK160" s="1">
        <v>2078.84</v>
      </c>
      <c r="AL160" s="2">
        <v>6.0713561603250002E-5</v>
      </c>
      <c r="AM160" s="1">
        <f t="shared" si="27"/>
        <v>0.12621378040330025</v>
      </c>
      <c r="AO160" s="1">
        <v>1.7795E-3</v>
      </c>
      <c r="AP160" s="1">
        <v>2078.84</v>
      </c>
      <c r="AQ160" s="2">
        <v>2.0504200334056901E-8</v>
      </c>
      <c r="AR160" s="1">
        <f t="shared" si="28"/>
        <v>4.262495182245085E-5</v>
      </c>
      <c r="AT160" s="1">
        <v>1.7795E-3</v>
      </c>
      <c r="AU160" s="1">
        <v>2078.84</v>
      </c>
      <c r="AV160" s="3">
        <v>0</v>
      </c>
      <c r="AW160" s="1">
        <f t="shared" si="29"/>
        <v>0</v>
      </c>
    </row>
    <row r="161" spans="1:49" x14ac:dyDescent="0.3">
      <c r="A161" s="1">
        <v>2.0084E-3</v>
      </c>
      <c r="B161" s="1">
        <v>1613.45</v>
      </c>
      <c r="C161" s="3">
        <v>1.0878402734523099E-3</v>
      </c>
      <c r="D161" s="1">
        <f t="shared" si="20"/>
        <v>1.7551758892016296</v>
      </c>
      <c r="F161" s="1">
        <v>2.0084E-3</v>
      </c>
      <c r="G161" s="1">
        <v>1613.45</v>
      </c>
      <c r="H161" s="3">
        <v>0</v>
      </c>
      <c r="I161" s="1">
        <f t="shared" si="21"/>
        <v>0</v>
      </c>
      <c r="K161" s="1">
        <v>2.0084E-3</v>
      </c>
      <c r="L161" s="1">
        <v>1613.45</v>
      </c>
      <c r="M161" s="3">
        <v>0</v>
      </c>
      <c r="N161" s="1">
        <f t="shared" si="22"/>
        <v>0</v>
      </c>
      <c r="P161" s="1">
        <v>2.0084E-3</v>
      </c>
      <c r="Q161" s="1">
        <v>1613.45</v>
      </c>
      <c r="R161" s="3">
        <v>0</v>
      </c>
      <c r="S161" s="1">
        <f t="shared" si="23"/>
        <v>0</v>
      </c>
      <c r="U161" s="1">
        <v>2.0084E-3</v>
      </c>
      <c r="V161" s="1">
        <v>1613.45</v>
      </c>
      <c r="W161" s="16">
        <v>0</v>
      </c>
      <c r="X161" s="1">
        <f t="shared" si="24"/>
        <v>0</v>
      </c>
      <c r="Z161" s="1">
        <v>2.0084E-3</v>
      </c>
      <c r="AA161" s="1">
        <v>1613.45</v>
      </c>
      <c r="AB161" s="3">
        <v>0</v>
      </c>
      <c r="AC161" s="1">
        <f t="shared" si="25"/>
        <v>0</v>
      </c>
      <c r="AE161" s="1">
        <v>2.0084E-3</v>
      </c>
      <c r="AF161" s="1">
        <v>1613.45</v>
      </c>
      <c r="AG161" s="3">
        <v>0</v>
      </c>
      <c r="AH161" s="1">
        <f t="shared" si="26"/>
        <v>0</v>
      </c>
      <c r="AJ161" s="1">
        <v>2.0084E-3</v>
      </c>
      <c r="AK161" s="1">
        <v>1613.45</v>
      </c>
      <c r="AL161" s="2">
        <v>8.7963173815051895E-5</v>
      </c>
      <c r="AM161" s="1">
        <f t="shared" si="27"/>
        <v>0.14192418279189548</v>
      </c>
      <c r="AO161" s="1">
        <v>2.0084E-3</v>
      </c>
      <c r="AP161" s="1">
        <v>1613.45</v>
      </c>
      <c r="AQ161" s="2">
        <v>1.9586178622460701E-8</v>
      </c>
      <c r="AR161" s="1">
        <f t="shared" si="28"/>
        <v>3.160131989840922E-5</v>
      </c>
      <c r="AT161" s="1">
        <v>2.0084E-3</v>
      </c>
      <c r="AU161" s="1">
        <v>1613.45</v>
      </c>
      <c r="AV161" s="3">
        <v>0</v>
      </c>
      <c r="AW161" s="1">
        <f t="shared" si="29"/>
        <v>0</v>
      </c>
    </row>
    <row r="162" spans="1:49" x14ac:dyDescent="0.3">
      <c r="A162" s="1">
        <v>2.2667E-3</v>
      </c>
      <c r="B162" s="1">
        <v>2059.3000000000002</v>
      </c>
      <c r="C162" s="3">
        <v>6.2316842075810003E-4</v>
      </c>
      <c r="D162" s="1">
        <f t="shared" si="20"/>
        <v>1.2832907288671556</v>
      </c>
      <c r="F162" s="1">
        <v>2.2667E-3</v>
      </c>
      <c r="G162" s="1">
        <v>2059.3000000000002</v>
      </c>
      <c r="H162" s="3">
        <v>0</v>
      </c>
      <c r="I162" s="1">
        <f t="shared" si="21"/>
        <v>0</v>
      </c>
      <c r="K162" s="1">
        <v>2.2667E-3</v>
      </c>
      <c r="L162" s="1">
        <v>2059.3000000000002</v>
      </c>
      <c r="M162" s="3">
        <v>0</v>
      </c>
      <c r="N162" s="1">
        <f t="shared" si="22"/>
        <v>0</v>
      </c>
      <c r="P162" s="1">
        <v>2.2667E-3</v>
      </c>
      <c r="Q162" s="1">
        <v>2059.3000000000002</v>
      </c>
      <c r="R162" s="3">
        <v>0</v>
      </c>
      <c r="S162" s="1">
        <f t="shared" si="23"/>
        <v>0</v>
      </c>
      <c r="U162" s="1">
        <v>2.2667E-3</v>
      </c>
      <c r="V162" s="1">
        <v>2059.3000000000002</v>
      </c>
      <c r="W162" s="16">
        <v>0</v>
      </c>
      <c r="X162" s="1">
        <f t="shared" si="24"/>
        <v>0</v>
      </c>
      <c r="Z162" s="1">
        <v>2.2667E-3</v>
      </c>
      <c r="AA162" s="1">
        <v>2059.3000000000002</v>
      </c>
      <c r="AB162" s="3">
        <v>0</v>
      </c>
      <c r="AC162" s="1">
        <f t="shared" si="25"/>
        <v>0</v>
      </c>
      <c r="AE162" s="1">
        <v>2.2667E-3</v>
      </c>
      <c r="AF162" s="1">
        <v>2059.3000000000002</v>
      </c>
      <c r="AG162" s="3">
        <v>0</v>
      </c>
      <c r="AH162" s="1">
        <f t="shared" si="26"/>
        <v>0</v>
      </c>
      <c r="AJ162" s="1">
        <v>2.2667E-3</v>
      </c>
      <c r="AK162" s="1">
        <v>2059.3000000000002</v>
      </c>
      <c r="AL162" s="3">
        <v>1.5469220888940301E-4</v>
      </c>
      <c r="AM162" s="1">
        <f t="shared" si="27"/>
        <v>0.31855766576594763</v>
      </c>
      <c r="AO162" s="1">
        <v>2.2667E-3</v>
      </c>
      <c r="AP162" s="1">
        <v>2059.3000000000002</v>
      </c>
      <c r="AQ162" s="2">
        <v>2.2296980372208599E-8</v>
      </c>
      <c r="AR162" s="1">
        <f t="shared" si="28"/>
        <v>4.5916171680489173E-5</v>
      </c>
      <c r="AT162" s="1">
        <v>2.2667E-3</v>
      </c>
      <c r="AU162" s="1">
        <v>2059.3000000000002</v>
      </c>
      <c r="AV162" s="3">
        <v>0</v>
      </c>
      <c r="AW162" s="1">
        <f t="shared" si="29"/>
        <v>0</v>
      </c>
    </row>
    <row r="163" spans="1:49" x14ac:dyDescent="0.3">
      <c r="A163" s="1">
        <v>2.5582000000000001E-3</v>
      </c>
      <c r="B163" s="1">
        <v>1984.28</v>
      </c>
      <c r="C163" s="3">
        <v>5.6925270112579297E-4</v>
      </c>
      <c r="D163" s="1">
        <f t="shared" si="20"/>
        <v>1.1295567497898884</v>
      </c>
      <c r="F163" s="1">
        <v>2.5582000000000001E-3</v>
      </c>
      <c r="G163" s="1">
        <v>1984.28</v>
      </c>
      <c r="H163" s="3">
        <v>0</v>
      </c>
      <c r="I163" s="1">
        <f t="shared" si="21"/>
        <v>0</v>
      </c>
      <c r="K163" s="1">
        <v>2.5582000000000001E-3</v>
      </c>
      <c r="L163" s="1">
        <v>1984.28</v>
      </c>
      <c r="M163" s="3">
        <v>0</v>
      </c>
      <c r="N163" s="1">
        <f t="shared" si="22"/>
        <v>0</v>
      </c>
      <c r="P163" s="1">
        <v>2.5582000000000001E-3</v>
      </c>
      <c r="Q163" s="1">
        <v>1984.28</v>
      </c>
      <c r="R163" s="3">
        <v>0</v>
      </c>
      <c r="S163" s="1">
        <f t="shared" si="23"/>
        <v>0</v>
      </c>
      <c r="U163" s="1">
        <v>2.5582000000000001E-3</v>
      </c>
      <c r="V163" s="1">
        <v>1984.28</v>
      </c>
      <c r="W163" s="16">
        <v>0</v>
      </c>
      <c r="X163" s="1">
        <f t="shared" si="24"/>
        <v>0</v>
      </c>
      <c r="Z163" s="1">
        <v>2.5582000000000001E-3</v>
      </c>
      <c r="AA163" s="1">
        <v>1984.28</v>
      </c>
      <c r="AB163" s="3">
        <v>0</v>
      </c>
      <c r="AC163" s="1">
        <f t="shared" si="25"/>
        <v>0</v>
      </c>
      <c r="AE163" s="1">
        <v>2.5582000000000001E-3</v>
      </c>
      <c r="AF163" s="1">
        <v>1984.28</v>
      </c>
      <c r="AG163" s="3">
        <v>0</v>
      </c>
      <c r="AH163" s="1">
        <f t="shared" si="26"/>
        <v>0</v>
      </c>
      <c r="AJ163" s="1">
        <v>2.5582000000000001E-3</v>
      </c>
      <c r="AK163" s="1">
        <v>1984.28</v>
      </c>
      <c r="AL163" s="3">
        <v>3.8503583613145898E-4</v>
      </c>
      <c r="AM163" s="1">
        <f t="shared" si="27"/>
        <v>0.76401890891893143</v>
      </c>
      <c r="AO163" s="1">
        <v>2.5582000000000001E-3</v>
      </c>
      <c r="AP163" s="1">
        <v>1984.28</v>
      </c>
      <c r="AQ163" s="2">
        <v>5.8570181707642703E-7</v>
      </c>
      <c r="AR163" s="1">
        <f t="shared" si="28"/>
        <v>1.1621964015884126E-3</v>
      </c>
      <c r="AT163" s="1">
        <v>2.5582000000000001E-3</v>
      </c>
      <c r="AU163" s="1">
        <v>1984.28</v>
      </c>
      <c r="AV163" s="3">
        <v>0</v>
      </c>
      <c r="AW163" s="1">
        <f t="shared" si="29"/>
        <v>0</v>
      </c>
    </row>
    <row r="164" spans="1:49" x14ac:dyDescent="0.3">
      <c r="A164" s="1">
        <v>2.8873000000000002E-3</v>
      </c>
      <c r="B164" s="1">
        <v>1017.84</v>
      </c>
      <c r="C164" s="3">
        <v>5.2417577059558397E-4</v>
      </c>
      <c r="D164" s="1">
        <f t="shared" si="20"/>
        <v>0.53352706634300917</v>
      </c>
      <c r="F164" s="1">
        <v>2.8873000000000002E-3</v>
      </c>
      <c r="G164" s="1">
        <v>1017.84</v>
      </c>
      <c r="H164" s="3">
        <v>0</v>
      </c>
      <c r="I164" s="1">
        <f t="shared" si="21"/>
        <v>0</v>
      </c>
      <c r="K164" s="1">
        <v>2.8873000000000002E-3</v>
      </c>
      <c r="L164" s="1">
        <v>1017.84</v>
      </c>
      <c r="M164" s="3">
        <v>0</v>
      </c>
      <c r="N164" s="1">
        <f t="shared" si="22"/>
        <v>0</v>
      </c>
      <c r="P164" s="1">
        <v>2.8873000000000002E-3</v>
      </c>
      <c r="Q164" s="1">
        <v>1017.84</v>
      </c>
      <c r="R164" s="3">
        <v>0</v>
      </c>
      <c r="S164" s="1">
        <f t="shared" si="23"/>
        <v>0</v>
      </c>
      <c r="U164" s="1">
        <v>2.8873000000000002E-3</v>
      </c>
      <c r="V164" s="1">
        <v>1017.84</v>
      </c>
      <c r="W164" s="16">
        <v>0</v>
      </c>
      <c r="X164" s="1">
        <f t="shared" si="24"/>
        <v>0</v>
      </c>
      <c r="Z164" s="1">
        <v>2.8873000000000002E-3</v>
      </c>
      <c r="AA164" s="1">
        <v>1017.84</v>
      </c>
      <c r="AB164" s="3">
        <v>0</v>
      </c>
      <c r="AC164" s="1">
        <f t="shared" si="25"/>
        <v>0</v>
      </c>
      <c r="AE164" s="1">
        <v>2.8873000000000002E-3</v>
      </c>
      <c r="AF164" s="1">
        <v>1017.84</v>
      </c>
      <c r="AG164" s="3">
        <v>0</v>
      </c>
      <c r="AH164" s="1">
        <f t="shared" si="26"/>
        <v>0</v>
      </c>
      <c r="AJ164" s="1">
        <v>2.8873000000000002E-3</v>
      </c>
      <c r="AK164" s="1">
        <v>1017.84</v>
      </c>
      <c r="AL164" s="3">
        <v>1.4132094269298E-3</v>
      </c>
      <c r="AM164" s="1">
        <f t="shared" si="27"/>
        <v>1.4384210831062276</v>
      </c>
      <c r="AO164" s="1">
        <v>2.8873000000000002E-3</v>
      </c>
      <c r="AP164" s="1">
        <v>1017.84</v>
      </c>
      <c r="AQ164" s="2">
        <v>2.4212985925152802E-6</v>
      </c>
      <c r="AR164" s="1">
        <f t="shared" si="28"/>
        <v>2.4644945594057529E-3</v>
      </c>
      <c r="AT164" s="1">
        <v>2.8873000000000002E-3</v>
      </c>
      <c r="AU164" s="1">
        <v>1017.84</v>
      </c>
      <c r="AV164" s="3">
        <v>0</v>
      </c>
      <c r="AW164" s="1">
        <f t="shared" si="29"/>
        <v>0</v>
      </c>
    </row>
    <row r="165" spans="1:49" x14ac:dyDescent="0.3">
      <c r="A165" s="1">
        <v>3.2586999999999998E-3</v>
      </c>
      <c r="B165" s="1">
        <v>1122.03</v>
      </c>
      <c r="C165" s="3">
        <v>5.01906813311292E-4</v>
      </c>
      <c r="D165" s="1">
        <f t="shared" si="20"/>
        <v>0.56315450173966897</v>
      </c>
      <c r="F165" s="1">
        <v>3.2586999999999998E-3</v>
      </c>
      <c r="G165" s="1">
        <v>1122.03</v>
      </c>
      <c r="H165" s="3">
        <v>0</v>
      </c>
      <c r="I165" s="1">
        <f t="shared" si="21"/>
        <v>0</v>
      </c>
      <c r="K165" s="1">
        <v>3.2586999999999998E-3</v>
      </c>
      <c r="L165" s="1">
        <v>1122.03</v>
      </c>
      <c r="M165" s="3">
        <v>0</v>
      </c>
      <c r="N165" s="1">
        <f t="shared" si="22"/>
        <v>0</v>
      </c>
      <c r="P165" s="1">
        <v>3.2586999999999998E-3</v>
      </c>
      <c r="Q165" s="1">
        <v>1122.03</v>
      </c>
      <c r="R165" s="3">
        <v>0</v>
      </c>
      <c r="S165" s="1">
        <f t="shared" si="23"/>
        <v>0</v>
      </c>
      <c r="U165" s="1">
        <v>3.2586999999999998E-3</v>
      </c>
      <c r="V165" s="1">
        <v>1122.03</v>
      </c>
      <c r="W165" s="16">
        <v>0</v>
      </c>
      <c r="X165" s="1">
        <f t="shared" si="24"/>
        <v>0</v>
      </c>
      <c r="Z165" s="1">
        <v>3.2586999999999998E-3</v>
      </c>
      <c r="AA165" s="1">
        <v>1122.03</v>
      </c>
      <c r="AB165" s="3">
        <v>0</v>
      </c>
      <c r="AC165" s="1">
        <f t="shared" si="25"/>
        <v>0</v>
      </c>
      <c r="AE165" s="1">
        <v>3.2586999999999998E-3</v>
      </c>
      <c r="AF165" s="1">
        <v>1122.03</v>
      </c>
      <c r="AG165" s="3">
        <v>0</v>
      </c>
      <c r="AH165" s="1">
        <f t="shared" si="26"/>
        <v>0</v>
      </c>
      <c r="AJ165" s="1">
        <v>3.2586999999999998E-3</v>
      </c>
      <c r="AK165" s="1">
        <v>1122.03</v>
      </c>
      <c r="AL165" s="3">
        <v>6.0150049639647605E-4</v>
      </c>
      <c r="AM165" s="1">
        <f t="shared" si="27"/>
        <v>0.67490160197173799</v>
      </c>
      <c r="AO165" s="1">
        <v>3.2586999999999998E-3</v>
      </c>
      <c r="AP165" s="1">
        <v>1122.03</v>
      </c>
      <c r="AQ165" s="2">
        <v>2.6824723154515302E-8</v>
      </c>
      <c r="AR165" s="1">
        <f t="shared" si="28"/>
        <v>3.0098144121060804E-5</v>
      </c>
      <c r="AT165" s="1">
        <v>3.2586999999999998E-3</v>
      </c>
      <c r="AU165" s="1">
        <v>1122.03</v>
      </c>
      <c r="AV165" s="3">
        <v>0</v>
      </c>
      <c r="AW165" s="1">
        <f t="shared" si="29"/>
        <v>0</v>
      </c>
    </row>
    <row r="166" spans="1:49" x14ac:dyDescent="0.3">
      <c r="A166" s="1">
        <v>3.6778000000000002E-3</v>
      </c>
      <c r="B166" s="1">
        <v>1579.22</v>
      </c>
      <c r="C166" s="3">
        <v>4.6486618170150403E-4</v>
      </c>
      <c r="D166" s="1">
        <f t="shared" si="20"/>
        <v>0.73412597146664915</v>
      </c>
      <c r="F166" s="1">
        <v>3.6778000000000002E-3</v>
      </c>
      <c r="G166" s="1">
        <v>1579.22</v>
      </c>
      <c r="H166" s="3">
        <v>0</v>
      </c>
      <c r="I166" s="1">
        <f t="shared" si="21"/>
        <v>0</v>
      </c>
      <c r="K166" s="1">
        <v>3.6778000000000002E-3</v>
      </c>
      <c r="L166" s="1">
        <v>1579.22</v>
      </c>
      <c r="M166" s="3">
        <v>0</v>
      </c>
      <c r="N166" s="1">
        <f t="shared" si="22"/>
        <v>0</v>
      </c>
      <c r="P166" s="1">
        <v>3.6778000000000002E-3</v>
      </c>
      <c r="Q166" s="1">
        <v>1579.22</v>
      </c>
      <c r="R166" s="3">
        <v>0</v>
      </c>
      <c r="S166" s="1">
        <f t="shared" si="23"/>
        <v>0</v>
      </c>
      <c r="U166" s="1">
        <v>3.6778000000000002E-3</v>
      </c>
      <c r="V166" s="1">
        <v>1579.22</v>
      </c>
      <c r="W166" s="16">
        <v>0</v>
      </c>
      <c r="X166" s="1">
        <f t="shared" si="24"/>
        <v>0</v>
      </c>
      <c r="Z166" s="1">
        <v>3.6778000000000002E-3</v>
      </c>
      <c r="AA166" s="1">
        <v>1579.22</v>
      </c>
      <c r="AB166" s="3">
        <v>0</v>
      </c>
      <c r="AC166" s="1">
        <f t="shared" si="25"/>
        <v>0</v>
      </c>
      <c r="AE166" s="1">
        <v>3.6778000000000002E-3</v>
      </c>
      <c r="AF166" s="1">
        <v>1579.22</v>
      </c>
      <c r="AG166" s="3">
        <v>0</v>
      </c>
      <c r="AH166" s="1">
        <f t="shared" si="26"/>
        <v>0</v>
      </c>
      <c r="AJ166" s="1">
        <v>3.6778000000000002E-3</v>
      </c>
      <c r="AK166" s="1">
        <v>1579.22</v>
      </c>
      <c r="AL166" s="3">
        <v>1.3094414946976699E-4</v>
      </c>
      <c r="AM166" s="1">
        <f t="shared" si="27"/>
        <v>0.20678961972564544</v>
      </c>
      <c r="AO166" s="1">
        <v>3.6778000000000002E-3</v>
      </c>
      <c r="AP166" s="1">
        <v>1579.22</v>
      </c>
      <c r="AQ166" s="2">
        <v>3.5632553420973898E-8</v>
      </c>
      <c r="AR166" s="1">
        <f t="shared" si="28"/>
        <v>5.6271641013470403E-5</v>
      </c>
      <c r="AT166" s="1">
        <v>3.6778000000000002E-3</v>
      </c>
      <c r="AU166" s="1">
        <v>1579.22</v>
      </c>
      <c r="AV166" s="3">
        <v>0</v>
      </c>
      <c r="AW166" s="1">
        <f t="shared" si="29"/>
        <v>0</v>
      </c>
    </row>
    <row r="167" spans="1:49" x14ac:dyDescent="0.3">
      <c r="A167" s="1">
        <v>4.1508999999999999E-3</v>
      </c>
      <c r="B167" s="1">
        <v>1602.38</v>
      </c>
      <c r="C167" s="3">
        <v>4.31999392926912E-4</v>
      </c>
      <c r="D167" s="1">
        <f t="shared" si="20"/>
        <v>0.69222718723822529</v>
      </c>
      <c r="F167" s="1">
        <v>4.1508999999999999E-3</v>
      </c>
      <c r="G167" s="1">
        <v>1602.38</v>
      </c>
      <c r="H167" s="3">
        <v>0</v>
      </c>
      <c r="I167" s="1">
        <f t="shared" si="21"/>
        <v>0</v>
      </c>
      <c r="K167" s="1">
        <v>4.1508999999999999E-3</v>
      </c>
      <c r="L167" s="1">
        <v>1602.38</v>
      </c>
      <c r="M167" s="3">
        <v>0</v>
      </c>
      <c r="N167" s="1">
        <f t="shared" si="22"/>
        <v>0</v>
      </c>
      <c r="P167" s="1">
        <v>4.1508999999999999E-3</v>
      </c>
      <c r="Q167" s="1">
        <v>1602.38</v>
      </c>
      <c r="R167" s="3">
        <v>0</v>
      </c>
      <c r="S167" s="1">
        <f t="shared" si="23"/>
        <v>0</v>
      </c>
      <c r="U167" s="1">
        <v>4.1508999999999999E-3</v>
      </c>
      <c r="V167" s="1">
        <v>1602.38</v>
      </c>
      <c r="W167" s="16">
        <v>0</v>
      </c>
      <c r="X167" s="1">
        <f t="shared" si="24"/>
        <v>0</v>
      </c>
      <c r="Z167" s="1">
        <v>4.1508999999999999E-3</v>
      </c>
      <c r="AA167" s="1">
        <v>1602.38</v>
      </c>
      <c r="AB167" s="3">
        <v>0</v>
      </c>
      <c r="AC167" s="1">
        <f t="shared" si="25"/>
        <v>0</v>
      </c>
      <c r="AE167" s="1">
        <v>4.1508999999999999E-3</v>
      </c>
      <c r="AF167" s="1">
        <v>1602.38</v>
      </c>
      <c r="AG167" s="3">
        <v>0</v>
      </c>
      <c r="AH167" s="1">
        <f t="shared" si="26"/>
        <v>0</v>
      </c>
      <c r="AJ167" s="1">
        <v>4.1508999999999999E-3</v>
      </c>
      <c r="AK167" s="1">
        <v>1602.38</v>
      </c>
      <c r="AL167" s="2">
        <v>4.4529536819636601E-5</v>
      </c>
      <c r="AM167" s="1">
        <f t="shared" si="27"/>
        <v>7.1353239209049305E-2</v>
      </c>
      <c r="AO167" s="1">
        <v>4.1508999999999999E-3</v>
      </c>
      <c r="AP167" s="1">
        <v>1602.38</v>
      </c>
      <c r="AQ167" s="2">
        <v>1.25106279808944E-6</v>
      </c>
      <c r="AR167" s="1">
        <f t="shared" si="28"/>
        <v>2.0046780064025571E-3</v>
      </c>
      <c r="AT167" s="1">
        <v>4.1508999999999999E-3</v>
      </c>
      <c r="AU167" s="1">
        <v>1602.38</v>
      </c>
      <c r="AV167" s="3">
        <v>0</v>
      </c>
      <c r="AW167" s="1">
        <f t="shared" si="29"/>
        <v>0</v>
      </c>
    </row>
    <row r="168" spans="1:49" x14ac:dyDescent="0.3">
      <c r="A168" s="1">
        <v>4.6848000000000002E-3</v>
      </c>
      <c r="B168" s="1">
        <v>1539.44</v>
      </c>
      <c r="C168" s="3">
        <v>4.0543455689217602E-4</v>
      </c>
      <c r="D168" s="1">
        <f t="shared" si="20"/>
        <v>0.62414217426209151</v>
      </c>
      <c r="F168" s="1">
        <v>4.6848000000000002E-3</v>
      </c>
      <c r="G168" s="1">
        <v>1539.44</v>
      </c>
      <c r="H168" s="3">
        <v>0</v>
      </c>
      <c r="I168" s="1">
        <f t="shared" si="21"/>
        <v>0</v>
      </c>
      <c r="K168" s="1">
        <v>4.6848000000000002E-3</v>
      </c>
      <c r="L168" s="1">
        <v>1539.44</v>
      </c>
      <c r="M168" s="3">
        <v>0</v>
      </c>
      <c r="N168" s="1">
        <f t="shared" si="22"/>
        <v>0</v>
      </c>
      <c r="P168" s="1">
        <v>4.6848000000000002E-3</v>
      </c>
      <c r="Q168" s="1">
        <v>1539.44</v>
      </c>
      <c r="R168" s="3">
        <v>0</v>
      </c>
      <c r="S168" s="1">
        <f t="shared" si="23"/>
        <v>0</v>
      </c>
      <c r="U168" s="1">
        <v>4.6848000000000002E-3</v>
      </c>
      <c r="V168" s="1">
        <v>1539.44</v>
      </c>
      <c r="W168" s="16">
        <v>0</v>
      </c>
      <c r="X168" s="1">
        <f t="shared" si="24"/>
        <v>0</v>
      </c>
      <c r="Z168" s="1">
        <v>4.6848000000000002E-3</v>
      </c>
      <c r="AA168" s="1">
        <v>1539.44</v>
      </c>
      <c r="AB168" s="3">
        <v>0</v>
      </c>
      <c r="AC168" s="1">
        <f t="shared" si="25"/>
        <v>0</v>
      </c>
      <c r="AE168" s="1">
        <v>4.6848000000000002E-3</v>
      </c>
      <c r="AF168" s="1">
        <v>1539.44</v>
      </c>
      <c r="AG168" s="3">
        <v>0</v>
      </c>
      <c r="AH168" s="1">
        <f t="shared" si="26"/>
        <v>0</v>
      </c>
      <c r="AJ168" s="1">
        <v>4.6848000000000002E-3</v>
      </c>
      <c r="AK168" s="1">
        <v>1539.44</v>
      </c>
      <c r="AL168" s="2">
        <v>1.99819388218475E-5</v>
      </c>
      <c r="AM168" s="1">
        <f t="shared" si="27"/>
        <v>3.0760995899904917E-2</v>
      </c>
      <c r="AO168" s="1">
        <v>4.6848000000000002E-3</v>
      </c>
      <c r="AP168" s="1">
        <v>1539.44</v>
      </c>
      <c r="AQ168" s="2">
        <v>5.7774922044172898E-7</v>
      </c>
      <c r="AR168" s="1">
        <f t="shared" si="28"/>
        <v>8.8941025991681527E-4</v>
      </c>
      <c r="AT168" s="1">
        <v>4.6848000000000002E-3</v>
      </c>
      <c r="AU168" s="1">
        <v>1539.44</v>
      </c>
      <c r="AV168" s="3">
        <v>0</v>
      </c>
      <c r="AW168" s="1">
        <f t="shared" si="29"/>
        <v>0</v>
      </c>
    </row>
    <row r="169" spans="1:49" x14ac:dyDescent="0.3">
      <c r="A169" s="1">
        <v>5.2874000000000003E-3</v>
      </c>
      <c r="B169" s="1">
        <v>1758.66</v>
      </c>
      <c r="C169" s="3">
        <v>3.6147179132499098E-4</v>
      </c>
      <c r="D169" s="1">
        <f t="shared" si="20"/>
        <v>0.63570598053160865</v>
      </c>
      <c r="F169" s="1">
        <v>5.2874000000000003E-3</v>
      </c>
      <c r="G169" s="1">
        <v>1758.66</v>
      </c>
      <c r="H169" s="3">
        <v>0</v>
      </c>
      <c r="I169" s="1">
        <f t="shared" si="21"/>
        <v>0</v>
      </c>
      <c r="K169" s="1">
        <v>5.2874000000000003E-3</v>
      </c>
      <c r="L169" s="1">
        <v>1758.66</v>
      </c>
      <c r="M169" s="3">
        <v>0</v>
      </c>
      <c r="N169" s="1">
        <f t="shared" si="22"/>
        <v>0</v>
      </c>
      <c r="P169" s="1">
        <v>5.2874000000000003E-3</v>
      </c>
      <c r="Q169" s="1">
        <v>1758.66</v>
      </c>
      <c r="R169" s="3">
        <v>0</v>
      </c>
      <c r="S169" s="1">
        <f t="shared" si="23"/>
        <v>0</v>
      </c>
      <c r="U169" s="1">
        <v>5.2874000000000003E-3</v>
      </c>
      <c r="V169" s="1">
        <v>1758.66</v>
      </c>
      <c r="W169" s="16">
        <v>0</v>
      </c>
      <c r="X169" s="1">
        <f t="shared" si="24"/>
        <v>0</v>
      </c>
      <c r="Z169" s="1">
        <v>5.2874000000000003E-3</v>
      </c>
      <c r="AA169" s="1">
        <v>1758.66</v>
      </c>
      <c r="AB169" s="3">
        <v>0</v>
      </c>
      <c r="AC169" s="1">
        <f t="shared" si="25"/>
        <v>0</v>
      </c>
      <c r="AE169" s="1">
        <v>5.2874000000000003E-3</v>
      </c>
      <c r="AF169" s="1">
        <v>1758.66</v>
      </c>
      <c r="AG169" s="3">
        <v>0</v>
      </c>
      <c r="AH169" s="1">
        <f t="shared" si="26"/>
        <v>0</v>
      </c>
      <c r="AJ169" s="1">
        <v>5.2874000000000003E-3</v>
      </c>
      <c r="AK169" s="1">
        <v>1758.66</v>
      </c>
      <c r="AL169" s="2">
        <v>9.9242471720953507E-6</v>
      </c>
      <c r="AM169" s="1">
        <f t="shared" si="27"/>
        <v>1.7453376531677209E-2</v>
      </c>
      <c r="AO169" s="1">
        <v>5.2874000000000003E-3</v>
      </c>
      <c r="AP169" s="1">
        <v>1758.66</v>
      </c>
      <c r="AQ169" s="2">
        <v>3.7141722576316802E-7</v>
      </c>
      <c r="AR169" s="1">
        <f t="shared" si="28"/>
        <v>6.5319661826065305E-4</v>
      </c>
      <c r="AT169" s="1">
        <v>5.2874000000000003E-3</v>
      </c>
      <c r="AU169" s="1">
        <v>1758.66</v>
      </c>
      <c r="AV169" s="3">
        <v>0</v>
      </c>
      <c r="AW169" s="1">
        <f t="shared" si="29"/>
        <v>0</v>
      </c>
    </row>
    <row r="170" spans="1:49" x14ac:dyDescent="0.3">
      <c r="A170" s="1">
        <v>5.9674000000000003E-3</v>
      </c>
      <c r="B170" s="1">
        <v>2117.56</v>
      </c>
      <c r="C170" s="3">
        <v>3.3527919115187001E-4</v>
      </c>
      <c r="D170" s="1">
        <f t="shared" si="20"/>
        <v>0.70997380401555388</v>
      </c>
      <c r="F170" s="1">
        <v>5.9674000000000003E-3</v>
      </c>
      <c r="G170" s="1">
        <v>2117.56</v>
      </c>
      <c r="H170" s="3">
        <v>0</v>
      </c>
      <c r="I170" s="1">
        <f t="shared" si="21"/>
        <v>0</v>
      </c>
      <c r="K170" s="1">
        <v>5.9674000000000003E-3</v>
      </c>
      <c r="L170" s="1">
        <v>2117.56</v>
      </c>
      <c r="M170" s="3">
        <v>0</v>
      </c>
      <c r="N170" s="1">
        <f t="shared" si="22"/>
        <v>0</v>
      </c>
      <c r="P170" s="1">
        <v>5.9674000000000003E-3</v>
      </c>
      <c r="Q170" s="1">
        <v>2117.56</v>
      </c>
      <c r="R170" s="3">
        <v>0</v>
      </c>
      <c r="S170" s="1">
        <f t="shared" si="23"/>
        <v>0</v>
      </c>
      <c r="U170" s="1">
        <v>5.9674000000000003E-3</v>
      </c>
      <c r="V170" s="1">
        <v>2117.56</v>
      </c>
      <c r="W170" s="16">
        <v>0</v>
      </c>
      <c r="X170" s="1">
        <f t="shared" si="24"/>
        <v>0</v>
      </c>
      <c r="Z170" s="1">
        <v>5.9674000000000003E-3</v>
      </c>
      <c r="AA170" s="1">
        <v>2117.56</v>
      </c>
      <c r="AB170" s="3">
        <v>0</v>
      </c>
      <c r="AC170" s="1">
        <f t="shared" si="25"/>
        <v>0</v>
      </c>
      <c r="AE170" s="1">
        <v>5.9674000000000003E-3</v>
      </c>
      <c r="AF170" s="1">
        <v>2117.56</v>
      </c>
      <c r="AG170" s="3">
        <v>0</v>
      </c>
      <c r="AH170" s="1">
        <f t="shared" si="26"/>
        <v>0</v>
      </c>
      <c r="AJ170" s="1">
        <v>5.9674000000000003E-3</v>
      </c>
      <c r="AK170" s="1">
        <v>2117.56</v>
      </c>
      <c r="AL170" s="2">
        <v>5.6842858000997602E-6</v>
      </c>
      <c r="AM170" s="1">
        <f t="shared" si="27"/>
        <v>1.2036816238859247E-2</v>
      </c>
      <c r="AO170" s="1">
        <v>5.9674000000000003E-3</v>
      </c>
      <c r="AP170" s="1">
        <v>2117.56</v>
      </c>
      <c r="AQ170" s="2">
        <v>1.14888473019318E-7</v>
      </c>
      <c r="AR170" s="1">
        <f t="shared" si="28"/>
        <v>2.4328323492678702E-4</v>
      </c>
      <c r="AT170" s="1">
        <v>5.9674000000000003E-3</v>
      </c>
      <c r="AU170" s="1">
        <v>2117.56</v>
      </c>
      <c r="AV170" s="3">
        <v>0</v>
      </c>
      <c r="AW170" s="1">
        <f t="shared" si="29"/>
        <v>0</v>
      </c>
    </row>
    <row r="171" spans="1:49" x14ac:dyDescent="0.3">
      <c r="A171" s="1">
        <v>6.7349999999999997E-3</v>
      </c>
      <c r="B171" s="1">
        <v>1746.79</v>
      </c>
      <c r="C171" s="3">
        <v>3.1707229073173898E-4</v>
      </c>
      <c r="D171" s="1">
        <f t="shared" si="20"/>
        <v>0.55385870672729431</v>
      </c>
      <c r="F171" s="1">
        <v>6.7349999999999997E-3</v>
      </c>
      <c r="G171" s="1">
        <v>1746.79</v>
      </c>
      <c r="H171" s="3">
        <v>0</v>
      </c>
      <c r="I171" s="1">
        <f t="shared" si="21"/>
        <v>0</v>
      </c>
      <c r="K171" s="1">
        <v>6.7349999999999997E-3</v>
      </c>
      <c r="L171" s="1">
        <v>1746.79</v>
      </c>
      <c r="M171" s="3">
        <v>0</v>
      </c>
      <c r="N171" s="1">
        <f t="shared" si="22"/>
        <v>0</v>
      </c>
      <c r="P171" s="1">
        <v>6.7349999999999997E-3</v>
      </c>
      <c r="Q171" s="1">
        <v>1746.79</v>
      </c>
      <c r="R171" s="3">
        <v>0</v>
      </c>
      <c r="S171" s="1">
        <f t="shared" si="23"/>
        <v>0</v>
      </c>
      <c r="U171" s="1">
        <v>6.7349999999999997E-3</v>
      </c>
      <c r="V171" s="1">
        <v>1746.79</v>
      </c>
      <c r="W171" s="16">
        <v>0</v>
      </c>
      <c r="X171" s="1">
        <f t="shared" si="24"/>
        <v>0</v>
      </c>
      <c r="Z171" s="1">
        <v>6.7349999999999997E-3</v>
      </c>
      <c r="AA171" s="1">
        <v>1746.79</v>
      </c>
      <c r="AB171" s="3">
        <v>0</v>
      </c>
      <c r="AC171" s="1">
        <f t="shared" si="25"/>
        <v>0</v>
      </c>
      <c r="AE171" s="1">
        <v>6.7349999999999997E-3</v>
      </c>
      <c r="AF171" s="1">
        <v>1746.79</v>
      </c>
      <c r="AG171" s="3">
        <v>0</v>
      </c>
      <c r="AH171" s="1">
        <f t="shared" si="26"/>
        <v>0</v>
      </c>
      <c r="AJ171" s="1">
        <v>6.7349999999999997E-3</v>
      </c>
      <c r="AK171" s="1">
        <v>1746.79</v>
      </c>
      <c r="AL171" s="2">
        <v>3.4255070762021799E-6</v>
      </c>
      <c r="AM171" s="1">
        <f t="shared" si="27"/>
        <v>5.9836415056392055E-3</v>
      </c>
      <c r="AO171" s="1">
        <v>6.7349999999999997E-3</v>
      </c>
      <c r="AP171" s="1">
        <v>1746.79</v>
      </c>
      <c r="AQ171" s="2">
        <v>1.59818437695823E-6</v>
      </c>
      <c r="AR171" s="1">
        <f t="shared" si="28"/>
        <v>2.7916924878268667E-3</v>
      </c>
      <c r="AT171" s="1">
        <v>6.7349999999999997E-3</v>
      </c>
      <c r="AU171" s="1">
        <v>1746.79</v>
      </c>
      <c r="AV171" s="3">
        <v>0</v>
      </c>
      <c r="AW171" s="1">
        <f t="shared" si="29"/>
        <v>0</v>
      </c>
    </row>
    <row r="172" spans="1:49" x14ac:dyDescent="0.3">
      <c r="A172" s="1">
        <v>7.6013000000000001E-3</v>
      </c>
      <c r="B172" s="1">
        <v>1696.55</v>
      </c>
      <c r="C172" s="3">
        <v>2.9573075475632598E-4</v>
      </c>
      <c r="D172" s="1">
        <f t="shared" si="20"/>
        <v>0.50172201198184485</v>
      </c>
      <c r="F172" s="1">
        <v>7.6013000000000001E-3</v>
      </c>
      <c r="G172" s="1">
        <v>1696.55</v>
      </c>
      <c r="H172" s="3">
        <v>0</v>
      </c>
      <c r="I172" s="1">
        <f t="shared" si="21"/>
        <v>0</v>
      </c>
      <c r="K172" s="1">
        <v>7.6013000000000001E-3</v>
      </c>
      <c r="L172" s="1">
        <v>1696.55</v>
      </c>
      <c r="M172" s="3">
        <v>0</v>
      </c>
      <c r="N172" s="1">
        <f t="shared" si="22"/>
        <v>0</v>
      </c>
      <c r="P172" s="1">
        <v>7.6013000000000001E-3</v>
      </c>
      <c r="Q172" s="1">
        <v>1696.55</v>
      </c>
      <c r="R172" s="3">
        <v>0</v>
      </c>
      <c r="S172" s="1">
        <f t="shared" si="23"/>
        <v>0</v>
      </c>
      <c r="U172" s="1">
        <v>7.6013000000000001E-3</v>
      </c>
      <c r="V172" s="1">
        <v>1696.55</v>
      </c>
      <c r="W172" s="16">
        <v>0</v>
      </c>
      <c r="X172" s="1">
        <f t="shared" si="24"/>
        <v>0</v>
      </c>
      <c r="Z172" s="1">
        <v>7.6013000000000001E-3</v>
      </c>
      <c r="AA172" s="1">
        <v>1696.55</v>
      </c>
      <c r="AB172" s="3">
        <v>0</v>
      </c>
      <c r="AC172" s="1">
        <f t="shared" si="25"/>
        <v>0</v>
      </c>
      <c r="AE172" s="1">
        <v>7.6013000000000001E-3</v>
      </c>
      <c r="AF172" s="1">
        <v>1696.55</v>
      </c>
      <c r="AG172" s="3">
        <v>0</v>
      </c>
      <c r="AH172" s="1">
        <f t="shared" si="26"/>
        <v>0</v>
      </c>
      <c r="AJ172" s="1">
        <v>7.6013000000000001E-3</v>
      </c>
      <c r="AK172" s="1">
        <v>1696.55</v>
      </c>
      <c r="AL172" s="2">
        <v>3.4031519974253398E-6</v>
      </c>
      <c r="AM172" s="1">
        <f t="shared" si="27"/>
        <v>5.7736175212319604E-3</v>
      </c>
      <c r="AO172" s="1">
        <v>7.6013000000000001E-3</v>
      </c>
      <c r="AP172" s="1">
        <v>1696.55</v>
      </c>
      <c r="AQ172" s="2">
        <v>1.18528600337751E-8</v>
      </c>
      <c r="AR172" s="1">
        <f t="shared" si="28"/>
        <v>2.0108969690301144E-5</v>
      </c>
      <c r="AT172" s="1">
        <v>7.6013000000000001E-3</v>
      </c>
      <c r="AU172" s="1">
        <v>1696.55</v>
      </c>
      <c r="AV172" s="3">
        <v>0</v>
      </c>
      <c r="AW172" s="1">
        <f t="shared" si="29"/>
        <v>0</v>
      </c>
    </row>
    <row r="173" spans="1:49" x14ac:dyDescent="0.3">
      <c r="A173" s="1">
        <v>8.5789999999999998E-3</v>
      </c>
      <c r="B173" s="1">
        <v>1975.26</v>
      </c>
      <c r="C173" s="3">
        <v>2.5550965583973702E-4</v>
      </c>
      <c r="D173" s="1">
        <f t="shared" si="20"/>
        <v>0.5046980027939989</v>
      </c>
      <c r="F173" s="1">
        <v>8.5789999999999998E-3</v>
      </c>
      <c r="G173" s="1">
        <v>1975.26</v>
      </c>
      <c r="H173" s="3">
        <v>0</v>
      </c>
      <c r="I173" s="1">
        <f t="shared" si="21"/>
        <v>0</v>
      </c>
      <c r="K173" s="1">
        <v>8.5789999999999998E-3</v>
      </c>
      <c r="L173" s="1">
        <v>1975.26</v>
      </c>
      <c r="M173" s="3">
        <v>0</v>
      </c>
      <c r="N173" s="1">
        <f t="shared" si="22"/>
        <v>0</v>
      </c>
      <c r="P173" s="1">
        <v>8.5789999999999998E-3</v>
      </c>
      <c r="Q173" s="1">
        <v>1975.26</v>
      </c>
      <c r="R173" s="3">
        <v>0</v>
      </c>
      <c r="S173" s="1">
        <f t="shared" si="23"/>
        <v>0</v>
      </c>
      <c r="U173" s="1">
        <v>8.5789999999999998E-3</v>
      </c>
      <c r="V173" s="1">
        <v>1975.26</v>
      </c>
      <c r="W173" s="16">
        <v>0</v>
      </c>
      <c r="X173" s="1">
        <f t="shared" si="24"/>
        <v>0</v>
      </c>
      <c r="Z173" s="1">
        <v>8.5789999999999998E-3</v>
      </c>
      <c r="AA173" s="1">
        <v>1975.26</v>
      </c>
      <c r="AB173" s="3">
        <v>0</v>
      </c>
      <c r="AC173" s="1">
        <f t="shared" si="25"/>
        <v>0</v>
      </c>
      <c r="AE173" s="1">
        <v>8.5789999999999998E-3</v>
      </c>
      <c r="AF173" s="1">
        <v>1975.26</v>
      </c>
      <c r="AG173" s="3">
        <v>0</v>
      </c>
      <c r="AH173" s="1">
        <f t="shared" si="26"/>
        <v>0</v>
      </c>
      <c r="AJ173" s="1">
        <v>8.5789999999999998E-3</v>
      </c>
      <c r="AK173" s="1">
        <v>1975.26</v>
      </c>
      <c r="AL173" s="3">
        <v>1.51482042743943E-4</v>
      </c>
      <c r="AM173" s="1">
        <f t="shared" si="27"/>
        <v>0.29921641975040086</v>
      </c>
      <c r="AO173" s="1">
        <v>8.5789999999999998E-3</v>
      </c>
      <c r="AP173" s="1">
        <v>1975.26</v>
      </c>
      <c r="AQ173" s="2">
        <v>2.5059914581052699E-7</v>
      </c>
      <c r="AR173" s="1">
        <f t="shared" si="28"/>
        <v>4.9499846875370151E-4</v>
      </c>
      <c r="AT173" s="1">
        <v>8.5789999999999998E-3</v>
      </c>
      <c r="AU173" s="1">
        <v>1975.26</v>
      </c>
      <c r="AV173" s="3">
        <v>0</v>
      </c>
      <c r="AW173" s="1">
        <f t="shared" si="29"/>
        <v>0</v>
      </c>
    </row>
    <row r="174" spans="1:49" x14ac:dyDescent="0.3">
      <c r="A174" s="1">
        <v>9.6825000000000001E-3</v>
      </c>
      <c r="B174" s="1">
        <v>1916.13</v>
      </c>
      <c r="C174" s="3">
        <v>2.1740274696655499E-4</v>
      </c>
      <c r="D174" s="1">
        <f t="shared" si="20"/>
        <v>0.41657192554502503</v>
      </c>
      <c r="F174" s="1">
        <v>9.6825000000000001E-3</v>
      </c>
      <c r="G174" s="1">
        <v>1916.13</v>
      </c>
      <c r="H174" s="3">
        <v>0</v>
      </c>
      <c r="I174" s="1">
        <f t="shared" si="21"/>
        <v>0</v>
      </c>
      <c r="K174" s="1">
        <v>9.6825000000000001E-3</v>
      </c>
      <c r="L174" s="1">
        <v>1916.13</v>
      </c>
      <c r="M174" s="3">
        <v>0</v>
      </c>
      <c r="N174" s="1">
        <f t="shared" si="22"/>
        <v>0</v>
      </c>
      <c r="P174" s="1">
        <v>9.6825000000000001E-3</v>
      </c>
      <c r="Q174" s="1">
        <v>1916.13</v>
      </c>
      <c r="R174" s="3">
        <v>0</v>
      </c>
      <c r="S174" s="1">
        <f t="shared" si="23"/>
        <v>0</v>
      </c>
      <c r="U174" s="1">
        <v>9.6825000000000001E-3</v>
      </c>
      <c r="V174" s="1">
        <v>1916.13</v>
      </c>
      <c r="W174" s="16">
        <v>0</v>
      </c>
      <c r="X174" s="1">
        <f t="shared" si="24"/>
        <v>0</v>
      </c>
      <c r="Z174" s="1">
        <v>9.6825000000000001E-3</v>
      </c>
      <c r="AA174" s="1">
        <v>1916.13</v>
      </c>
      <c r="AB174" s="3">
        <v>0</v>
      </c>
      <c r="AC174" s="1">
        <f t="shared" si="25"/>
        <v>0</v>
      </c>
      <c r="AE174" s="1">
        <v>9.6825000000000001E-3</v>
      </c>
      <c r="AF174" s="1">
        <v>1916.13</v>
      </c>
      <c r="AG174" s="3">
        <v>0</v>
      </c>
      <c r="AH174" s="1">
        <f t="shared" si="26"/>
        <v>0</v>
      </c>
      <c r="AJ174" s="1">
        <v>9.6825000000000001E-3</v>
      </c>
      <c r="AK174" s="1">
        <v>1916.13</v>
      </c>
      <c r="AL174" s="2">
        <v>9.0419460367010404E-7</v>
      </c>
      <c r="AM174" s="1">
        <f t="shared" si="27"/>
        <v>1.7325544059303966E-3</v>
      </c>
      <c r="AO174" s="1">
        <v>9.6825000000000001E-3</v>
      </c>
      <c r="AP174" s="1">
        <v>1916.13</v>
      </c>
      <c r="AQ174" s="2">
        <v>4.5337417148083602E-7</v>
      </c>
      <c r="AR174" s="1">
        <f t="shared" si="28"/>
        <v>8.6872385119957432E-4</v>
      </c>
      <c r="AT174" s="1">
        <v>9.6825000000000001E-3</v>
      </c>
      <c r="AU174" s="1">
        <v>1916.13</v>
      </c>
      <c r="AV174" s="3">
        <v>0</v>
      </c>
      <c r="AW174" s="1">
        <f t="shared" si="29"/>
        <v>0</v>
      </c>
    </row>
    <row r="175" spans="1:49" x14ac:dyDescent="0.3">
      <c r="A175" s="1">
        <v>1.0928E-2</v>
      </c>
      <c r="B175" s="1">
        <v>2186.13</v>
      </c>
      <c r="C175" s="3">
        <v>1.99952773143726E-4</v>
      </c>
      <c r="D175" s="1">
        <f t="shared" si="20"/>
        <v>0.43712275595269373</v>
      </c>
      <c r="F175" s="1">
        <v>1.0928E-2</v>
      </c>
      <c r="G175" s="1">
        <v>2186.13</v>
      </c>
      <c r="H175" s="3">
        <v>0</v>
      </c>
      <c r="I175" s="1">
        <f t="shared" si="21"/>
        <v>0</v>
      </c>
      <c r="K175" s="1">
        <v>1.0928E-2</v>
      </c>
      <c r="L175" s="1">
        <v>2186.13</v>
      </c>
      <c r="M175" s="3">
        <v>0</v>
      </c>
      <c r="N175" s="1">
        <f t="shared" si="22"/>
        <v>0</v>
      </c>
      <c r="P175" s="1">
        <v>1.0928E-2</v>
      </c>
      <c r="Q175" s="1">
        <v>2186.13</v>
      </c>
      <c r="R175" s="3">
        <v>0</v>
      </c>
      <c r="S175" s="1">
        <f t="shared" si="23"/>
        <v>0</v>
      </c>
      <c r="U175" s="1">
        <v>1.0928E-2</v>
      </c>
      <c r="V175" s="1">
        <v>2186.13</v>
      </c>
      <c r="W175" s="16">
        <v>0</v>
      </c>
      <c r="X175" s="1">
        <f t="shared" si="24"/>
        <v>0</v>
      </c>
      <c r="Z175" s="1">
        <v>1.0928E-2</v>
      </c>
      <c r="AA175" s="1">
        <v>2186.13</v>
      </c>
      <c r="AB175" s="3">
        <v>0</v>
      </c>
      <c r="AC175" s="1">
        <f t="shared" si="25"/>
        <v>0</v>
      </c>
      <c r="AE175" s="1">
        <v>1.0928E-2</v>
      </c>
      <c r="AF175" s="1">
        <v>2186.13</v>
      </c>
      <c r="AG175" s="3">
        <v>0</v>
      </c>
      <c r="AH175" s="1">
        <f t="shared" si="26"/>
        <v>0</v>
      </c>
      <c r="AJ175" s="1">
        <v>1.0928E-2</v>
      </c>
      <c r="AK175" s="1">
        <v>2186.13</v>
      </c>
      <c r="AL175" s="2">
        <v>6.3661399524048199E-7</v>
      </c>
      <c r="AM175" s="1">
        <f t="shared" si="27"/>
        <v>1.3917209534150749E-3</v>
      </c>
      <c r="AO175" s="1">
        <v>1.0928E-2</v>
      </c>
      <c r="AP175" s="1">
        <v>2186.13</v>
      </c>
      <c r="AQ175" s="2">
        <v>1.00471128682309E-6</v>
      </c>
      <c r="AR175" s="1">
        <f t="shared" si="28"/>
        <v>2.1964294854625618E-3</v>
      </c>
      <c r="AT175" s="1">
        <v>1.0928E-2</v>
      </c>
      <c r="AU175" s="1">
        <v>2186.13</v>
      </c>
      <c r="AV175" s="3">
        <v>0</v>
      </c>
      <c r="AW175" s="1">
        <f t="shared" si="29"/>
        <v>0</v>
      </c>
    </row>
    <row r="176" spans="1:49" x14ac:dyDescent="0.3">
      <c r="A176" s="1">
        <v>1.2333999999999999E-2</v>
      </c>
      <c r="B176" s="1">
        <v>2141.9499999999998</v>
      </c>
      <c r="C176" s="3">
        <v>1.9123853278234801E-4</v>
      </c>
      <c r="D176" s="1">
        <f t="shared" si="20"/>
        <v>0.40962337529315029</v>
      </c>
      <c r="F176" s="1">
        <v>1.2333999999999999E-2</v>
      </c>
      <c r="G176" s="1">
        <v>2141.9499999999998</v>
      </c>
      <c r="H176" s="3">
        <v>0</v>
      </c>
      <c r="I176" s="1">
        <f t="shared" si="21"/>
        <v>0</v>
      </c>
      <c r="K176" s="1">
        <v>1.2333999999999999E-2</v>
      </c>
      <c r="L176" s="1">
        <v>2141.9499999999998</v>
      </c>
      <c r="M176" s="3">
        <v>0</v>
      </c>
      <c r="N176" s="1">
        <f t="shared" si="22"/>
        <v>0</v>
      </c>
      <c r="P176" s="1">
        <v>1.2333999999999999E-2</v>
      </c>
      <c r="Q176" s="1">
        <v>2141.9499999999998</v>
      </c>
      <c r="R176" s="3">
        <v>0</v>
      </c>
      <c r="S176" s="1">
        <f t="shared" si="23"/>
        <v>0</v>
      </c>
      <c r="U176" s="1">
        <v>1.2333999999999999E-2</v>
      </c>
      <c r="V176" s="1">
        <v>2141.9499999999998</v>
      </c>
      <c r="W176" s="16">
        <v>0</v>
      </c>
      <c r="X176" s="1">
        <f t="shared" si="24"/>
        <v>0</v>
      </c>
      <c r="Z176" s="1">
        <v>1.2333999999999999E-2</v>
      </c>
      <c r="AA176" s="1">
        <v>2141.9499999999998</v>
      </c>
      <c r="AB176" s="3">
        <v>0</v>
      </c>
      <c r="AC176" s="1">
        <f t="shared" si="25"/>
        <v>0</v>
      </c>
      <c r="AE176" s="1">
        <v>1.2333999999999999E-2</v>
      </c>
      <c r="AF176" s="1">
        <v>2141.9499999999998</v>
      </c>
      <c r="AG176" s="3">
        <v>0</v>
      </c>
      <c r="AH176" s="1">
        <f t="shared" si="26"/>
        <v>0</v>
      </c>
      <c r="AJ176" s="1">
        <v>1.2333999999999999E-2</v>
      </c>
      <c r="AK176" s="1">
        <v>2141.9499999999998</v>
      </c>
      <c r="AL176" s="2">
        <v>4.57356651531955E-7</v>
      </c>
      <c r="AM176" s="1">
        <f t="shared" si="27"/>
        <v>9.7963507974887089E-4</v>
      </c>
      <c r="AO176" s="1">
        <v>1.2333999999999999E-2</v>
      </c>
      <c r="AP176" s="1">
        <v>2141.9499999999998</v>
      </c>
      <c r="AQ176" s="2">
        <v>2.5898170678198299E-7</v>
      </c>
      <c r="AR176" s="1">
        <f t="shared" si="28"/>
        <v>5.5472586684166838E-4</v>
      </c>
      <c r="AT176" s="1">
        <v>1.2333999999999999E-2</v>
      </c>
      <c r="AU176" s="1">
        <v>2141.9499999999998</v>
      </c>
      <c r="AV176" s="3">
        <v>0</v>
      </c>
      <c r="AW176" s="1">
        <f t="shared" si="29"/>
        <v>0</v>
      </c>
    </row>
    <row r="177" spans="1:49" x14ac:dyDescent="0.3">
      <c r="A177" s="1">
        <v>1.392E-2</v>
      </c>
      <c r="B177" s="1">
        <v>2142.6999999999998</v>
      </c>
      <c r="C177" s="3">
        <v>1.7818052100483601E-4</v>
      </c>
      <c r="D177" s="1">
        <f t="shared" si="20"/>
        <v>0.3817874023570621</v>
      </c>
      <c r="F177" s="1">
        <v>1.392E-2</v>
      </c>
      <c r="G177" s="1">
        <v>2142.6999999999998</v>
      </c>
      <c r="H177" s="3">
        <v>0</v>
      </c>
      <c r="I177" s="1">
        <f t="shared" si="21"/>
        <v>0</v>
      </c>
      <c r="K177" s="1">
        <v>1.392E-2</v>
      </c>
      <c r="L177" s="1">
        <v>2142.6999999999998</v>
      </c>
      <c r="M177" s="3">
        <v>0</v>
      </c>
      <c r="N177" s="1">
        <f t="shared" si="22"/>
        <v>0</v>
      </c>
      <c r="P177" s="1">
        <v>1.392E-2</v>
      </c>
      <c r="Q177" s="1">
        <v>2142.6999999999998</v>
      </c>
      <c r="R177" s="3">
        <v>0</v>
      </c>
      <c r="S177" s="1">
        <f t="shared" si="23"/>
        <v>0</v>
      </c>
      <c r="U177" s="1">
        <v>1.392E-2</v>
      </c>
      <c r="V177" s="1">
        <v>2142.6999999999998</v>
      </c>
      <c r="W177" s="16">
        <v>0</v>
      </c>
      <c r="X177" s="1">
        <f t="shared" si="24"/>
        <v>0</v>
      </c>
      <c r="Z177" s="1">
        <v>1.392E-2</v>
      </c>
      <c r="AA177" s="1">
        <v>2142.6999999999998</v>
      </c>
      <c r="AB177" s="3">
        <v>0</v>
      </c>
      <c r="AC177" s="1">
        <f t="shared" si="25"/>
        <v>0</v>
      </c>
      <c r="AE177" s="1">
        <v>1.392E-2</v>
      </c>
      <c r="AF177" s="1">
        <v>2142.6999999999998</v>
      </c>
      <c r="AG177" s="3">
        <v>0</v>
      </c>
      <c r="AH177" s="1">
        <f t="shared" si="26"/>
        <v>0</v>
      </c>
      <c r="AJ177" s="1">
        <v>1.392E-2</v>
      </c>
      <c r="AK177" s="1">
        <v>2142.6999999999998</v>
      </c>
      <c r="AL177" s="2">
        <v>3.2577469358777402E-7</v>
      </c>
      <c r="AM177" s="1">
        <f t="shared" si="27"/>
        <v>6.9803743595052328E-4</v>
      </c>
      <c r="AO177" s="1">
        <v>1.392E-2</v>
      </c>
      <c r="AP177" s="1">
        <v>2142.6999999999998</v>
      </c>
      <c r="AQ177" s="2">
        <v>3.5186614274546901E-7</v>
      </c>
      <c r="AR177" s="1">
        <f t="shared" si="28"/>
        <v>7.5394358406071632E-4</v>
      </c>
      <c r="AT177" s="1">
        <v>1.392E-2</v>
      </c>
      <c r="AU177" s="1">
        <v>2142.6999999999998</v>
      </c>
      <c r="AV177" s="3">
        <v>0</v>
      </c>
      <c r="AW177" s="1">
        <f t="shared" si="29"/>
        <v>0</v>
      </c>
    </row>
    <row r="178" spans="1:49" x14ac:dyDescent="0.3">
      <c r="A178" s="1">
        <v>1.5709999999999998E-2</v>
      </c>
      <c r="B178" s="1">
        <v>2110.19</v>
      </c>
      <c r="C178" s="3">
        <v>1.63035255083824E-4</v>
      </c>
      <c r="D178" s="1">
        <f t="shared" si="20"/>
        <v>0.3440353649253346</v>
      </c>
      <c r="F178" s="1">
        <v>1.5709999999999998E-2</v>
      </c>
      <c r="G178" s="1">
        <v>2110.19</v>
      </c>
      <c r="H178" s="3">
        <v>0</v>
      </c>
      <c r="I178" s="1">
        <f t="shared" si="21"/>
        <v>0</v>
      </c>
      <c r="K178" s="1">
        <v>1.5709999999999998E-2</v>
      </c>
      <c r="L178" s="1">
        <v>2110.19</v>
      </c>
      <c r="M178" s="3">
        <v>0</v>
      </c>
      <c r="N178" s="1">
        <f t="shared" si="22"/>
        <v>0</v>
      </c>
      <c r="P178" s="1">
        <v>1.5709999999999998E-2</v>
      </c>
      <c r="Q178" s="1">
        <v>2110.19</v>
      </c>
      <c r="R178" s="3">
        <v>0</v>
      </c>
      <c r="S178" s="1">
        <f t="shared" si="23"/>
        <v>0</v>
      </c>
      <c r="U178" s="1">
        <v>1.5709999999999998E-2</v>
      </c>
      <c r="V178" s="1">
        <v>2110.19</v>
      </c>
      <c r="W178" s="16">
        <v>0</v>
      </c>
      <c r="X178" s="1">
        <f t="shared" si="24"/>
        <v>0</v>
      </c>
      <c r="Z178" s="1">
        <v>1.5709999999999998E-2</v>
      </c>
      <c r="AA178" s="1">
        <v>2110.19</v>
      </c>
      <c r="AB178" s="3">
        <v>0</v>
      </c>
      <c r="AC178" s="1">
        <f t="shared" si="25"/>
        <v>0</v>
      </c>
      <c r="AE178" s="1">
        <v>1.5709999999999998E-2</v>
      </c>
      <c r="AF178" s="1">
        <v>2110.19</v>
      </c>
      <c r="AG178" s="3">
        <v>0</v>
      </c>
      <c r="AH178" s="1">
        <f t="shared" si="26"/>
        <v>0</v>
      </c>
      <c r="AJ178" s="1">
        <v>1.5709999999999998E-2</v>
      </c>
      <c r="AK178" s="1">
        <v>2110.19</v>
      </c>
      <c r="AL178" s="2">
        <v>2.3455728928578401E-7</v>
      </c>
      <c r="AM178" s="1">
        <f t="shared" si="27"/>
        <v>4.9496044627796859E-4</v>
      </c>
      <c r="AO178" s="1">
        <v>1.5709999999999998E-2</v>
      </c>
      <c r="AP178" s="1">
        <v>2110.19</v>
      </c>
      <c r="AQ178" s="2">
        <v>1.82124019523976E-7</v>
      </c>
      <c r="AR178" s="1">
        <f t="shared" si="28"/>
        <v>3.8431628475929893E-4</v>
      </c>
      <c r="AT178" s="1">
        <v>1.5709999999999998E-2</v>
      </c>
      <c r="AU178" s="1">
        <v>2110.19</v>
      </c>
      <c r="AV178" s="3">
        <v>0</v>
      </c>
      <c r="AW178" s="1">
        <f t="shared" si="29"/>
        <v>0</v>
      </c>
    </row>
    <row r="179" spans="1:49" x14ac:dyDescent="0.3">
      <c r="A179" s="1">
        <v>1.7731E-2</v>
      </c>
      <c r="B179" s="1">
        <v>2033.77</v>
      </c>
      <c r="C179" s="3">
        <v>1.4845606219616699E-4</v>
      </c>
      <c r="D179" s="1">
        <f t="shared" si="20"/>
        <v>0.30192548561269855</v>
      </c>
      <c r="F179" s="1">
        <v>1.7731E-2</v>
      </c>
      <c r="G179" s="1">
        <v>2033.77</v>
      </c>
      <c r="H179" s="3">
        <v>0</v>
      </c>
      <c r="I179" s="1">
        <f t="shared" si="21"/>
        <v>0</v>
      </c>
      <c r="K179" s="1">
        <v>1.7731E-2</v>
      </c>
      <c r="L179" s="1">
        <v>2033.77</v>
      </c>
      <c r="M179" s="3">
        <v>0</v>
      </c>
      <c r="N179" s="1">
        <f t="shared" si="22"/>
        <v>0</v>
      </c>
      <c r="P179" s="1">
        <v>1.7731E-2</v>
      </c>
      <c r="Q179" s="1">
        <v>2033.77</v>
      </c>
      <c r="R179" s="3">
        <v>0</v>
      </c>
      <c r="S179" s="1">
        <f t="shared" si="23"/>
        <v>0</v>
      </c>
      <c r="U179" s="1">
        <v>1.7731E-2</v>
      </c>
      <c r="V179" s="1">
        <v>2033.77</v>
      </c>
      <c r="W179" s="16">
        <v>0</v>
      </c>
      <c r="X179" s="1">
        <f t="shared" si="24"/>
        <v>0</v>
      </c>
      <c r="Z179" s="1">
        <v>1.7731E-2</v>
      </c>
      <c r="AA179" s="1">
        <v>2033.77</v>
      </c>
      <c r="AB179" s="3">
        <v>0</v>
      </c>
      <c r="AC179" s="1">
        <f t="shared" si="25"/>
        <v>0</v>
      </c>
      <c r="AE179" s="1">
        <v>1.7731E-2</v>
      </c>
      <c r="AF179" s="1">
        <v>2033.77</v>
      </c>
      <c r="AG179" s="3">
        <v>0</v>
      </c>
      <c r="AH179" s="1">
        <f t="shared" si="26"/>
        <v>0</v>
      </c>
      <c r="AJ179" s="1">
        <v>1.7731E-2</v>
      </c>
      <c r="AK179" s="1">
        <v>2033.77</v>
      </c>
      <c r="AL179" s="2">
        <v>1.81036103259923E-7</v>
      </c>
      <c r="AM179" s="1">
        <f t="shared" si="27"/>
        <v>3.681857957269336E-4</v>
      </c>
      <c r="AO179" s="1">
        <v>1.7731E-2</v>
      </c>
      <c r="AP179" s="1">
        <v>2033.77</v>
      </c>
      <c r="AQ179" s="2">
        <v>6.4025396513565102E-8</v>
      </c>
      <c r="AR179" s="1">
        <f t="shared" si="28"/>
        <v>1.302129306673933E-4</v>
      </c>
      <c r="AT179" s="1">
        <v>1.7731E-2</v>
      </c>
      <c r="AU179" s="1">
        <v>2033.77</v>
      </c>
      <c r="AV179" s="3">
        <v>0</v>
      </c>
      <c r="AW179" s="1">
        <f t="shared" si="29"/>
        <v>0</v>
      </c>
    </row>
    <row r="180" spans="1:49" x14ac:dyDescent="0.3">
      <c r="A180" s="1">
        <v>2.0011999999999999E-2</v>
      </c>
      <c r="B180" s="1">
        <v>2290.35</v>
      </c>
      <c r="C180" s="3">
        <v>1.3369126838950999E-4</v>
      </c>
      <c r="D180" s="1">
        <f t="shared" si="20"/>
        <v>0.30619979655591417</v>
      </c>
      <c r="F180" s="1">
        <v>2.0011999999999999E-2</v>
      </c>
      <c r="G180" s="1">
        <v>2290.35</v>
      </c>
      <c r="H180" s="3">
        <v>0</v>
      </c>
      <c r="I180" s="1">
        <f t="shared" si="21"/>
        <v>0</v>
      </c>
      <c r="K180" s="1">
        <v>2.0011999999999999E-2</v>
      </c>
      <c r="L180" s="1">
        <v>2290.35</v>
      </c>
      <c r="M180" s="3">
        <v>0</v>
      </c>
      <c r="N180" s="1">
        <f t="shared" si="22"/>
        <v>0</v>
      </c>
      <c r="P180" s="1">
        <v>2.0011999999999999E-2</v>
      </c>
      <c r="Q180" s="1">
        <v>2290.35</v>
      </c>
      <c r="R180" s="3">
        <v>0</v>
      </c>
      <c r="S180" s="1">
        <f t="shared" si="23"/>
        <v>0</v>
      </c>
      <c r="U180" s="1">
        <v>2.0011999999999999E-2</v>
      </c>
      <c r="V180" s="1">
        <v>2290.35</v>
      </c>
      <c r="W180" s="16">
        <v>0</v>
      </c>
      <c r="X180" s="1">
        <f t="shared" si="24"/>
        <v>0</v>
      </c>
      <c r="Z180" s="1">
        <v>2.0011999999999999E-2</v>
      </c>
      <c r="AA180" s="1">
        <v>2290.35</v>
      </c>
      <c r="AB180" s="3">
        <v>0</v>
      </c>
      <c r="AC180" s="1">
        <f t="shared" si="25"/>
        <v>0</v>
      </c>
      <c r="AE180" s="1">
        <v>2.0011999999999999E-2</v>
      </c>
      <c r="AF180" s="1">
        <v>2290.35</v>
      </c>
      <c r="AG180" s="3">
        <v>0</v>
      </c>
      <c r="AH180" s="1">
        <f t="shared" si="26"/>
        <v>0</v>
      </c>
      <c r="AJ180" s="1">
        <v>2.0011999999999999E-2</v>
      </c>
      <c r="AK180" s="1">
        <v>2290.35</v>
      </c>
      <c r="AL180" s="2">
        <v>1.4666777711193301E-7</v>
      </c>
      <c r="AM180" s="1">
        <f t="shared" si="27"/>
        <v>3.3592054330831573E-4</v>
      </c>
      <c r="AO180" s="1">
        <v>2.0011999999999999E-2</v>
      </c>
      <c r="AP180" s="1">
        <v>2290.35</v>
      </c>
      <c r="AQ180" s="2">
        <v>2.2185886529260601E-7</v>
      </c>
      <c r="AR180" s="1">
        <f t="shared" si="28"/>
        <v>5.081344521229202E-4</v>
      </c>
      <c r="AT180" s="1">
        <v>2.0011999999999999E-2</v>
      </c>
      <c r="AU180" s="1">
        <v>2290.35</v>
      </c>
      <c r="AV180" s="3">
        <v>0</v>
      </c>
      <c r="AW180" s="1">
        <f t="shared" si="29"/>
        <v>0</v>
      </c>
    </row>
    <row r="181" spans="1:49" x14ac:dyDescent="0.3">
      <c r="A181" s="1">
        <v>2.2585999999999998E-2</v>
      </c>
      <c r="B181" s="1">
        <v>2400.8000000000002</v>
      </c>
      <c r="C181" s="3">
        <v>1.2184442404213101E-4</v>
      </c>
      <c r="D181" s="1">
        <f t="shared" si="20"/>
        <v>0.29252409324034812</v>
      </c>
      <c r="F181" s="1">
        <v>2.2585999999999998E-2</v>
      </c>
      <c r="G181" s="1">
        <v>2400.8000000000002</v>
      </c>
      <c r="H181" s="3">
        <v>0</v>
      </c>
      <c r="I181" s="1">
        <f t="shared" si="21"/>
        <v>0</v>
      </c>
      <c r="K181" s="1">
        <v>2.2585999999999998E-2</v>
      </c>
      <c r="L181" s="1">
        <v>2400.8000000000002</v>
      </c>
      <c r="M181" s="3">
        <v>0</v>
      </c>
      <c r="N181" s="1">
        <f t="shared" si="22"/>
        <v>0</v>
      </c>
      <c r="P181" s="1">
        <v>2.2585999999999998E-2</v>
      </c>
      <c r="Q181" s="1">
        <v>2400.8000000000002</v>
      </c>
      <c r="R181" s="3">
        <v>0</v>
      </c>
      <c r="S181" s="1">
        <f t="shared" si="23"/>
        <v>0</v>
      </c>
      <c r="U181" s="1">
        <v>2.2585999999999998E-2</v>
      </c>
      <c r="V181" s="1">
        <v>2400.8000000000002</v>
      </c>
      <c r="W181" s="16">
        <v>0</v>
      </c>
      <c r="X181" s="1">
        <f t="shared" si="24"/>
        <v>0</v>
      </c>
      <c r="Z181" s="1">
        <v>2.2585999999999998E-2</v>
      </c>
      <c r="AA181" s="1">
        <v>2400.8000000000002</v>
      </c>
      <c r="AB181" s="3">
        <v>0</v>
      </c>
      <c r="AC181" s="1">
        <f t="shared" si="25"/>
        <v>0</v>
      </c>
      <c r="AE181" s="1">
        <v>2.2585999999999998E-2</v>
      </c>
      <c r="AF181" s="1">
        <v>2400.8000000000002</v>
      </c>
      <c r="AG181" s="3">
        <v>0</v>
      </c>
      <c r="AH181" s="1">
        <f t="shared" si="26"/>
        <v>0</v>
      </c>
      <c r="AJ181" s="1">
        <v>2.2585999999999998E-2</v>
      </c>
      <c r="AK181" s="1">
        <v>2400.8000000000002</v>
      </c>
      <c r="AL181" s="2">
        <v>1.2380338501917601E-7</v>
      </c>
      <c r="AM181" s="1">
        <f t="shared" si="27"/>
        <v>2.9722716675403778E-4</v>
      </c>
      <c r="AO181" s="1">
        <v>2.2585999999999998E-2</v>
      </c>
      <c r="AP181" s="1">
        <v>2400.8000000000002</v>
      </c>
      <c r="AQ181" s="2">
        <v>1.67239536136642E-7</v>
      </c>
      <c r="AR181" s="1">
        <f t="shared" si="28"/>
        <v>4.0150867835685015E-4</v>
      </c>
      <c r="AT181" s="1">
        <v>2.2585999999999998E-2</v>
      </c>
      <c r="AU181" s="1">
        <v>2400.8000000000002</v>
      </c>
      <c r="AV181" s="3">
        <v>0</v>
      </c>
      <c r="AW181" s="1">
        <f t="shared" si="29"/>
        <v>0</v>
      </c>
    </row>
    <row r="182" spans="1:49" x14ac:dyDescent="0.3">
      <c r="A182" s="1">
        <v>2.5491E-2</v>
      </c>
      <c r="B182" s="1">
        <v>2195.7600000000002</v>
      </c>
      <c r="C182" s="3">
        <v>1.14227960651578E-4</v>
      </c>
      <c r="D182" s="1">
        <f t="shared" si="20"/>
        <v>0.25081718688030891</v>
      </c>
      <c r="F182" s="1">
        <v>2.5491E-2</v>
      </c>
      <c r="G182" s="1">
        <v>2195.7600000000002</v>
      </c>
      <c r="H182" s="3">
        <v>0</v>
      </c>
      <c r="I182" s="1">
        <f t="shared" si="21"/>
        <v>0</v>
      </c>
      <c r="K182" s="1">
        <v>2.5491E-2</v>
      </c>
      <c r="L182" s="1">
        <v>2195.7600000000002</v>
      </c>
      <c r="M182" s="3">
        <v>0</v>
      </c>
      <c r="N182" s="1">
        <f t="shared" si="22"/>
        <v>0</v>
      </c>
      <c r="P182" s="1">
        <v>2.5491E-2</v>
      </c>
      <c r="Q182" s="1">
        <v>2195.7600000000002</v>
      </c>
      <c r="R182" s="3">
        <v>0</v>
      </c>
      <c r="S182" s="1">
        <f t="shared" si="23"/>
        <v>0</v>
      </c>
      <c r="U182" s="1">
        <v>2.5491E-2</v>
      </c>
      <c r="V182" s="1">
        <v>2195.7600000000002</v>
      </c>
      <c r="W182" s="16">
        <v>0</v>
      </c>
      <c r="X182" s="1">
        <f t="shared" si="24"/>
        <v>0</v>
      </c>
      <c r="Z182" s="1">
        <v>2.5491E-2</v>
      </c>
      <c r="AA182" s="1">
        <v>2195.7600000000002</v>
      </c>
      <c r="AB182" s="3">
        <v>0</v>
      </c>
      <c r="AC182" s="1">
        <f t="shared" si="25"/>
        <v>0</v>
      </c>
      <c r="AE182" s="1">
        <v>2.5491E-2</v>
      </c>
      <c r="AF182" s="1">
        <v>2195.7600000000002</v>
      </c>
      <c r="AG182" s="3">
        <v>0</v>
      </c>
      <c r="AH182" s="1">
        <f t="shared" si="26"/>
        <v>0</v>
      </c>
      <c r="AJ182" s="1">
        <v>2.5491E-2</v>
      </c>
      <c r="AK182" s="1">
        <v>2195.7600000000002</v>
      </c>
      <c r="AL182" s="2">
        <v>1.07960618565056E-7</v>
      </c>
      <c r="AM182" s="1">
        <f t="shared" si="27"/>
        <v>2.3705560782040738E-4</v>
      </c>
      <c r="AO182" s="1">
        <v>2.5491E-2</v>
      </c>
      <c r="AP182" s="1">
        <v>2195.7600000000002</v>
      </c>
      <c r="AQ182" s="2">
        <v>4.7313117659902202E-8</v>
      </c>
      <c r="AR182" s="1">
        <f t="shared" si="28"/>
        <v>1.0388825123290687E-4</v>
      </c>
      <c r="AT182" s="1">
        <v>2.5491E-2</v>
      </c>
      <c r="AU182" s="1">
        <v>2195.7600000000002</v>
      </c>
      <c r="AV182" s="3">
        <v>0</v>
      </c>
      <c r="AW182" s="1">
        <f t="shared" si="29"/>
        <v>0</v>
      </c>
    </row>
    <row r="183" spans="1:49" x14ac:dyDescent="0.3">
      <c r="A183" s="1">
        <v>2.877E-2</v>
      </c>
      <c r="B183" s="1">
        <v>2215.35</v>
      </c>
      <c r="C183" s="3">
        <v>1.09452532003931E-4</v>
      </c>
      <c r="D183" s="1">
        <f t="shared" si="20"/>
        <v>0.24247566677490853</v>
      </c>
      <c r="F183" s="1">
        <v>2.877E-2</v>
      </c>
      <c r="G183" s="1">
        <v>2215.35</v>
      </c>
      <c r="H183" s="3">
        <v>0</v>
      </c>
      <c r="I183" s="1">
        <f t="shared" si="21"/>
        <v>0</v>
      </c>
      <c r="K183" s="1">
        <v>2.877E-2</v>
      </c>
      <c r="L183" s="1">
        <v>2215.35</v>
      </c>
      <c r="M183" s="3">
        <v>0</v>
      </c>
      <c r="N183" s="1">
        <f t="shared" si="22"/>
        <v>0</v>
      </c>
      <c r="P183" s="1">
        <v>2.877E-2</v>
      </c>
      <c r="Q183" s="1">
        <v>2215.35</v>
      </c>
      <c r="R183" s="3">
        <v>0</v>
      </c>
      <c r="S183" s="1">
        <f t="shared" si="23"/>
        <v>0</v>
      </c>
      <c r="U183" s="1">
        <v>2.877E-2</v>
      </c>
      <c r="V183" s="1">
        <v>2215.35</v>
      </c>
      <c r="W183" s="16">
        <v>0</v>
      </c>
      <c r="X183" s="1">
        <f t="shared" si="24"/>
        <v>0</v>
      </c>
      <c r="Z183" s="1">
        <v>2.877E-2</v>
      </c>
      <c r="AA183" s="1">
        <v>2215.35</v>
      </c>
      <c r="AB183" s="3">
        <v>0</v>
      </c>
      <c r="AC183" s="1">
        <f t="shared" si="25"/>
        <v>0</v>
      </c>
      <c r="AE183" s="1">
        <v>2.877E-2</v>
      </c>
      <c r="AF183" s="1">
        <v>2215.35</v>
      </c>
      <c r="AG183" s="3">
        <v>0</v>
      </c>
      <c r="AH183" s="1">
        <f t="shared" si="26"/>
        <v>0</v>
      </c>
      <c r="AJ183" s="1">
        <v>2.877E-2</v>
      </c>
      <c r="AK183" s="1">
        <v>2215.35</v>
      </c>
      <c r="AL183" s="2">
        <v>1.02212069966896E-7</v>
      </c>
      <c r="AM183" s="1">
        <f t="shared" si="27"/>
        <v>2.2643550920116304E-4</v>
      </c>
      <c r="AO183" s="1">
        <v>2.877E-2</v>
      </c>
      <c r="AP183" s="1">
        <v>2215.35</v>
      </c>
      <c r="AQ183" s="2">
        <v>1.90215121323692E-7</v>
      </c>
      <c r="AR183" s="1">
        <f t="shared" si="28"/>
        <v>4.2139306902444105E-4</v>
      </c>
      <c r="AT183" s="1">
        <v>2.877E-2</v>
      </c>
      <c r="AU183" s="1">
        <v>2215.35</v>
      </c>
      <c r="AV183" s="3">
        <v>0</v>
      </c>
      <c r="AW183" s="1">
        <f t="shared" si="29"/>
        <v>0</v>
      </c>
    </row>
    <row r="184" spans="1:49" x14ac:dyDescent="0.3">
      <c r="A184" s="1">
        <v>3.2469999999999999E-2</v>
      </c>
      <c r="B184" s="1">
        <v>2490.2199999999998</v>
      </c>
      <c r="C184" s="3">
        <v>1.04121060767367E-4</v>
      </c>
      <c r="D184" s="1">
        <f t="shared" si="20"/>
        <v>0.25928434794411265</v>
      </c>
      <c r="F184" s="1">
        <v>3.2469999999999999E-2</v>
      </c>
      <c r="G184" s="1">
        <v>2490.2199999999998</v>
      </c>
      <c r="H184" s="3">
        <v>0</v>
      </c>
      <c r="I184" s="1">
        <f t="shared" si="21"/>
        <v>0</v>
      </c>
      <c r="K184" s="1">
        <v>3.2469999999999999E-2</v>
      </c>
      <c r="L184" s="1">
        <v>2490.2199999999998</v>
      </c>
      <c r="M184" s="3">
        <v>0</v>
      </c>
      <c r="N184" s="1">
        <f t="shared" si="22"/>
        <v>0</v>
      </c>
      <c r="P184" s="1">
        <v>3.2469999999999999E-2</v>
      </c>
      <c r="Q184" s="1">
        <v>2490.2199999999998</v>
      </c>
      <c r="R184" s="3">
        <v>0</v>
      </c>
      <c r="S184" s="1">
        <f t="shared" si="23"/>
        <v>0</v>
      </c>
      <c r="U184" s="1">
        <v>3.2469999999999999E-2</v>
      </c>
      <c r="V184" s="1">
        <v>2490.2199999999998</v>
      </c>
      <c r="W184" s="16">
        <v>0</v>
      </c>
      <c r="X184" s="1">
        <f t="shared" si="24"/>
        <v>0</v>
      </c>
      <c r="Z184" s="1">
        <v>3.2469999999999999E-2</v>
      </c>
      <c r="AA184" s="1">
        <v>2490.2199999999998</v>
      </c>
      <c r="AB184" s="3">
        <v>0</v>
      </c>
      <c r="AC184" s="1">
        <f t="shared" si="25"/>
        <v>0</v>
      </c>
      <c r="AE184" s="1">
        <v>3.2469999999999999E-2</v>
      </c>
      <c r="AF184" s="1">
        <v>2490.2199999999998</v>
      </c>
      <c r="AG184" s="3">
        <v>0</v>
      </c>
      <c r="AH184" s="1">
        <f t="shared" si="26"/>
        <v>0</v>
      </c>
      <c r="AJ184" s="1">
        <v>3.2469999999999999E-2</v>
      </c>
      <c r="AK184" s="1">
        <v>2490.2199999999998</v>
      </c>
      <c r="AL184" s="2">
        <v>1.12620709818283E-7</v>
      </c>
      <c r="AM184" s="1">
        <f t="shared" si="27"/>
        <v>2.8045034400368466E-4</v>
      </c>
      <c r="AO184" s="1">
        <v>3.2469999999999999E-2</v>
      </c>
      <c r="AP184" s="1">
        <v>2490.2199999999998</v>
      </c>
      <c r="AQ184" s="2">
        <v>1.25496184082113E-7</v>
      </c>
      <c r="AR184" s="1">
        <f t="shared" si="28"/>
        <v>3.1251310752495942E-4</v>
      </c>
      <c r="AT184" s="1">
        <v>3.2469999999999999E-2</v>
      </c>
      <c r="AU184" s="1">
        <v>2490.2199999999998</v>
      </c>
      <c r="AV184" s="3">
        <v>0</v>
      </c>
      <c r="AW184" s="1">
        <f t="shared" si="29"/>
        <v>0</v>
      </c>
    </row>
    <row r="185" spans="1:49" x14ac:dyDescent="0.3">
      <c r="A185" s="1">
        <v>3.6646999999999999E-2</v>
      </c>
      <c r="B185" s="1">
        <v>2088.34</v>
      </c>
      <c r="C185" s="2">
        <v>9.6702840435426002E-5</v>
      </c>
      <c r="D185" s="1">
        <f t="shared" si="20"/>
        <v>0.20194840979491754</v>
      </c>
      <c r="F185" s="1">
        <v>3.6646999999999999E-2</v>
      </c>
      <c r="G185" s="1">
        <v>2088.34</v>
      </c>
      <c r="H185" s="3">
        <v>0</v>
      </c>
      <c r="I185" s="1">
        <f t="shared" si="21"/>
        <v>0</v>
      </c>
      <c r="K185" s="1">
        <v>3.6646999999999999E-2</v>
      </c>
      <c r="L185" s="1">
        <v>2088.34</v>
      </c>
      <c r="M185" s="3">
        <v>0</v>
      </c>
      <c r="N185" s="1">
        <f t="shared" si="22"/>
        <v>0</v>
      </c>
      <c r="P185" s="1">
        <v>3.6646999999999999E-2</v>
      </c>
      <c r="Q185" s="1">
        <v>2088.34</v>
      </c>
      <c r="R185" s="3">
        <v>0</v>
      </c>
      <c r="S185" s="1">
        <f t="shared" si="23"/>
        <v>0</v>
      </c>
      <c r="U185" s="1">
        <v>3.6646999999999999E-2</v>
      </c>
      <c r="V185" s="1">
        <v>2088.34</v>
      </c>
      <c r="W185" s="16">
        <v>0</v>
      </c>
      <c r="X185" s="1">
        <f t="shared" si="24"/>
        <v>0</v>
      </c>
      <c r="Z185" s="1">
        <v>3.6646999999999999E-2</v>
      </c>
      <c r="AA185" s="1">
        <v>2088.34</v>
      </c>
      <c r="AB185" s="3">
        <v>0</v>
      </c>
      <c r="AC185" s="1">
        <f t="shared" si="25"/>
        <v>0</v>
      </c>
      <c r="AE185" s="1">
        <v>3.6646999999999999E-2</v>
      </c>
      <c r="AF185" s="1">
        <v>2088.34</v>
      </c>
      <c r="AG185" s="3">
        <v>0</v>
      </c>
      <c r="AH185" s="1">
        <f t="shared" si="26"/>
        <v>0</v>
      </c>
      <c r="AJ185" s="1">
        <v>3.6646999999999999E-2</v>
      </c>
      <c r="AK185" s="1">
        <v>2088.34</v>
      </c>
      <c r="AL185" s="3">
        <v>6.68423678244754E-4</v>
      </c>
      <c r="AM185" s="1">
        <f t="shared" si="27"/>
        <v>1.3958959042256496</v>
      </c>
      <c r="AO185" s="1">
        <v>3.6646999999999999E-2</v>
      </c>
      <c r="AP185" s="1">
        <v>2088.34</v>
      </c>
      <c r="AQ185" s="2">
        <v>1.10626487593055E-7</v>
      </c>
      <c r="AR185" s="1">
        <f t="shared" si="28"/>
        <v>2.310257191000805E-4</v>
      </c>
      <c r="AT185" s="1">
        <v>3.6646999999999999E-2</v>
      </c>
      <c r="AU185" s="1">
        <v>2088.34</v>
      </c>
      <c r="AV185" s="3">
        <v>0</v>
      </c>
      <c r="AW185" s="1">
        <f t="shared" si="29"/>
        <v>0</v>
      </c>
    </row>
    <row r="186" spans="1:49" x14ac:dyDescent="0.3">
      <c r="A186" s="1">
        <v>4.1360000000000001E-2</v>
      </c>
      <c r="B186" s="1">
        <v>2573.3200000000002</v>
      </c>
      <c r="C186" s="2">
        <v>9.0085389049373503E-5</v>
      </c>
      <c r="D186" s="1">
        <f t="shared" si="20"/>
        <v>0.23181853334853383</v>
      </c>
      <c r="F186" s="1">
        <v>4.1360000000000001E-2</v>
      </c>
      <c r="G186" s="1">
        <v>2573.3200000000002</v>
      </c>
      <c r="H186" s="3">
        <v>0</v>
      </c>
      <c r="I186" s="1">
        <f t="shared" si="21"/>
        <v>0</v>
      </c>
      <c r="K186" s="1">
        <v>4.1360000000000001E-2</v>
      </c>
      <c r="L186" s="1">
        <v>2573.3200000000002</v>
      </c>
      <c r="M186" s="3">
        <v>0</v>
      </c>
      <c r="N186" s="1">
        <f t="shared" si="22"/>
        <v>0</v>
      </c>
      <c r="P186" s="1">
        <v>4.1360000000000001E-2</v>
      </c>
      <c r="Q186" s="1">
        <v>2573.3200000000002</v>
      </c>
      <c r="R186" s="3">
        <v>0</v>
      </c>
      <c r="S186" s="1">
        <f t="shared" si="23"/>
        <v>0</v>
      </c>
      <c r="U186" s="1">
        <v>4.1360000000000001E-2</v>
      </c>
      <c r="V186" s="1">
        <v>2573.3200000000002</v>
      </c>
      <c r="W186" s="16">
        <v>0</v>
      </c>
      <c r="X186" s="1">
        <f t="shared" si="24"/>
        <v>0</v>
      </c>
      <c r="Z186" s="1">
        <v>4.1360000000000001E-2</v>
      </c>
      <c r="AA186" s="1">
        <v>2573.3200000000002</v>
      </c>
      <c r="AB186" s="3">
        <v>0</v>
      </c>
      <c r="AC186" s="1">
        <f t="shared" si="25"/>
        <v>0</v>
      </c>
      <c r="AE186" s="1">
        <v>4.1360000000000001E-2</v>
      </c>
      <c r="AF186" s="1">
        <v>2573.3200000000002</v>
      </c>
      <c r="AG186" s="3">
        <v>0</v>
      </c>
      <c r="AH186" s="1">
        <f t="shared" si="26"/>
        <v>0</v>
      </c>
      <c r="AJ186" s="1">
        <v>4.1360000000000001E-2</v>
      </c>
      <c r="AK186" s="1">
        <v>2573.3200000000002</v>
      </c>
      <c r="AL186" s="2">
        <v>1.9740234276106199E-7</v>
      </c>
      <c r="AM186" s="1">
        <f t="shared" si="27"/>
        <v>5.0797939667389608E-4</v>
      </c>
      <c r="AO186" s="1">
        <v>4.1360000000000001E-2</v>
      </c>
      <c r="AP186" s="1">
        <v>2573.3200000000002</v>
      </c>
      <c r="AQ186" s="2">
        <v>6.7713014429795294E-8</v>
      </c>
      <c r="AR186" s="1">
        <f t="shared" si="28"/>
        <v>1.7424725429248083E-4</v>
      </c>
      <c r="AT186" s="1">
        <v>4.1360000000000001E-2</v>
      </c>
      <c r="AU186" s="1">
        <v>2573.3200000000002</v>
      </c>
      <c r="AV186" s="3">
        <v>0</v>
      </c>
      <c r="AW186" s="1">
        <f t="shared" si="29"/>
        <v>0</v>
      </c>
    </row>
    <row r="187" spans="1:49" x14ac:dyDescent="0.3">
      <c r="A187" s="1">
        <v>4.6679999999999999E-2</v>
      </c>
      <c r="B187" s="1">
        <v>2777.61</v>
      </c>
      <c r="C187" s="2">
        <v>8.3787894836606996E-5</v>
      </c>
      <c r="D187" s="1">
        <f t="shared" si="20"/>
        <v>0.23273009457710797</v>
      </c>
      <c r="F187" s="1">
        <v>4.6679999999999999E-2</v>
      </c>
      <c r="G187" s="1">
        <v>2777.61</v>
      </c>
      <c r="H187" s="3">
        <v>0</v>
      </c>
      <c r="I187" s="1">
        <f t="shared" si="21"/>
        <v>0</v>
      </c>
      <c r="K187" s="1">
        <v>4.6679999999999999E-2</v>
      </c>
      <c r="L187" s="1">
        <v>2777.61</v>
      </c>
      <c r="M187" s="3">
        <v>0</v>
      </c>
      <c r="N187" s="1">
        <f t="shared" si="22"/>
        <v>0</v>
      </c>
      <c r="P187" s="1">
        <v>4.6679999999999999E-2</v>
      </c>
      <c r="Q187" s="1">
        <v>2777.61</v>
      </c>
      <c r="R187" s="3">
        <v>0</v>
      </c>
      <c r="S187" s="1">
        <f t="shared" si="23"/>
        <v>0</v>
      </c>
      <c r="U187" s="1">
        <v>4.6679999999999999E-2</v>
      </c>
      <c r="V187" s="1">
        <v>2777.61</v>
      </c>
      <c r="W187" s="16">
        <v>0</v>
      </c>
      <c r="X187" s="1">
        <f t="shared" si="24"/>
        <v>0</v>
      </c>
      <c r="Z187" s="1">
        <v>4.6679999999999999E-2</v>
      </c>
      <c r="AA187" s="1">
        <v>2777.61</v>
      </c>
      <c r="AB187" s="3">
        <v>0</v>
      </c>
      <c r="AC187" s="1">
        <f t="shared" si="25"/>
        <v>0</v>
      </c>
      <c r="AE187" s="1">
        <v>4.6679999999999999E-2</v>
      </c>
      <c r="AF187" s="1">
        <v>2777.61</v>
      </c>
      <c r="AG187" s="3">
        <v>0</v>
      </c>
      <c r="AH187" s="1">
        <f t="shared" si="26"/>
        <v>0</v>
      </c>
      <c r="AJ187" s="1">
        <v>4.6679999999999999E-2</v>
      </c>
      <c r="AK187" s="1">
        <v>2777.61</v>
      </c>
      <c r="AL187" s="2">
        <v>4.6018117062575702E-7</v>
      </c>
      <c r="AM187" s="1">
        <f t="shared" si="27"/>
        <v>1.2782038213418089E-3</v>
      </c>
      <c r="AO187" s="1">
        <v>4.6679999999999999E-2</v>
      </c>
      <c r="AP187" s="1">
        <v>2777.61</v>
      </c>
      <c r="AQ187" s="2">
        <v>6.21819001312724E-8</v>
      </c>
      <c r="AR187" s="1">
        <f t="shared" si="28"/>
        <v>1.7271706762362355E-4</v>
      </c>
      <c r="AT187" s="1">
        <v>4.6679999999999999E-2</v>
      </c>
      <c r="AU187" s="1">
        <v>2777.61</v>
      </c>
      <c r="AV187" s="3">
        <v>0</v>
      </c>
      <c r="AW187" s="1">
        <f t="shared" si="29"/>
        <v>0</v>
      </c>
    </row>
    <row r="188" spans="1:49" x14ac:dyDescent="0.3">
      <c r="A188" s="1">
        <v>5.2684000000000002E-2</v>
      </c>
      <c r="B188" s="1">
        <v>3287.01</v>
      </c>
      <c r="C188" s="2">
        <v>7.9095524009668801E-5</v>
      </c>
      <c r="D188" s="1">
        <f t="shared" si="20"/>
        <v>0.25998777837502146</v>
      </c>
      <c r="F188" s="1">
        <v>5.2684000000000002E-2</v>
      </c>
      <c r="G188" s="1">
        <v>3287.01</v>
      </c>
      <c r="H188" s="3">
        <v>0</v>
      </c>
      <c r="I188" s="1">
        <f t="shared" si="21"/>
        <v>0</v>
      </c>
      <c r="K188" s="1">
        <v>5.2684000000000002E-2</v>
      </c>
      <c r="L188" s="1">
        <v>3287.01</v>
      </c>
      <c r="M188" s="3">
        <v>0</v>
      </c>
      <c r="N188" s="1">
        <f t="shared" si="22"/>
        <v>0</v>
      </c>
      <c r="P188" s="1">
        <v>5.2684000000000002E-2</v>
      </c>
      <c r="Q188" s="1">
        <v>3287.01</v>
      </c>
      <c r="R188" s="3">
        <v>0</v>
      </c>
      <c r="S188" s="1">
        <f t="shared" si="23"/>
        <v>0</v>
      </c>
      <c r="U188" s="1">
        <v>5.2684000000000002E-2</v>
      </c>
      <c r="V188" s="1">
        <v>3287.01</v>
      </c>
      <c r="W188" s="16">
        <v>0</v>
      </c>
      <c r="X188" s="1">
        <f t="shared" si="24"/>
        <v>0</v>
      </c>
      <c r="Z188" s="1">
        <v>5.2684000000000002E-2</v>
      </c>
      <c r="AA188" s="1">
        <v>3287.01</v>
      </c>
      <c r="AB188" s="3">
        <v>0</v>
      </c>
      <c r="AC188" s="1">
        <f t="shared" si="25"/>
        <v>0</v>
      </c>
      <c r="AE188" s="1">
        <v>5.2684000000000002E-2</v>
      </c>
      <c r="AF188" s="1">
        <v>3287.01</v>
      </c>
      <c r="AG188" s="3">
        <v>0</v>
      </c>
      <c r="AH188" s="1">
        <f t="shared" si="26"/>
        <v>0</v>
      </c>
      <c r="AJ188" s="1">
        <v>5.2684000000000002E-2</v>
      </c>
      <c r="AK188" s="1">
        <v>3287.01</v>
      </c>
      <c r="AL188" s="2">
        <v>1.1774753453198E-5</v>
      </c>
      <c r="AM188" s="1">
        <f t="shared" si="27"/>
        <v>3.8703732348196358E-2</v>
      </c>
      <c r="AO188" s="1">
        <v>5.2684000000000002E-2</v>
      </c>
      <c r="AP188" s="1">
        <v>3287.01</v>
      </c>
      <c r="AQ188" s="2">
        <v>5.1037609587697301E-8</v>
      </c>
      <c r="AR188" s="1">
        <f t="shared" si="28"/>
        <v>1.6776113309085691E-4</v>
      </c>
      <c r="AT188" s="1">
        <v>5.2684000000000002E-2</v>
      </c>
      <c r="AU188" s="1">
        <v>3287.01</v>
      </c>
      <c r="AV188" s="3">
        <v>0</v>
      </c>
      <c r="AW188" s="1">
        <f t="shared" si="29"/>
        <v>0</v>
      </c>
    </row>
    <row r="189" spans="1:49" x14ac:dyDescent="0.3">
      <c r="A189" s="1">
        <v>5.9461E-2</v>
      </c>
      <c r="B189" s="1">
        <v>2431.0100000000002</v>
      </c>
      <c r="C189" s="2">
        <v>7.5255626740615607E-5</v>
      </c>
      <c r="D189" s="1">
        <f t="shared" si="20"/>
        <v>0.18294718116270398</v>
      </c>
      <c r="F189" s="1">
        <v>5.9461E-2</v>
      </c>
      <c r="G189" s="1">
        <v>2431.0100000000002</v>
      </c>
      <c r="H189" s="3">
        <v>0</v>
      </c>
      <c r="I189" s="1">
        <f t="shared" si="21"/>
        <v>0</v>
      </c>
      <c r="K189" s="1">
        <v>5.9461E-2</v>
      </c>
      <c r="L189" s="1">
        <v>2431.0100000000002</v>
      </c>
      <c r="M189" s="3">
        <v>0</v>
      </c>
      <c r="N189" s="1">
        <f t="shared" si="22"/>
        <v>0</v>
      </c>
      <c r="P189" s="1">
        <v>5.9461E-2</v>
      </c>
      <c r="Q189" s="1">
        <v>2431.0100000000002</v>
      </c>
      <c r="R189" s="3">
        <v>0</v>
      </c>
      <c r="S189" s="1">
        <f t="shared" si="23"/>
        <v>0</v>
      </c>
      <c r="U189" s="1">
        <v>5.9461E-2</v>
      </c>
      <c r="V189" s="1">
        <v>2431.0100000000002</v>
      </c>
      <c r="W189" s="16">
        <v>0</v>
      </c>
      <c r="X189" s="1">
        <f t="shared" si="24"/>
        <v>0</v>
      </c>
      <c r="Z189" s="1">
        <v>5.9461E-2</v>
      </c>
      <c r="AA189" s="1">
        <v>2431.0100000000002</v>
      </c>
      <c r="AB189" s="3">
        <v>0</v>
      </c>
      <c r="AC189" s="1">
        <f t="shared" si="25"/>
        <v>0</v>
      </c>
      <c r="AE189" s="1">
        <v>5.9461E-2</v>
      </c>
      <c r="AF189" s="1">
        <v>2431.0100000000002</v>
      </c>
      <c r="AG189" s="3">
        <v>0</v>
      </c>
      <c r="AH189" s="1">
        <f t="shared" si="26"/>
        <v>0</v>
      </c>
      <c r="AJ189" s="1">
        <v>5.9461E-2</v>
      </c>
      <c r="AK189" s="1">
        <v>2431.0100000000002</v>
      </c>
      <c r="AL189" s="2">
        <v>3.3519756004186501E-5</v>
      </c>
      <c r="AM189" s="1">
        <f t="shared" si="27"/>
        <v>8.1486862043737437E-2</v>
      </c>
      <c r="AO189" s="1">
        <v>5.9461E-2</v>
      </c>
      <c r="AP189" s="1">
        <v>2431.0100000000002</v>
      </c>
      <c r="AQ189" s="2">
        <v>5.9287431427363097E-8</v>
      </c>
      <c r="AR189" s="1">
        <f t="shared" si="28"/>
        <v>1.4412833867423399E-4</v>
      </c>
      <c r="AT189" s="1">
        <v>5.9461E-2</v>
      </c>
      <c r="AU189" s="1">
        <v>2431.0100000000002</v>
      </c>
      <c r="AV189" s="3">
        <v>0</v>
      </c>
      <c r="AW189" s="1">
        <f t="shared" si="29"/>
        <v>0</v>
      </c>
    </row>
    <row r="190" spans="1:49" x14ac:dyDescent="0.3">
      <c r="A190" s="1">
        <v>6.7109000000000002E-2</v>
      </c>
      <c r="B190" s="1">
        <v>3039.1</v>
      </c>
      <c r="C190" s="2">
        <v>7.1040178269464794E-5</v>
      </c>
      <c r="D190" s="1">
        <f t="shared" si="20"/>
        <v>0.21589820577873045</v>
      </c>
      <c r="F190" s="1">
        <v>6.7109000000000002E-2</v>
      </c>
      <c r="G190" s="1">
        <v>3039.1</v>
      </c>
      <c r="H190" s="3">
        <v>0</v>
      </c>
      <c r="I190" s="1">
        <f t="shared" si="21"/>
        <v>0</v>
      </c>
      <c r="K190" s="1">
        <v>6.7109000000000002E-2</v>
      </c>
      <c r="L190" s="1">
        <v>3039.1</v>
      </c>
      <c r="M190" s="3">
        <v>0</v>
      </c>
      <c r="N190" s="1">
        <f t="shared" si="22"/>
        <v>0</v>
      </c>
      <c r="P190" s="1">
        <v>6.7109000000000002E-2</v>
      </c>
      <c r="Q190" s="1">
        <v>3039.1</v>
      </c>
      <c r="R190" s="3">
        <v>0</v>
      </c>
      <c r="S190" s="1">
        <f t="shared" si="23"/>
        <v>0</v>
      </c>
      <c r="U190" s="1">
        <v>6.7109000000000002E-2</v>
      </c>
      <c r="V190" s="1">
        <v>3039.1</v>
      </c>
      <c r="W190" s="16">
        <v>0</v>
      </c>
      <c r="X190" s="1">
        <f t="shared" si="24"/>
        <v>0</v>
      </c>
      <c r="Z190" s="1">
        <v>6.7109000000000002E-2</v>
      </c>
      <c r="AA190" s="1">
        <v>3039.1</v>
      </c>
      <c r="AB190" s="3">
        <v>0</v>
      </c>
      <c r="AC190" s="1">
        <f t="shared" si="25"/>
        <v>0</v>
      </c>
      <c r="AE190" s="1">
        <v>6.7109000000000002E-2</v>
      </c>
      <c r="AF190" s="1">
        <v>3039.1</v>
      </c>
      <c r="AG190" s="3">
        <v>0</v>
      </c>
      <c r="AH190" s="1">
        <f t="shared" si="26"/>
        <v>0</v>
      </c>
      <c r="AJ190" s="1">
        <v>6.7109000000000002E-2</v>
      </c>
      <c r="AK190" s="1">
        <v>3039.1</v>
      </c>
      <c r="AL190" s="2">
        <v>4.7022068922532399E-7</v>
      </c>
      <c r="AM190" s="1">
        <f t="shared" si="27"/>
        <v>1.4290476966246821E-3</v>
      </c>
      <c r="AO190" s="1">
        <v>6.7109000000000002E-2</v>
      </c>
      <c r="AP190" s="1">
        <v>3039.1</v>
      </c>
      <c r="AQ190" s="2">
        <v>5.2547427099157E-8</v>
      </c>
      <c r="AR190" s="1">
        <f t="shared" si="28"/>
        <v>1.5969688569704804E-4</v>
      </c>
      <c r="AT190" s="1">
        <v>6.7109000000000002E-2</v>
      </c>
      <c r="AU190" s="1">
        <v>3039.1</v>
      </c>
      <c r="AV190" s="3">
        <v>0</v>
      </c>
      <c r="AW190" s="1">
        <f t="shared" si="29"/>
        <v>0</v>
      </c>
    </row>
    <row r="191" spans="1:49" x14ac:dyDescent="0.3">
      <c r="A191" s="1">
        <v>7.5741000000000003E-2</v>
      </c>
      <c r="B191" s="1">
        <v>3370.78</v>
      </c>
      <c r="C191" s="2">
        <v>6.7336019263561904E-5</v>
      </c>
      <c r="D191" s="1">
        <f t="shared" si="20"/>
        <v>0.2269749070132292</v>
      </c>
      <c r="F191" s="1">
        <v>7.5741000000000003E-2</v>
      </c>
      <c r="G191" s="1">
        <v>3370.78</v>
      </c>
      <c r="H191" s="3">
        <v>0</v>
      </c>
      <c r="I191" s="1">
        <f t="shared" si="21"/>
        <v>0</v>
      </c>
      <c r="K191" s="1">
        <v>7.5741000000000003E-2</v>
      </c>
      <c r="L191" s="1">
        <v>3370.78</v>
      </c>
      <c r="M191" s="3">
        <v>0</v>
      </c>
      <c r="N191" s="1">
        <f t="shared" si="22"/>
        <v>0</v>
      </c>
      <c r="P191" s="1">
        <v>7.5741000000000003E-2</v>
      </c>
      <c r="Q191" s="1">
        <v>3370.78</v>
      </c>
      <c r="R191" s="3">
        <v>0</v>
      </c>
      <c r="S191" s="1">
        <f t="shared" si="23"/>
        <v>0</v>
      </c>
      <c r="U191" s="1">
        <v>7.5741000000000003E-2</v>
      </c>
      <c r="V191" s="1">
        <v>3370.78</v>
      </c>
      <c r="W191" s="16">
        <v>0</v>
      </c>
      <c r="X191" s="1">
        <f t="shared" si="24"/>
        <v>0</v>
      </c>
      <c r="Z191" s="1">
        <v>7.5741000000000003E-2</v>
      </c>
      <c r="AA191" s="1">
        <v>3370.78</v>
      </c>
      <c r="AB191" s="3">
        <v>0</v>
      </c>
      <c r="AC191" s="1">
        <f t="shared" si="25"/>
        <v>0</v>
      </c>
      <c r="AE191" s="1">
        <v>7.5741000000000003E-2</v>
      </c>
      <c r="AF191" s="1">
        <v>3370.78</v>
      </c>
      <c r="AG191" s="3">
        <v>0</v>
      </c>
      <c r="AH191" s="1">
        <f t="shared" si="26"/>
        <v>0</v>
      </c>
      <c r="AJ191" s="1">
        <v>7.5741000000000003E-2</v>
      </c>
      <c r="AK191" s="1">
        <v>3370.78</v>
      </c>
      <c r="AL191" s="2">
        <v>1.5361858367436601E-7</v>
      </c>
      <c r="AM191" s="1">
        <f t="shared" si="27"/>
        <v>5.1781444947787952E-4</v>
      </c>
      <c r="AO191" s="1">
        <v>7.5741000000000003E-2</v>
      </c>
      <c r="AP191" s="1">
        <v>3370.78</v>
      </c>
      <c r="AQ191" s="2">
        <v>5.30726559315358E-8</v>
      </c>
      <c r="AR191" s="1">
        <f t="shared" si="28"/>
        <v>1.7889624716090226E-4</v>
      </c>
      <c r="AT191" s="1">
        <v>7.5741000000000003E-2</v>
      </c>
      <c r="AU191" s="1">
        <v>3370.78</v>
      </c>
      <c r="AV191" s="3">
        <v>0</v>
      </c>
      <c r="AW191" s="1">
        <f t="shared" si="29"/>
        <v>0</v>
      </c>
    </row>
    <row r="192" spans="1:49" x14ac:dyDescent="0.3">
      <c r="A192" s="1">
        <v>8.5483000000000003E-2</v>
      </c>
      <c r="B192" s="1">
        <v>3013.39</v>
      </c>
      <c r="C192" s="2">
        <v>6.1434476278400801E-5</v>
      </c>
      <c r="D192" s="1">
        <f t="shared" si="20"/>
        <v>0.18512603647257017</v>
      </c>
      <c r="F192" s="1">
        <v>8.5483000000000003E-2</v>
      </c>
      <c r="G192" s="1">
        <v>3013.39</v>
      </c>
      <c r="H192" s="3">
        <v>0</v>
      </c>
      <c r="I192" s="1">
        <f t="shared" si="21"/>
        <v>0</v>
      </c>
      <c r="K192" s="1">
        <v>8.5483000000000003E-2</v>
      </c>
      <c r="L192" s="1">
        <v>3013.39</v>
      </c>
      <c r="M192" s="3">
        <v>0</v>
      </c>
      <c r="N192" s="1">
        <f t="shared" si="22"/>
        <v>0</v>
      </c>
      <c r="P192" s="1">
        <v>8.5483000000000003E-2</v>
      </c>
      <c r="Q192" s="1">
        <v>3013.39</v>
      </c>
      <c r="R192" s="3">
        <v>0</v>
      </c>
      <c r="S192" s="1">
        <f t="shared" si="23"/>
        <v>0</v>
      </c>
      <c r="U192" s="1">
        <v>8.5483000000000003E-2</v>
      </c>
      <c r="V192" s="1">
        <v>3013.39</v>
      </c>
      <c r="W192" s="16">
        <v>0</v>
      </c>
      <c r="X192" s="1">
        <f t="shared" si="24"/>
        <v>0</v>
      </c>
      <c r="Z192" s="1">
        <v>8.5483000000000003E-2</v>
      </c>
      <c r="AA192" s="1">
        <v>3013.39</v>
      </c>
      <c r="AB192" s="3">
        <v>0</v>
      </c>
      <c r="AC192" s="1">
        <f t="shared" si="25"/>
        <v>0</v>
      </c>
      <c r="AE192" s="1">
        <v>8.5483000000000003E-2</v>
      </c>
      <c r="AF192" s="1">
        <v>3013.39</v>
      </c>
      <c r="AG192" s="3">
        <v>0</v>
      </c>
      <c r="AH192" s="1">
        <f t="shared" si="26"/>
        <v>0</v>
      </c>
      <c r="AJ192" s="1">
        <v>8.5483000000000003E-2</v>
      </c>
      <c r="AK192" s="1">
        <v>3013.39</v>
      </c>
      <c r="AL192" s="2">
        <v>9.0487284403467805E-8</v>
      </c>
      <c r="AM192" s="1">
        <f t="shared" si="27"/>
        <v>2.7267347794856584E-4</v>
      </c>
      <c r="AO192" s="1">
        <v>8.5483000000000003E-2</v>
      </c>
      <c r="AP192" s="1">
        <v>3013.39</v>
      </c>
      <c r="AQ192" s="2">
        <v>5.3912756567499802E-8</v>
      </c>
      <c r="AR192" s="1">
        <f t="shared" si="28"/>
        <v>1.6246016151293821E-4</v>
      </c>
      <c r="AT192" s="1">
        <v>8.5483000000000003E-2</v>
      </c>
      <c r="AU192" s="1">
        <v>3013.39</v>
      </c>
      <c r="AV192" s="3">
        <v>0</v>
      </c>
      <c r="AW192" s="1">
        <f t="shared" si="29"/>
        <v>0</v>
      </c>
    </row>
    <row r="193" spans="1:49" x14ac:dyDescent="0.3">
      <c r="A193" s="1">
        <v>9.6477999999999994E-2</v>
      </c>
      <c r="B193" s="1">
        <v>3116.57</v>
      </c>
      <c r="C193" s="2">
        <v>5.7185705104983897E-5</v>
      </c>
      <c r="D193" s="1">
        <f t="shared" si="20"/>
        <v>0.17822325295903968</v>
      </c>
      <c r="F193" s="1">
        <v>9.6477999999999994E-2</v>
      </c>
      <c r="G193" s="1">
        <v>3116.57</v>
      </c>
      <c r="H193" s="3">
        <v>0</v>
      </c>
      <c r="I193" s="1">
        <f t="shared" si="21"/>
        <v>0</v>
      </c>
      <c r="K193" s="1">
        <v>9.6477999999999994E-2</v>
      </c>
      <c r="L193" s="1">
        <v>3116.57</v>
      </c>
      <c r="M193" s="3">
        <v>0</v>
      </c>
      <c r="N193" s="1">
        <f t="shared" si="22"/>
        <v>0</v>
      </c>
      <c r="P193" s="1">
        <v>9.6477999999999994E-2</v>
      </c>
      <c r="Q193" s="1">
        <v>3116.57</v>
      </c>
      <c r="R193" s="3">
        <v>0</v>
      </c>
      <c r="S193" s="1">
        <f t="shared" si="23"/>
        <v>0</v>
      </c>
      <c r="U193" s="1">
        <v>9.6477999999999994E-2</v>
      </c>
      <c r="V193" s="1">
        <v>3116.57</v>
      </c>
      <c r="W193" s="16">
        <v>0</v>
      </c>
      <c r="X193" s="1">
        <f t="shared" si="24"/>
        <v>0</v>
      </c>
      <c r="Z193" s="1">
        <v>9.6477999999999994E-2</v>
      </c>
      <c r="AA193" s="1">
        <v>3116.57</v>
      </c>
      <c r="AB193" s="3">
        <v>0</v>
      </c>
      <c r="AC193" s="1">
        <f t="shared" si="25"/>
        <v>0</v>
      </c>
      <c r="AE193" s="1">
        <v>9.6477999999999994E-2</v>
      </c>
      <c r="AF193" s="1">
        <v>3116.57</v>
      </c>
      <c r="AG193" s="3">
        <v>0</v>
      </c>
      <c r="AH193" s="1">
        <f t="shared" si="26"/>
        <v>0</v>
      </c>
      <c r="AJ193" s="1">
        <v>9.6477999999999994E-2</v>
      </c>
      <c r="AK193" s="1">
        <v>3116.57</v>
      </c>
      <c r="AL193" s="2">
        <v>6.9084376410631897E-8</v>
      </c>
      <c r="AM193" s="1">
        <f t="shared" si="27"/>
        <v>2.1530629499008308E-4</v>
      </c>
      <c r="AO193" s="1">
        <v>9.6477999999999994E-2</v>
      </c>
      <c r="AP193" s="1">
        <v>3116.57</v>
      </c>
      <c r="AQ193" s="2">
        <v>5.44877547442551E-8</v>
      </c>
      <c r="AR193" s="1">
        <f t="shared" si="28"/>
        <v>1.6981490180330313E-4</v>
      </c>
      <c r="AT193" s="1">
        <v>9.6477999999999994E-2</v>
      </c>
      <c r="AU193" s="1">
        <v>3116.57</v>
      </c>
      <c r="AV193" s="3">
        <v>0</v>
      </c>
      <c r="AW193" s="1">
        <f t="shared" si="29"/>
        <v>0</v>
      </c>
    </row>
    <row r="194" spans="1:49" x14ac:dyDescent="0.3">
      <c r="A194" s="1">
        <v>0.10889</v>
      </c>
      <c r="B194" s="1">
        <v>3814</v>
      </c>
      <c r="C194" s="2">
        <v>5.8004017148219499E-5</v>
      </c>
      <c r="D194" s="1">
        <f t="shared" si="20"/>
        <v>0.22122732140330917</v>
      </c>
      <c r="F194" s="1">
        <v>0.10889</v>
      </c>
      <c r="G194" s="1">
        <v>3814</v>
      </c>
      <c r="H194" s="3">
        <v>0</v>
      </c>
      <c r="I194" s="1">
        <f t="shared" si="21"/>
        <v>0</v>
      </c>
      <c r="K194" s="1">
        <v>0.10889</v>
      </c>
      <c r="L194" s="1">
        <v>3814</v>
      </c>
      <c r="M194" s="3">
        <v>0</v>
      </c>
      <c r="N194" s="1">
        <f t="shared" si="22"/>
        <v>0</v>
      </c>
      <c r="P194" s="1">
        <v>0.10889</v>
      </c>
      <c r="Q194" s="1">
        <v>3814</v>
      </c>
      <c r="R194" s="3">
        <v>0</v>
      </c>
      <c r="S194" s="1">
        <f t="shared" si="23"/>
        <v>0</v>
      </c>
      <c r="U194" s="1">
        <v>0.10889</v>
      </c>
      <c r="V194" s="1">
        <v>3814</v>
      </c>
      <c r="W194" s="16">
        <v>0</v>
      </c>
      <c r="X194" s="1">
        <f t="shared" si="24"/>
        <v>0</v>
      </c>
      <c r="Z194" s="1">
        <v>0.10889</v>
      </c>
      <c r="AA194" s="1">
        <v>3814</v>
      </c>
      <c r="AB194" s="3">
        <v>0</v>
      </c>
      <c r="AC194" s="1">
        <f t="shared" si="25"/>
        <v>0</v>
      </c>
      <c r="AE194" s="1">
        <v>0.10889</v>
      </c>
      <c r="AF194" s="1">
        <v>3814</v>
      </c>
      <c r="AG194" s="3">
        <v>0</v>
      </c>
      <c r="AH194" s="1">
        <f t="shared" si="26"/>
        <v>0</v>
      </c>
      <c r="AJ194" s="1">
        <v>0.10889</v>
      </c>
      <c r="AK194" s="1">
        <v>3814</v>
      </c>
      <c r="AL194" s="2">
        <v>6.8186852107012296E-8</v>
      </c>
      <c r="AM194" s="1">
        <f t="shared" si="27"/>
        <v>2.6006465393614488E-4</v>
      </c>
      <c r="AO194" s="1">
        <v>0.10889</v>
      </c>
      <c r="AP194" s="1">
        <v>3814</v>
      </c>
      <c r="AQ194" s="2">
        <v>4.89191522629098E-8</v>
      </c>
      <c r="AR194" s="1">
        <f t="shared" si="28"/>
        <v>1.8657764673073797E-4</v>
      </c>
      <c r="AT194" s="1">
        <v>0.10889</v>
      </c>
      <c r="AU194" s="1">
        <v>3814</v>
      </c>
      <c r="AV194" s="3">
        <v>0</v>
      </c>
      <c r="AW194" s="1">
        <f t="shared" si="29"/>
        <v>0</v>
      </c>
    </row>
    <row r="195" spans="1:49" x14ac:dyDescent="0.3">
      <c r="A195" s="1">
        <v>0.12289</v>
      </c>
      <c r="B195" s="1">
        <v>4328.07</v>
      </c>
      <c r="C195" s="2">
        <v>5.3907227672711898E-5</v>
      </c>
      <c r="D195" s="1">
        <f t="shared" si="20"/>
        <v>0.23331425487343416</v>
      </c>
      <c r="F195" s="1">
        <v>0.12289</v>
      </c>
      <c r="G195" s="1">
        <v>4328.07</v>
      </c>
      <c r="H195" s="3">
        <v>0</v>
      </c>
      <c r="I195" s="1">
        <f t="shared" si="21"/>
        <v>0</v>
      </c>
      <c r="K195" s="1">
        <v>0.12289</v>
      </c>
      <c r="L195" s="1">
        <v>4328.07</v>
      </c>
      <c r="M195" s="3">
        <v>0</v>
      </c>
      <c r="N195" s="1">
        <f t="shared" si="22"/>
        <v>0</v>
      </c>
      <c r="P195" s="1">
        <v>0.12289</v>
      </c>
      <c r="Q195" s="1">
        <v>4328.07</v>
      </c>
      <c r="R195" s="3">
        <v>0</v>
      </c>
      <c r="S195" s="1">
        <f t="shared" si="23"/>
        <v>0</v>
      </c>
      <c r="U195" s="1">
        <v>0.12289</v>
      </c>
      <c r="V195" s="1">
        <v>4328.07</v>
      </c>
      <c r="W195" s="16">
        <v>0</v>
      </c>
      <c r="X195" s="1">
        <f t="shared" si="24"/>
        <v>0</v>
      </c>
      <c r="Z195" s="1">
        <v>0.12289</v>
      </c>
      <c r="AA195" s="1">
        <v>4328.07</v>
      </c>
      <c r="AB195" s="3">
        <v>0</v>
      </c>
      <c r="AC195" s="1">
        <f t="shared" si="25"/>
        <v>0</v>
      </c>
      <c r="AE195" s="1">
        <v>0.12289</v>
      </c>
      <c r="AF195" s="1">
        <v>4328.07</v>
      </c>
      <c r="AG195" s="3">
        <v>0</v>
      </c>
      <c r="AH195" s="1">
        <f t="shared" si="26"/>
        <v>0</v>
      </c>
      <c r="AJ195" s="1">
        <v>0.12289</v>
      </c>
      <c r="AK195" s="1">
        <v>4328.07</v>
      </c>
      <c r="AL195" s="3">
        <v>3.1814433904513899E-4</v>
      </c>
      <c r="AM195" s="1">
        <f t="shared" si="27"/>
        <v>1.3769509694910946</v>
      </c>
      <c r="AO195" s="1">
        <v>0.12289</v>
      </c>
      <c r="AP195" s="1">
        <v>4328.07</v>
      </c>
      <c r="AQ195" s="2">
        <v>1.5273558082715401E-8</v>
      </c>
      <c r="AR195" s="1">
        <f t="shared" si="28"/>
        <v>6.6105028531058041E-5</v>
      </c>
      <c r="AT195" s="1">
        <v>0.12289</v>
      </c>
      <c r="AU195" s="1">
        <v>4328.07</v>
      </c>
      <c r="AV195" s="3">
        <v>0</v>
      </c>
      <c r="AW195" s="1">
        <f t="shared" si="29"/>
        <v>0</v>
      </c>
    </row>
    <row r="196" spans="1:49" x14ac:dyDescent="0.3">
      <c r="A196" s="1">
        <v>0.13869999999999999</v>
      </c>
      <c r="B196" s="1">
        <v>4465.34</v>
      </c>
      <c r="C196" s="2">
        <v>5.0743481084013398E-5</v>
      </c>
      <c r="D196" s="1">
        <f t="shared" ref="D196:D239" si="30">B196*C196</f>
        <v>0.22658689582368841</v>
      </c>
      <c r="F196" s="1">
        <v>0.13869999999999999</v>
      </c>
      <c r="G196" s="1">
        <v>4465.34</v>
      </c>
      <c r="H196" s="3">
        <v>0</v>
      </c>
      <c r="I196" s="1">
        <f t="shared" ref="I196:I241" si="31">G196*H196</f>
        <v>0</v>
      </c>
      <c r="K196" s="1">
        <v>0.13869999999999999</v>
      </c>
      <c r="L196" s="1">
        <v>4465.34</v>
      </c>
      <c r="M196" s="3">
        <v>0</v>
      </c>
      <c r="N196" s="1">
        <f t="shared" ref="N196:N241" si="32">L196*M196</f>
        <v>0</v>
      </c>
      <c r="P196" s="1">
        <v>0.13869999999999999</v>
      </c>
      <c r="Q196" s="1">
        <v>4465.34</v>
      </c>
      <c r="R196" s="3">
        <v>0</v>
      </c>
      <c r="S196" s="1">
        <f t="shared" ref="S196:S241" si="33">Q196*R196</f>
        <v>0</v>
      </c>
      <c r="U196" s="1">
        <v>0.13869999999999999</v>
      </c>
      <c r="V196" s="1">
        <v>4465.34</v>
      </c>
      <c r="W196" s="16">
        <v>0</v>
      </c>
      <c r="X196" s="1">
        <f t="shared" ref="X196:X241" si="34">V196*W196</f>
        <v>0</v>
      </c>
      <c r="Z196" s="1">
        <v>0.13869999999999999</v>
      </c>
      <c r="AA196" s="1">
        <v>4465.34</v>
      </c>
      <c r="AB196" s="3">
        <v>0</v>
      </c>
      <c r="AC196" s="1">
        <f t="shared" ref="AC196:AC241" si="35">AA196*AB196</f>
        <v>0</v>
      </c>
      <c r="AE196" s="1">
        <v>0.13869999999999999</v>
      </c>
      <c r="AF196" s="1">
        <v>4465.34</v>
      </c>
      <c r="AG196" s="3">
        <v>0</v>
      </c>
      <c r="AH196" s="1">
        <f t="shared" ref="AH196:AH241" si="36">AF196*AG196</f>
        <v>0</v>
      </c>
      <c r="AJ196" s="1">
        <v>0.13869999999999999</v>
      </c>
      <c r="AK196" s="1">
        <v>4465.34</v>
      </c>
      <c r="AL196" s="2">
        <v>8.7403345341923999E-8</v>
      </c>
      <c r="AM196" s="1">
        <f t="shared" ref="AM196:AM241" si="37">AK196*AL196</f>
        <v>3.9028565408910691E-4</v>
      </c>
      <c r="AO196" s="1">
        <v>0.13869999999999999</v>
      </c>
      <c r="AP196" s="1">
        <v>4465.34</v>
      </c>
      <c r="AQ196" s="2">
        <v>1.4447266873318801E-8</v>
      </c>
      <c r="AR196" s="1">
        <f t="shared" ref="AR196:AR241" si="38">AP196*AQ196</f>
        <v>6.451195866010538E-5</v>
      </c>
      <c r="AT196" s="1">
        <v>0.13869999999999999</v>
      </c>
      <c r="AU196" s="1">
        <v>4465.34</v>
      </c>
      <c r="AV196" s="3">
        <v>0</v>
      </c>
      <c r="AW196" s="1">
        <f t="shared" ref="AW196:AW241" si="39">AU196*AV196</f>
        <v>0</v>
      </c>
    </row>
    <row r="197" spans="1:49" x14ac:dyDescent="0.3">
      <c r="A197" s="1">
        <v>0.15654000000000001</v>
      </c>
      <c r="B197" s="1">
        <v>5311.04</v>
      </c>
      <c r="C197" s="2">
        <v>4.9426959179728601E-5</v>
      </c>
      <c r="D197" s="1">
        <f t="shared" si="30"/>
        <v>0.26250855728190581</v>
      </c>
      <c r="F197" s="1">
        <v>0.15654000000000001</v>
      </c>
      <c r="G197" s="1">
        <v>5311.04</v>
      </c>
      <c r="H197" s="3">
        <v>0</v>
      </c>
      <c r="I197" s="1">
        <f t="shared" si="31"/>
        <v>0</v>
      </c>
      <c r="K197" s="1">
        <v>0.15654000000000001</v>
      </c>
      <c r="L197" s="1">
        <v>5311.04</v>
      </c>
      <c r="M197" s="3">
        <v>0</v>
      </c>
      <c r="N197" s="1">
        <f t="shared" si="32"/>
        <v>0</v>
      </c>
      <c r="P197" s="1">
        <v>0.15654000000000001</v>
      </c>
      <c r="Q197" s="1">
        <v>5311.04</v>
      </c>
      <c r="R197" s="3">
        <v>0</v>
      </c>
      <c r="S197" s="1">
        <f t="shared" si="33"/>
        <v>0</v>
      </c>
      <c r="U197" s="1">
        <v>0.15654000000000001</v>
      </c>
      <c r="V197" s="1">
        <v>5311.04</v>
      </c>
      <c r="W197" s="16">
        <v>0</v>
      </c>
      <c r="X197" s="1">
        <f t="shared" si="34"/>
        <v>0</v>
      </c>
      <c r="Z197" s="1">
        <v>0.15654000000000001</v>
      </c>
      <c r="AA197" s="1">
        <v>5311.04</v>
      </c>
      <c r="AB197" s="3">
        <v>0</v>
      </c>
      <c r="AC197" s="1">
        <f t="shared" si="35"/>
        <v>0</v>
      </c>
      <c r="AE197" s="1">
        <v>0.15654000000000001</v>
      </c>
      <c r="AF197" s="1">
        <v>5311.04</v>
      </c>
      <c r="AG197" s="3">
        <v>0</v>
      </c>
      <c r="AH197" s="1">
        <f t="shared" si="36"/>
        <v>0</v>
      </c>
      <c r="AJ197" s="1">
        <v>0.15654000000000001</v>
      </c>
      <c r="AK197" s="1">
        <v>5311.04</v>
      </c>
      <c r="AL197" s="3">
        <v>1.34422498789743E-4</v>
      </c>
      <c r="AM197" s="1">
        <f t="shared" si="37"/>
        <v>0.71392326797227668</v>
      </c>
      <c r="AO197" s="1">
        <v>0.15654000000000001</v>
      </c>
      <c r="AP197" s="1">
        <v>5311.04</v>
      </c>
      <c r="AQ197" s="2">
        <v>1.2980502599683401E-8</v>
      </c>
      <c r="AR197" s="1">
        <f t="shared" si="38"/>
        <v>6.8939968527022524E-5</v>
      </c>
      <c r="AT197" s="1">
        <v>0.15654000000000001</v>
      </c>
      <c r="AU197" s="1">
        <v>5311.04</v>
      </c>
      <c r="AV197" s="3">
        <v>0</v>
      </c>
      <c r="AW197" s="1">
        <f t="shared" si="39"/>
        <v>0</v>
      </c>
    </row>
    <row r="198" spans="1:49" x14ac:dyDescent="0.3">
      <c r="A198" s="1">
        <v>0.17668</v>
      </c>
      <c r="B198" s="1">
        <v>5447.45</v>
      </c>
      <c r="C198" s="2">
        <v>4.83308852667054E-5</v>
      </c>
      <c r="D198" s="1">
        <f t="shared" si="30"/>
        <v>0.26328008094611433</v>
      </c>
      <c r="F198" s="1">
        <v>0.17668</v>
      </c>
      <c r="G198" s="1">
        <v>5447.45</v>
      </c>
      <c r="H198" s="3">
        <v>0</v>
      </c>
      <c r="I198" s="1">
        <f t="shared" si="31"/>
        <v>0</v>
      </c>
      <c r="K198" s="1">
        <v>0.17668</v>
      </c>
      <c r="L198" s="1">
        <v>5447.45</v>
      </c>
      <c r="M198" s="3">
        <v>0</v>
      </c>
      <c r="N198" s="1">
        <f t="shared" si="32"/>
        <v>0</v>
      </c>
      <c r="P198" s="1">
        <v>0.17668</v>
      </c>
      <c r="Q198" s="1">
        <v>5447.45</v>
      </c>
      <c r="R198" s="3">
        <v>0</v>
      </c>
      <c r="S198" s="1">
        <f t="shared" si="33"/>
        <v>0</v>
      </c>
      <c r="U198" s="1">
        <v>0.17668</v>
      </c>
      <c r="V198" s="1">
        <v>5447.45</v>
      </c>
      <c r="W198" s="16">
        <v>0</v>
      </c>
      <c r="X198" s="1">
        <f t="shared" si="34"/>
        <v>0</v>
      </c>
      <c r="Z198" s="1">
        <v>0.17668</v>
      </c>
      <c r="AA198" s="1">
        <v>5447.45</v>
      </c>
      <c r="AB198" s="3">
        <v>0</v>
      </c>
      <c r="AC198" s="1">
        <f t="shared" si="35"/>
        <v>0</v>
      </c>
      <c r="AE198" s="1">
        <v>0.17668</v>
      </c>
      <c r="AF198" s="1">
        <v>5447.45</v>
      </c>
      <c r="AG198" s="3">
        <v>0</v>
      </c>
      <c r="AH198" s="1">
        <f t="shared" si="36"/>
        <v>0</v>
      </c>
      <c r="AJ198" s="1">
        <v>0.17668</v>
      </c>
      <c r="AK198" s="1">
        <v>5447.45</v>
      </c>
      <c r="AL198" s="2">
        <v>1.82855573569776E-7</v>
      </c>
      <c r="AM198" s="1">
        <f t="shared" si="37"/>
        <v>9.9609659424267625E-4</v>
      </c>
      <c r="AO198" s="1">
        <v>0.17668</v>
      </c>
      <c r="AP198" s="1">
        <v>5447.45</v>
      </c>
      <c r="AQ198" s="2">
        <v>1.2194509751492801E-8</v>
      </c>
      <c r="AR198" s="1">
        <f t="shared" si="38"/>
        <v>6.6428982145769452E-5</v>
      </c>
      <c r="AT198" s="1">
        <v>0.17668</v>
      </c>
      <c r="AU198" s="1">
        <v>5447.45</v>
      </c>
      <c r="AV198" s="3">
        <v>0</v>
      </c>
      <c r="AW198" s="1">
        <f t="shared" si="39"/>
        <v>0</v>
      </c>
    </row>
    <row r="199" spans="1:49" x14ac:dyDescent="0.3">
      <c r="A199" s="1">
        <v>0.19939999999999999</v>
      </c>
      <c r="B199" s="1">
        <v>3085.18</v>
      </c>
      <c r="C199" s="2">
        <v>4.6859169376463701E-5</v>
      </c>
      <c r="D199" s="1">
        <f t="shared" si="30"/>
        <v>0.14456897217687828</v>
      </c>
      <c r="F199" s="1">
        <v>0.19939999999999999</v>
      </c>
      <c r="G199" s="1">
        <v>3085.18</v>
      </c>
      <c r="H199" s="3">
        <v>0</v>
      </c>
      <c r="I199" s="1">
        <f t="shared" si="31"/>
        <v>0</v>
      </c>
      <c r="K199" s="1">
        <v>0.19939999999999999</v>
      </c>
      <c r="L199" s="1">
        <v>3085.18</v>
      </c>
      <c r="M199" s="3">
        <v>0</v>
      </c>
      <c r="N199" s="1">
        <f t="shared" si="32"/>
        <v>0</v>
      </c>
      <c r="P199" s="1">
        <v>0.19939999999999999</v>
      </c>
      <c r="Q199" s="1">
        <v>3085.18</v>
      </c>
      <c r="R199" s="3">
        <v>0</v>
      </c>
      <c r="S199" s="1">
        <f t="shared" si="33"/>
        <v>0</v>
      </c>
      <c r="U199" s="1">
        <v>0.19939999999999999</v>
      </c>
      <c r="V199" s="1">
        <v>3085.18</v>
      </c>
      <c r="W199" s="16">
        <v>0</v>
      </c>
      <c r="X199" s="1">
        <f t="shared" si="34"/>
        <v>0</v>
      </c>
      <c r="Z199" s="1">
        <v>0.19939999999999999</v>
      </c>
      <c r="AA199" s="1">
        <v>3085.18</v>
      </c>
      <c r="AB199" s="3">
        <v>0</v>
      </c>
      <c r="AC199" s="1">
        <f t="shared" si="35"/>
        <v>0</v>
      </c>
      <c r="AE199" s="1">
        <v>0.19939999999999999</v>
      </c>
      <c r="AF199" s="1">
        <v>3085.18</v>
      </c>
      <c r="AG199" s="3">
        <v>0</v>
      </c>
      <c r="AH199" s="1">
        <f t="shared" si="36"/>
        <v>0</v>
      </c>
      <c r="AJ199" s="1">
        <v>0.19939999999999999</v>
      </c>
      <c r="AK199" s="1">
        <v>3085.18</v>
      </c>
      <c r="AL199" s="3">
        <v>1.15679220175912E-4</v>
      </c>
      <c r="AM199" s="1">
        <f t="shared" si="37"/>
        <v>0.35689121650232014</v>
      </c>
      <c r="AO199" s="1">
        <v>0.19939999999999999</v>
      </c>
      <c r="AP199" s="1">
        <v>3085.18</v>
      </c>
      <c r="AQ199" s="2">
        <v>1.11804322838995E-8</v>
      </c>
      <c r="AR199" s="1">
        <f t="shared" si="38"/>
        <v>3.4493646073641062E-5</v>
      </c>
      <c r="AT199" s="1">
        <v>0.19939999999999999</v>
      </c>
      <c r="AU199" s="1">
        <v>3085.18</v>
      </c>
      <c r="AV199" s="3">
        <v>0</v>
      </c>
      <c r="AW199" s="1">
        <f t="shared" si="39"/>
        <v>0</v>
      </c>
    </row>
    <row r="200" spans="1:49" x14ac:dyDescent="0.3">
      <c r="A200" s="1">
        <v>0.22505</v>
      </c>
      <c r="B200" s="1">
        <v>3864.7</v>
      </c>
      <c r="C200" s="2">
        <v>4.5346408714673497E-5</v>
      </c>
      <c r="D200" s="1">
        <f t="shared" si="30"/>
        <v>0.17525026575959865</v>
      </c>
      <c r="F200" s="1">
        <v>0.22505</v>
      </c>
      <c r="G200" s="1">
        <v>3864.7</v>
      </c>
      <c r="H200" s="3">
        <v>0</v>
      </c>
      <c r="I200" s="1">
        <f t="shared" si="31"/>
        <v>0</v>
      </c>
      <c r="K200" s="1">
        <v>0.22505</v>
      </c>
      <c r="L200" s="1">
        <v>3864.7</v>
      </c>
      <c r="M200" s="3">
        <v>0</v>
      </c>
      <c r="N200" s="1">
        <f t="shared" si="32"/>
        <v>0</v>
      </c>
      <c r="P200" s="1">
        <v>0.22505</v>
      </c>
      <c r="Q200" s="1">
        <v>3864.7</v>
      </c>
      <c r="R200" s="3">
        <v>0</v>
      </c>
      <c r="S200" s="1">
        <f t="shared" si="33"/>
        <v>0</v>
      </c>
      <c r="U200" s="1">
        <v>0.22505</v>
      </c>
      <c r="V200" s="1">
        <v>3864.7</v>
      </c>
      <c r="W200" s="16">
        <v>0</v>
      </c>
      <c r="X200" s="1">
        <f t="shared" si="34"/>
        <v>0</v>
      </c>
      <c r="Z200" s="1">
        <v>0.22505</v>
      </c>
      <c r="AA200" s="1">
        <v>3864.7</v>
      </c>
      <c r="AB200" s="3">
        <v>0</v>
      </c>
      <c r="AC200" s="1">
        <f t="shared" si="35"/>
        <v>0</v>
      </c>
      <c r="AE200" s="1">
        <v>0.22505</v>
      </c>
      <c r="AF200" s="1">
        <v>3864.7</v>
      </c>
      <c r="AG200" s="3">
        <v>0</v>
      </c>
      <c r="AH200" s="1">
        <f t="shared" si="36"/>
        <v>0</v>
      </c>
      <c r="AJ200" s="1">
        <v>0.22505</v>
      </c>
      <c r="AK200" s="1">
        <v>3864.7</v>
      </c>
      <c r="AL200" s="2">
        <v>6.6147394147535701E-6</v>
      </c>
      <c r="AM200" s="1">
        <f t="shared" si="37"/>
        <v>2.556398341619812E-2</v>
      </c>
      <c r="AO200" s="1">
        <v>0.22505</v>
      </c>
      <c r="AP200" s="1">
        <v>3864.7</v>
      </c>
      <c r="AQ200" s="2">
        <v>1.0614479576833899E-8</v>
      </c>
      <c r="AR200" s="1">
        <f t="shared" si="38"/>
        <v>4.1021779220589968E-5</v>
      </c>
      <c r="AT200" s="1">
        <v>0.22505</v>
      </c>
      <c r="AU200" s="1">
        <v>3864.7</v>
      </c>
      <c r="AV200" s="3">
        <v>0</v>
      </c>
      <c r="AW200" s="1">
        <f t="shared" si="39"/>
        <v>0</v>
      </c>
    </row>
    <row r="201" spans="1:49" x14ac:dyDescent="0.3">
      <c r="A201" s="1">
        <v>0.254</v>
      </c>
      <c r="B201" s="1">
        <v>5258.62</v>
      </c>
      <c r="C201" s="2">
        <v>4.3034819842555703E-5</v>
      </c>
      <c r="D201" s="1">
        <f t="shared" si="30"/>
        <v>0.22630376432046026</v>
      </c>
      <c r="F201" s="1">
        <v>0.254</v>
      </c>
      <c r="G201" s="1">
        <v>5258.62</v>
      </c>
      <c r="H201" s="3">
        <v>0</v>
      </c>
      <c r="I201" s="1">
        <f t="shared" si="31"/>
        <v>0</v>
      </c>
      <c r="K201" s="1">
        <v>0.254</v>
      </c>
      <c r="L201" s="1">
        <v>5258.62</v>
      </c>
      <c r="M201" s="3">
        <v>0</v>
      </c>
      <c r="N201" s="1">
        <f t="shared" si="32"/>
        <v>0</v>
      </c>
      <c r="P201" s="1">
        <v>0.254</v>
      </c>
      <c r="Q201" s="1">
        <v>5258.62</v>
      </c>
      <c r="R201" s="3">
        <v>0</v>
      </c>
      <c r="S201" s="1">
        <f t="shared" si="33"/>
        <v>0</v>
      </c>
      <c r="U201" s="1">
        <v>0.254</v>
      </c>
      <c r="V201" s="1">
        <v>5258.62</v>
      </c>
      <c r="W201" s="16">
        <v>0</v>
      </c>
      <c r="X201" s="1">
        <f t="shared" si="34"/>
        <v>0</v>
      </c>
      <c r="Z201" s="1">
        <v>0.254</v>
      </c>
      <c r="AA201" s="1">
        <v>5258.62</v>
      </c>
      <c r="AB201" s="3">
        <v>0</v>
      </c>
      <c r="AC201" s="1">
        <f t="shared" si="35"/>
        <v>0</v>
      </c>
      <c r="AE201" s="1">
        <v>0.254</v>
      </c>
      <c r="AF201" s="1">
        <v>5258.62</v>
      </c>
      <c r="AG201" s="3">
        <v>0</v>
      </c>
      <c r="AH201" s="1">
        <f t="shared" si="36"/>
        <v>0</v>
      </c>
      <c r="AJ201" s="1">
        <v>0.254</v>
      </c>
      <c r="AK201" s="1">
        <v>5258.62</v>
      </c>
      <c r="AL201" s="2">
        <v>6.8121302056341196E-5</v>
      </c>
      <c r="AM201" s="1">
        <f t="shared" si="37"/>
        <v>0.35822404141951691</v>
      </c>
      <c r="AO201" s="1">
        <v>0.254</v>
      </c>
      <c r="AP201" s="1">
        <v>5258.62</v>
      </c>
      <c r="AQ201" s="2">
        <v>9.1660095823902997E-9</v>
      </c>
      <c r="AR201" s="1">
        <f t="shared" si="38"/>
        <v>4.820056131014928E-5</v>
      </c>
      <c r="AT201" s="1">
        <v>0.254</v>
      </c>
      <c r="AU201" s="1">
        <v>5258.62</v>
      </c>
      <c r="AV201" s="3">
        <v>0</v>
      </c>
      <c r="AW201" s="1">
        <f t="shared" si="39"/>
        <v>0</v>
      </c>
    </row>
    <row r="202" spans="1:49" x14ac:dyDescent="0.3">
      <c r="A202" s="1">
        <v>0.28666999999999998</v>
      </c>
      <c r="B202" s="1">
        <v>5836.13</v>
      </c>
      <c r="C202" s="2">
        <v>4.0526134078068199E-5</v>
      </c>
      <c r="D202" s="1">
        <f t="shared" si="30"/>
        <v>0.23651578687703617</v>
      </c>
      <c r="F202" s="1">
        <v>0.28666999999999998</v>
      </c>
      <c r="G202" s="1">
        <v>5836.13</v>
      </c>
      <c r="H202" s="3">
        <v>0</v>
      </c>
      <c r="I202" s="1">
        <f t="shared" si="31"/>
        <v>0</v>
      </c>
      <c r="K202" s="1">
        <v>0.28666999999999998</v>
      </c>
      <c r="L202" s="1">
        <v>5836.13</v>
      </c>
      <c r="M202" s="3">
        <v>0</v>
      </c>
      <c r="N202" s="1">
        <f t="shared" si="32"/>
        <v>0</v>
      </c>
      <c r="P202" s="1">
        <v>0.28666999999999998</v>
      </c>
      <c r="Q202" s="1">
        <v>5836.13</v>
      </c>
      <c r="R202" s="3">
        <v>0</v>
      </c>
      <c r="S202" s="1">
        <f t="shared" si="33"/>
        <v>0</v>
      </c>
      <c r="U202" s="1">
        <v>0.28666999999999998</v>
      </c>
      <c r="V202" s="1">
        <v>5836.13</v>
      </c>
      <c r="W202" s="16">
        <v>0</v>
      </c>
      <c r="X202" s="1">
        <f t="shared" si="34"/>
        <v>0</v>
      </c>
      <c r="Z202" s="1">
        <v>0.28666999999999998</v>
      </c>
      <c r="AA202" s="1">
        <v>5836.13</v>
      </c>
      <c r="AB202" s="3">
        <v>0</v>
      </c>
      <c r="AC202" s="1">
        <f t="shared" si="35"/>
        <v>0</v>
      </c>
      <c r="AE202" s="1">
        <v>0.28666999999999998</v>
      </c>
      <c r="AF202" s="1">
        <v>5836.13</v>
      </c>
      <c r="AG202" s="3">
        <v>0</v>
      </c>
      <c r="AH202" s="1">
        <f t="shared" si="36"/>
        <v>0</v>
      </c>
      <c r="AJ202" s="1">
        <v>0.28666999999999998</v>
      </c>
      <c r="AK202" s="1">
        <v>5836.13</v>
      </c>
      <c r="AL202" s="2">
        <v>2.7499050353348901E-7</v>
      </c>
      <c r="AM202" s="1">
        <f t="shared" si="37"/>
        <v>1.6048803273869012E-3</v>
      </c>
      <c r="AO202" s="1">
        <v>0.28666999999999998</v>
      </c>
      <c r="AP202" s="1">
        <v>5836.13</v>
      </c>
      <c r="AQ202" s="2">
        <v>8.7761786216581305E-9</v>
      </c>
      <c r="AR202" s="1">
        <f t="shared" si="38"/>
        <v>5.1218919339217665E-5</v>
      </c>
      <c r="AT202" s="1">
        <v>0.28666999999999998</v>
      </c>
      <c r="AU202" s="1">
        <v>5836.13</v>
      </c>
      <c r="AV202" s="3">
        <v>0</v>
      </c>
      <c r="AW202" s="1">
        <f t="shared" si="39"/>
        <v>0</v>
      </c>
    </row>
    <row r="203" spans="1:49" x14ac:dyDescent="0.3">
      <c r="A203" s="1">
        <v>0.32353999999999999</v>
      </c>
      <c r="B203" s="1">
        <v>5817.37</v>
      </c>
      <c r="C203" s="2">
        <v>3.50998612862632E-5</v>
      </c>
      <c r="D203" s="1">
        <f t="shared" si="30"/>
        <v>0.20418888005086894</v>
      </c>
      <c r="F203" s="1">
        <v>0.32353999999999999</v>
      </c>
      <c r="G203" s="1">
        <v>5817.37</v>
      </c>
      <c r="H203" s="3">
        <v>0</v>
      </c>
      <c r="I203" s="1">
        <f t="shared" si="31"/>
        <v>0</v>
      </c>
      <c r="K203" s="1">
        <v>0.32353999999999999</v>
      </c>
      <c r="L203" s="1">
        <v>5817.37</v>
      </c>
      <c r="M203" s="3">
        <v>0</v>
      </c>
      <c r="N203" s="1">
        <f t="shared" si="32"/>
        <v>0</v>
      </c>
      <c r="P203" s="1">
        <v>0.32353999999999999</v>
      </c>
      <c r="Q203" s="1">
        <v>5817.37</v>
      </c>
      <c r="R203" s="3">
        <v>0</v>
      </c>
      <c r="S203" s="1">
        <f t="shared" si="33"/>
        <v>0</v>
      </c>
      <c r="U203" s="1">
        <v>0.32353999999999999</v>
      </c>
      <c r="V203" s="1">
        <v>5817.37</v>
      </c>
      <c r="W203" s="16">
        <v>0</v>
      </c>
      <c r="X203" s="1">
        <f t="shared" si="34"/>
        <v>0</v>
      </c>
      <c r="Z203" s="1">
        <v>0.32353999999999999</v>
      </c>
      <c r="AA203" s="1">
        <v>5817.37</v>
      </c>
      <c r="AB203" s="3">
        <v>0</v>
      </c>
      <c r="AC203" s="1">
        <f t="shared" si="35"/>
        <v>0</v>
      </c>
      <c r="AE203" s="1">
        <v>0.32353999999999999</v>
      </c>
      <c r="AF203" s="1">
        <v>5817.37</v>
      </c>
      <c r="AG203" s="3">
        <v>0</v>
      </c>
      <c r="AH203" s="1">
        <f t="shared" si="36"/>
        <v>0</v>
      </c>
      <c r="AJ203" s="1">
        <v>0.32353999999999999</v>
      </c>
      <c r="AK203" s="1">
        <v>5817.37</v>
      </c>
      <c r="AL203" s="2">
        <v>5.5179926185051303E-5</v>
      </c>
      <c r="AM203" s="1">
        <f t="shared" si="37"/>
        <v>0.3210020471911319</v>
      </c>
      <c r="AO203" s="1">
        <v>0.32353999999999999</v>
      </c>
      <c r="AP203" s="1">
        <v>5817.37</v>
      </c>
      <c r="AQ203" s="2">
        <v>8.2086184828119595E-9</v>
      </c>
      <c r="AR203" s="1">
        <f t="shared" si="38"/>
        <v>4.7752570903355806E-5</v>
      </c>
      <c r="AT203" s="1">
        <v>0.32353999999999999</v>
      </c>
      <c r="AU203" s="1">
        <v>5817.37</v>
      </c>
      <c r="AV203" s="3">
        <v>0</v>
      </c>
      <c r="AW203" s="1">
        <f t="shared" si="39"/>
        <v>0</v>
      </c>
    </row>
    <row r="204" spans="1:49" x14ac:dyDescent="0.3">
      <c r="A204" s="1">
        <v>0.36514999999999997</v>
      </c>
      <c r="B204" s="1">
        <v>5914.31</v>
      </c>
      <c r="C204" s="2">
        <v>3.2875027465216299E-5</v>
      </c>
      <c r="D204" s="1">
        <f t="shared" si="30"/>
        <v>0.19443310368780342</v>
      </c>
      <c r="F204" s="1">
        <v>0.36514999999999997</v>
      </c>
      <c r="G204" s="1">
        <v>5914.31</v>
      </c>
      <c r="H204" s="3">
        <v>0</v>
      </c>
      <c r="I204" s="1">
        <f t="shared" si="31"/>
        <v>0</v>
      </c>
      <c r="K204" s="1">
        <v>0.36514999999999997</v>
      </c>
      <c r="L204" s="1">
        <v>5914.31</v>
      </c>
      <c r="M204" s="3">
        <v>0</v>
      </c>
      <c r="N204" s="1">
        <f t="shared" si="32"/>
        <v>0</v>
      </c>
      <c r="P204" s="1">
        <v>0.36514999999999997</v>
      </c>
      <c r="Q204" s="1">
        <v>5914.31</v>
      </c>
      <c r="R204" s="3">
        <v>0</v>
      </c>
      <c r="S204" s="1">
        <f t="shared" si="33"/>
        <v>0</v>
      </c>
      <c r="U204" s="1">
        <v>0.36514999999999997</v>
      </c>
      <c r="V204" s="1">
        <v>5914.31</v>
      </c>
      <c r="W204" s="16">
        <v>0</v>
      </c>
      <c r="X204" s="1">
        <f t="shared" si="34"/>
        <v>0</v>
      </c>
      <c r="Z204" s="1">
        <v>0.36514999999999997</v>
      </c>
      <c r="AA204" s="1">
        <v>5914.31</v>
      </c>
      <c r="AB204" s="3">
        <v>0</v>
      </c>
      <c r="AC204" s="1">
        <f t="shared" si="35"/>
        <v>0</v>
      </c>
      <c r="AE204" s="1">
        <v>0.36514999999999997</v>
      </c>
      <c r="AF204" s="1">
        <v>5914.31</v>
      </c>
      <c r="AG204" s="3">
        <v>0</v>
      </c>
      <c r="AH204" s="1">
        <f t="shared" si="36"/>
        <v>0</v>
      </c>
      <c r="AJ204" s="1">
        <v>0.36514999999999997</v>
      </c>
      <c r="AK204" s="1">
        <v>5914.31</v>
      </c>
      <c r="AL204" s="2">
        <v>4.60575814641392E-7</v>
      </c>
      <c r="AM204" s="1">
        <f t="shared" si="37"/>
        <v>2.7239881462917314E-3</v>
      </c>
      <c r="AO204" s="1">
        <v>0.36514999999999997</v>
      </c>
      <c r="AP204" s="1">
        <v>5914.31</v>
      </c>
      <c r="AQ204" s="2">
        <v>7.5396145831094794E-9</v>
      </c>
      <c r="AR204" s="1">
        <f t="shared" si="38"/>
        <v>4.459161792503023E-5</v>
      </c>
      <c r="AT204" s="1">
        <v>0.36514999999999997</v>
      </c>
      <c r="AU204" s="1">
        <v>5914.31</v>
      </c>
      <c r="AV204" s="3">
        <v>0</v>
      </c>
      <c r="AW204" s="1">
        <f t="shared" si="39"/>
        <v>0</v>
      </c>
    </row>
    <row r="205" spans="1:49" x14ac:dyDescent="0.3">
      <c r="A205" s="1">
        <v>0.41211999999999999</v>
      </c>
      <c r="B205" s="1">
        <v>5474.12</v>
      </c>
      <c r="C205" s="2">
        <v>2.98722109599199E-5</v>
      </c>
      <c r="D205" s="1">
        <f t="shared" si="30"/>
        <v>0.16352406745991671</v>
      </c>
      <c r="F205" s="1">
        <v>0.41211999999999999</v>
      </c>
      <c r="G205" s="1">
        <v>5474.12</v>
      </c>
      <c r="H205" s="3">
        <v>0</v>
      </c>
      <c r="I205" s="1">
        <f t="shared" si="31"/>
        <v>0</v>
      </c>
      <c r="K205" s="1">
        <v>0.41211999999999999</v>
      </c>
      <c r="L205" s="1">
        <v>5474.12</v>
      </c>
      <c r="M205" s="3">
        <v>0</v>
      </c>
      <c r="N205" s="1">
        <f t="shared" si="32"/>
        <v>0</v>
      </c>
      <c r="P205" s="1">
        <v>0.41211999999999999</v>
      </c>
      <c r="Q205" s="1">
        <v>5474.12</v>
      </c>
      <c r="R205" s="3">
        <v>0</v>
      </c>
      <c r="S205" s="1">
        <f t="shared" si="33"/>
        <v>0</v>
      </c>
      <c r="U205" s="1">
        <v>0.41211999999999999</v>
      </c>
      <c r="V205" s="1">
        <v>5474.12</v>
      </c>
      <c r="W205" s="16">
        <v>0</v>
      </c>
      <c r="X205" s="1">
        <f t="shared" si="34"/>
        <v>0</v>
      </c>
      <c r="Z205" s="1">
        <v>0.41211999999999999</v>
      </c>
      <c r="AA205" s="1">
        <v>5474.12</v>
      </c>
      <c r="AB205" s="3">
        <v>0</v>
      </c>
      <c r="AC205" s="1">
        <f t="shared" si="35"/>
        <v>0</v>
      </c>
      <c r="AE205" s="1">
        <v>0.41211999999999999</v>
      </c>
      <c r="AF205" s="1">
        <v>5474.12</v>
      </c>
      <c r="AG205" s="3">
        <v>0</v>
      </c>
      <c r="AH205" s="1">
        <f t="shared" si="36"/>
        <v>0</v>
      </c>
      <c r="AJ205" s="1">
        <v>0.41211999999999999</v>
      </c>
      <c r="AK205" s="1">
        <v>5474.12</v>
      </c>
      <c r="AL205" s="2">
        <v>3.25163196532029E-6</v>
      </c>
      <c r="AM205" s="1">
        <f t="shared" si="37"/>
        <v>1.7799823573999105E-2</v>
      </c>
      <c r="AO205" s="1">
        <v>0.41211999999999999</v>
      </c>
      <c r="AP205" s="1">
        <v>5474.12</v>
      </c>
      <c r="AQ205" s="2">
        <v>7.03328050989446E-9</v>
      </c>
      <c r="AR205" s="1">
        <f t="shared" si="38"/>
        <v>3.8501021504823458E-5</v>
      </c>
      <c r="AT205" s="1">
        <v>0.41211999999999999</v>
      </c>
      <c r="AU205" s="1">
        <v>5474.12</v>
      </c>
      <c r="AV205" s="3">
        <v>0</v>
      </c>
      <c r="AW205" s="1">
        <f t="shared" si="39"/>
        <v>0</v>
      </c>
    </row>
    <row r="206" spans="1:49" x14ac:dyDescent="0.3">
      <c r="A206" s="1">
        <v>0.46512999999999999</v>
      </c>
      <c r="B206" s="1">
        <v>3524.19</v>
      </c>
      <c r="C206" s="2">
        <v>2.6849788456682701E-5</v>
      </c>
      <c r="D206" s="1">
        <f t="shared" si="30"/>
        <v>9.4623755981156604E-2</v>
      </c>
      <c r="F206" s="1">
        <v>0.46512999999999999</v>
      </c>
      <c r="G206" s="1">
        <v>3524.19</v>
      </c>
      <c r="H206" s="3">
        <v>0</v>
      </c>
      <c r="I206" s="1">
        <f t="shared" si="31"/>
        <v>0</v>
      </c>
      <c r="K206" s="1">
        <v>0.46512999999999999</v>
      </c>
      <c r="L206" s="1">
        <v>3524.19</v>
      </c>
      <c r="M206" s="3">
        <v>0</v>
      </c>
      <c r="N206" s="1">
        <f t="shared" si="32"/>
        <v>0</v>
      </c>
      <c r="P206" s="1">
        <v>0.46512999999999999</v>
      </c>
      <c r="Q206" s="1">
        <v>3524.19</v>
      </c>
      <c r="R206" s="3">
        <v>0</v>
      </c>
      <c r="S206" s="1">
        <f t="shared" si="33"/>
        <v>0</v>
      </c>
      <c r="U206" s="1">
        <v>0.46512999999999999</v>
      </c>
      <c r="V206" s="1">
        <v>3524.19</v>
      </c>
      <c r="W206" s="16">
        <v>0</v>
      </c>
      <c r="X206" s="1">
        <f t="shared" si="34"/>
        <v>0</v>
      </c>
      <c r="Z206" s="1">
        <v>0.46512999999999999</v>
      </c>
      <c r="AA206" s="1">
        <v>3524.19</v>
      </c>
      <c r="AB206" s="3">
        <v>0</v>
      </c>
      <c r="AC206" s="1">
        <f t="shared" si="35"/>
        <v>0</v>
      </c>
      <c r="AE206" s="1">
        <v>0.46512999999999999</v>
      </c>
      <c r="AF206" s="1">
        <v>3524.19</v>
      </c>
      <c r="AG206" s="3">
        <v>0</v>
      </c>
      <c r="AH206" s="1">
        <f t="shared" si="36"/>
        <v>0</v>
      </c>
      <c r="AJ206" s="1">
        <v>0.46512999999999999</v>
      </c>
      <c r="AK206" s="1">
        <v>3524.19</v>
      </c>
      <c r="AL206" s="2">
        <v>3.4014772531276402E-6</v>
      </c>
      <c r="AM206" s="1">
        <f t="shared" si="37"/>
        <v>1.1987452120699899E-2</v>
      </c>
      <c r="AO206" s="1">
        <v>0.46512999999999999</v>
      </c>
      <c r="AP206" s="1">
        <v>3524.19</v>
      </c>
      <c r="AQ206" s="2">
        <v>6.6757487546549604E-9</v>
      </c>
      <c r="AR206" s="1">
        <f t="shared" si="38"/>
        <v>2.3526607003667465E-5</v>
      </c>
      <c r="AT206" s="1">
        <v>0.46512999999999999</v>
      </c>
      <c r="AU206" s="1">
        <v>3524.19</v>
      </c>
      <c r="AV206" s="3">
        <v>0</v>
      </c>
      <c r="AW206" s="1">
        <f t="shared" si="39"/>
        <v>0</v>
      </c>
    </row>
    <row r="207" spans="1:49" x14ac:dyDescent="0.3">
      <c r="A207" s="1">
        <v>0.52495999999999998</v>
      </c>
      <c r="B207" s="1">
        <v>8533.66</v>
      </c>
      <c r="C207" s="2">
        <v>2.4250399624821698E-5</v>
      </c>
      <c r="D207" s="1">
        <f t="shared" si="30"/>
        <v>0.20694466526235594</v>
      </c>
      <c r="F207" s="1">
        <v>0.52495999999999998</v>
      </c>
      <c r="G207" s="1">
        <v>8533.66</v>
      </c>
      <c r="H207" s="3">
        <v>0</v>
      </c>
      <c r="I207" s="1">
        <f t="shared" si="31"/>
        <v>0</v>
      </c>
      <c r="K207" s="1">
        <v>0.52495999999999998</v>
      </c>
      <c r="L207" s="1">
        <v>8533.66</v>
      </c>
      <c r="M207" s="3">
        <v>0</v>
      </c>
      <c r="N207" s="1">
        <f t="shared" si="32"/>
        <v>0</v>
      </c>
      <c r="P207" s="1">
        <v>0.52495999999999998</v>
      </c>
      <c r="Q207" s="1">
        <v>8533.66</v>
      </c>
      <c r="R207" s="3">
        <v>0</v>
      </c>
      <c r="S207" s="1">
        <f t="shared" si="33"/>
        <v>0</v>
      </c>
      <c r="U207" s="1">
        <v>0.52495999999999998</v>
      </c>
      <c r="V207" s="1">
        <v>8533.66</v>
      </c>
      <c r="W207" s="16">
        <v>0</v>
      </c>
      <c r="X207" s="1">
        <f t="shared" si="34"/>
        <v>0</v>
      </c>
      <c r="Z207" s="1">
        <v>0.52495999999999998</v>
      </c>
      <c r="AA207" s="1">
        <v>8533.66</v>
      </c>
      <c r="AB207" s="3">
        <v>0</v>
      </c>
      <c r="AC207" s="1">
        <f t="shared" si="35"/>
        <v>0</v>
      </c>
      <c r="AE207" s="1">
        <v>0.52495999999999998</v>
      </c>
      <c r="AF207" s="1">
        <v>8533.66</v>
      </c>
      <c r="AG207" s="3">
        <v>0</v>
      </c>
      <c r="AH207" s="1">
        <f t="shared" si="36"/>
        <v>0</v>
      </c>
      <c r="AJ207" s="1">
        <v>0.52495999999999998</v>
      </c>
      <c r="AK207" s="1">
        <v>8533.66</v>
      </c>
      <c r="AL207" s="2">
        <v>8.5434989212738799E-7</v>
      </c>
      <c r="AM207" s="1">
        <f t="shared" si="37"/>
        <v>7.2907315004518058E-3</v>
      </c>
      <c r="AO207" s="1">
        <v>0.52495999999999998</v>
      </c>
      <c r="AP207" s="1">
        <v>8533.66</v>
      </c>
      <c r="AQ207" s="2">
        <v>6.4076160204916703E-9</v>
      </c>
      <c r="AR207" s="1">
        <f t="shared" si="38"/>
        <v>5.4680416529428948E-5</v>
      </c>
      <c r="AT207" s="1">
        <v>0.52495999999999998</v>
      </c>
      <c r="AU207" s="1">
        <v>8533.66</v>
      </c>
      <c r="AV207" s="3">
        <v>0</v>
      </c>
      <c r="AW207" s="1">
        <f t="shared" si="39"/>
        <v>0</v>
      </c>
    </row>
    <row r="208" spans="1:49" x14ac:dyDescent="0.3">
      <c r="A208" s="1">
        <v>0.59248000000000001</v>
      </c>
      <c r="B208" s="1">
        <v>9542.8700000000008</v>
      </c>
      <c r="C208" s="2">
        <v>2.13949707621006E-5</v>
      </c>
      <c r="D208" s="1">
        <f t="shared" si="30"/>
        <v>0.20416942463652696</v>
      </c>
      <c r="F208" s="1">
        <v>0.59248000000000001</v>
      </c>
      <c r="G208" s="1">
        <v>9542.8700000000008</v>
      </c>
      <c r="H208" s="3">
        <v>0</v>
      </c>
      <c r="I208" s="1">
        <f t="shared" si="31"/>
        <v>0</v>
      </c>
      <c r="K208" s="1">
        <v>0.59248000000000001</v>
      </c>
      <c r="L208" s="1">
        <v>9542.8700000000008</v>
      </c>
      <c r="M208" s="3">
        <v>0</v>
      </c>
      <c r="N208" s="1">
        <f t="shared" si="32"/>
        <v>0</v>
      </c>
      <c r="P208" s="1">
        <v>0.59248000000000001</v>
      </c>
      <c r="Q208" s="1">
        <v>9542.8700000000008</v>
      </c>
      <c r="R208" s="2">
        <v>2.3583473528786101E-8</v>
      </c>
      <c r="S208" s="1">
        <f t="shared" si="33"/>
        <v>2.2505402203364705E-4</v>
      </c>
      <c r="U208" s="1">
        <v>0.59248000000000001</v>
      </c>
      <c r="V208" s="1">
        <v>9542.8700000000008</v>
      </c>
      <c r="W208" s="16">
        <v>0</v>
      </c>
      <c r="X208" s="1">
        <f t="shared" si="34"/>
        <v>0</v>
      </c>
      <c r="Z208" s="1">
        <v>0.59248000000000001</v>
      </c>
      <c r="AA208" s="1">
        <v>9542.8700000000008</v>
      </c>
      <c r="AB208" s="3">
        <v>0</v>
      </c>
      <c r="AC208" s="1">
        <f t="shared" si="35"/>
        <v>0</v>
      </c>
      <c r="AE208" s="1">
        <v>0.59248000000000001</v>
      </c>
      <c r="AF208" s="1">
        <v>9542.8700000000008</v>
      </c>
      <c r="AG208" s="3">
        <v>0</v>
      </c>
      <c r="AH208" s="1">
        <f t="shared" si="36"/>
        <v>0</v>
      </c>
      <c r="AJ208" s="1">
        <v>0.59248000000000001</v>
      </c>
      <c r="AK208" s="1">
        <v>9542.8700000000008</v>
      </c>
      <c r="AL208" s="2">
        <v>1.56918863548892E-6</v>
      </c>
      <c r="AM208" s="1">
        <f t="shared" si="37"/>
        <v>1.4974563153948151E-2</v>
      </c>
      <c r="AO208" s="1">
        <v>0.59248000000000001</v>
      </c>
      <c r="AP208" s="1">
        <v>9542.8700000000008</v>
      </c>
      <c r="AQ208" s="2">
        <v>6.2056980831701303E-9</v>
      </c>
      <c r="AR208" s="1">
        <f t="shared" si="38"/>
        <v>5.922017006694175E-5</v>
      </c>
      <c r="AT208" s="1">
        <v>0.59248000000000001</v>
      </c>
      <c r="AU208" s="1">
        <v>9542.8700000000008</v>
      </c>
      <c r="AV208" s="3">
        <v>0</v>
      </c>
      <c r="AW208" s="1">
        <f t="shared" si="39"/>
        <v>0</v>
      </c>
    </row>
    <row r="209" spans="1:49" x14ac:dyDescent="0.3">
      <c r="A209" s="1">
        <v>0.66869000000000001</v>
      </c>
      <c r="B209" s="1">
        <v>11987.3</v>
      </c>
      <c r="C209" s="2">
        <v>1.87279591151532E-5</v>
      </c>
      <c r="D209" s="1">
        <f t="shared" si="30"/>
        <v>0.22449766430107593</v>
      </c>
      <c r="F209" s="1">
        <v>0.66869000000000001</v>
      </c>
      <c r="G209" s="1">
        <v>11987.3</v>
      </c>
      <c r="H209" s="3">
        <v>0</v>
      </c>
      <c r="I209" s="1">
        <f t="shared" si="31"/>
        <v>0</v>
      </c>
      <c r="K209" s="1">
        <v>0.66869000000000001</v>
      </c>
      <c r="L209" s="1">
        <v>11987.3</v>
      </c>
      <c r="M209" s="3">
        <v>0</v>
      </c>
      <c r="N209" s="1">
        <f t="shared" si="32"/>
        <v>0</v>
      </c>
      <c r="P209" s="1">
        <v>0.66869000000000001</v>
      </c>
      <c r="Q209" s="1">
        <v>11987.3</v>
      </c>
      <c r="R209" s="2">
        <v>5.2446319665472399E-8</v>
      </c>
      <c r="S209" s="1">
        <f t="shared" si="33"/>
        <v>6.2868976772591722E-4</v>
      </c>
      <c r="U209" s="1">
        <v>0.66869000000000001</v>
      </c>
      <c r="V209" s="1">
        <v>11987.3</v>
      </c>
      <c r="W209" s="16">
        <v>0</v>
      </c>
      <c r="X209" s="1">
        <f t="shared" si="34"/>
        <v>0</v>
      </c>
      <c r="Z209" s="1">
        <v>0.66869000000000001</v>
      </c>
      <c r="AA209" s="1">
        <v>11987.3</v>
      </c>
      <c r="AB209" s="3">
        <v>0</v>
      </c>
      <c r="AC209" s="1">
        <f t="shared" si="35"/>
        <v>0</v>
      </c>
      <c r="AE209" s="1">
        <v>0.66869000000000001</v>
      </c>
      <c r="AF209" s="1">
        <v>11987.3</v>
      </c>
      <c r="AG209" s="3">
        <v>0</v>
      </c>
      <c r="AH209" s="1">
        <f t="shared" si="36"/>
        <v>0</v>
      </c>
      <c r="AJ209" s="1">
        <v>0.66869000000000001</v>
      </c>
      <c r="AK209" s="1">
        <v>11987.3</v>
      </c>
      <c r="AL209" s="2">
        <v>1.7153148076030899E-6</v>
      </c>
      <c r="AM209" s="1">
        <f t="shared" si="37"/>
        <v>2.0561993193180517E-2</v>
      </c>
      <c r="AO209" s="1">
        <v>0.66869000000000001</v>
      </c>
      <c r="AP209" s="1">
        <v>11987.3</v>
      </c>
      <c r="AQ209" s="2">
        <v>6.0551111222144103E-9</v>
      </c>
      <c r="AR209" s="1">
        <f t="shared" si="38"/>
        <v>7.258443355532079E-5</v>
      </c>
      <c r="AT209" s="1">
        <v>0.66869000000000001</v>
      </c>
      <c r="AU209" s="1">
        <v>11987.3</v>
      </c>
      <c r="AV209" s="3">
        <v>0</v>
      </c>
      <c r="AW209" s="1">
        <f t="shared" si="39"/>
        <v>0</v>
      </c>
    </row>
    <row r="210" spans="1:49" x14ac:dyDescent="0.3">
      <c r="A210" s="1">
        <v>0.75470000000000004</v>
      </c>
      <c r="B210" s="1">
        <v>13149.9</v>
      </c>
      <c r="C210" s="2">
        <v>1.7056663996456899E-5</v>
      </c>
      <c r="D210" s="1">
        <f t="shared" si="30"/>
        <v>0.22429342588700857</v>
      </c>
      <c r="F210" s="1">
        <v>0.75470000000000004</v>
      </c>
      <c r="G210" s="1">
        <v>13149.9</v>
      </c>
      <c r="H210" s="3">
        <v>0</v>
      </c>
      <c r="I210" s="1">
        <f t="shared" si="31"/>
        <v>0</v>
      </c>
      <c r="K210" s="1">
        <v>0.75470000000000004</v>
      </c>
      <c r="L210" s="1">
        <v>13149.9</v>
      </c>
      <c r="M210" s="3">
        <v>0</v>
      </c>
      <c r="N210" s="1">
        <f t="shared" si="32"/>
        <v>0</v>
      </c>
      <c r="P210" s="1">
        <v>0.75470000000000004</v>
      </c>
      <c r="Q210" s="1">
        <v>13149.9</v>
      </c>
      <c r="R210" s="2">
        <v>8.5022197354843005E-8</v>
      </c>
      <c r="S210" s="1">
        <f t="shared" si="33"/>
        <v>1.1180333929964501E-3</v>
      </c>
      <c r="U210" s="1">
        <v>0.75470000000000004</v>
      </c>
      <c r="V210" s="1">
        <v>13149.9</v>
      </c>
      <c r="W210" s="17">
        <v>2.6100160540765501E-11</v>
      </c>
      <c r="X210" s="1">
        <f t="shared" si="34"/>
        <v>3.4321450109501225E-7</v>
      </c>
      <c r="Z210" s="1">
        <v>0.75470000000000004</v>
      </c>
      <c r="AA210" s="1">
        <v>13149.9</v>
      </c>
      <c r="AB210" s="3">
        <v>0</v>
      </c>
      <c r="AC210" s="1">
        <f t="shared" si="35"/>
        <v>0</v>
      </c>
      <c r="AE210" s="1">
        <v>0.75470000000000004</v>
      </c>
      <c r="AF210" s="1">
        <v>13149.9</v>
      </c>
      <c r="AG210" s="3">
        <v>0</v>
      </c>
      <c r="AH210" s="1">
        <f t="shared" si="36"/>
        <v>0</v>
      </c>
      <c r="AJ210" s="1">
        <v>0.75470000000000004</v>
      </c>
      <c r="AK210" s="1">
        <v>13149.9</v>
      </c>
      <c r="AL210" s="2">
        <v>1.5965339817156399E-6</v>
      </c>
      <c r="AM210" s="1">
        <f t="shared" si="37"/>
        <v>2.0994262206162493E-2</v>
      </c>
      <c r="AO210" s="1">
        <v>0.75470000000000004</v>
      </c>
      <c r="AP210" s="1">
        <v>13149.9</v>
      </c>
      <c r="AQ210" s="2">
        <v>5.8415570050506702E-9</v>
      </c>
      <c r="AR210" s="1">
        <f t="shared" si="38"/>
        <v>7.6815890460715813E-5</v>
      </c>
      <c r="AT210" s="1">
        <v>0.75470000000000004</v>
      </c>
      <c r="AU210" s="1">
        <v>13149.9</v>
      </c>
      <c r="AV210" s="3">
        <v>0</v>
      </c>
      <c r="AW210" s="1">
        <f t="shared" si="39"/>
        <v>0</v>
      </c>
    </row>
    <row r="211" spans="1:49" x14ac:dyDescent="0.3">
      <c r="A211" s="1">
        <v>0.85177000000000003</v>
      </c>
      <c r="B211" s="1">
        <v>14026.2</v>
      </c>
      <c r="C211" s="2">
        <v>1.59107679076867E-5</v>
      </c>
      <c r="D211" s="1">
        <f t="shared" si="30"/>
        <v>0.2231676128267952</v>
      </c>
      <c r="F211" s="1">
        <v>0.85177000000000003</v>
      </c>
      <c r="G211" s="1">
        <v>14026.2</v>
      </c>
      <c r="H211" s="3">
        <v>0</v>
      </c>
      <c r="I211" s="1">
        <f t="shared" si="31"/>
        <v>0</v>
      </c>
      <c r="K211" s="1">
        <v>0.85177000000000003</v>
      </c>
      <c r="L211" s="1">
        <v>14026.2</v>
      </c>
      <c r="M211" s="3">
        <v>0</v>
      </c>
      <c r="N211" s="1">
        <f t="shared" si="32"/>
        <v>0</v>
      </c>
      <c r="P211" s="1">
        <v>0.85177000000000003</v>
      </c>
      <c r="Q211" s="1">
        <v>14026.2</v>
      </c>
      <c r="R211" s="2">
        <v>1.2178703330213601E-7</v>
      </c>
      <c r="S211" s="1">
        <f t="shared" si="33"/>
        <v>1.7082092865024201E-3</v>
      </c>
      <c r="U211" s="1">
        <v>0.85177000000000003</v>
      </c>
      <c r="V211" s="1">
        <v>14026.2</v>
      </c>
      <c r="W211" s="17">
        <v>1.7532446152093501E-10</v>
      </c>
      <c r="X211" s="1">
        <f t="shared" si="34"/>
        <v>2.4591359621849387E-6</v>
      </c>
      <c r="Z211" s="1">
        <v>0.85177000000000003</v>
      </c>
      <c r="AA211" s="1">
        <v>14026.2</v>
      </c>
      <c r="AB211" s="3">
        <v>0</v>
      </c>
      <c r="AC211" s="1">
        <f t="shared" si="35"/>
        <v>0</v>
      </c>
      <c r="AE211" s="1">
        <v>0.85177000000000003</v>
      </c>
      <c r="AF211" s="1">
        <v>14026.2</v>
      </c>
      <c r="AG211" s="3">
        <v>0</v>
      </c>
      <c r="AH211" s="1">
        <f t="shared" si="36"/>
        <v>0</v>
      </c>
      <c r="AJ211" s="1">
        <v>0.85177000000000003</v>
      </c>
      <c r="AK211" s="1">
        <v>14026.2</v>
      </c>
      <c r="AL211" s="2">
        <v>1.3618189790823E-6</v>
      </c>
      <c r="AM211" s="1">
        <f t="shared" si="37"/>
        <v>1.9101145364404156E-2</v>
      </c>
      <c r="AO211" s="1">
        <v>0.85177000000000003</v>
      </c>
      <c r="AP211" s="1">
        <v>14026.2</v>
      </c>
      <c r="AQ211" s="2">
        <v>5.7392186519765898E-9</v>
      </c>
      <c r="AR211" s="1">
        <f t="shared" si="38"/>
        <v>8.0499428656354054E-5</v>
      </c>
      <c r="AT211" s="1">
        <v>0.85177000000000003</v>
      </c>
      <c r="AU211" s="1">
        <v>14026.2</v>
      </c>
      <c r="AV211" s="3">
        <v>0</v>
      </c>
      <c r="AW211" s="1">
        <f t="shared" si="39"/>
        <v>0</v>
      </c>
    </row>
    <row r="212" spans="1:49" x14ac:dyDescent="0.3">
      <c r="A212" s="1">
        <v>0.96133000000000002</v>
      </c>
      <c r="B212" s="1">
        <v>10576</v>
      </c>
      <c r="C212" s="2">
        <v>1.52253326848421E-5</v>
      </c>
      <c r="D212" s="1">
        <f t="shared" si="30"/>
        <v>0.16102311847489004</v>
      </c>
      <c r="F212" s="1">
        <v>0.96133000000000002</v>
      </c>
      <c r="G212" s="1">
        <v>10576</v>
      </c>
      <c r="H212" s="3">
        <v>0</v>
      </c>
      <c r="I212" s="1">
        <f t="shared" si="31"/>
        <v>0</v>
      </c>
      <c r="K212" s="1">
        <v>0.96133000000000002</v>
      </c>
      <c r="L212" s="1">
        <v>10576</v>
      </c>
      <c r="M212" s="3">
        <v>0</v>
      </c>
      <c r="N212" s="1">
        <f t="shared" si="32"/>
        <v>0</v>
      </c>
      <c r="P212" s="1">
        <v>0.96133000000000002</v>
      </c>
      <c r="Q212" s="1">
        <v>10576</v>
      </c>
      <c r="R212" s="2">
        <v>1.6328101435844699E-7</v>
      </c>
      <c r="S212" s="1">
        <f t="shared" si="33"/>
        <v>1.7268600078549354E-3</v>
      </c>
      <c r="U212" s="1">
        <v>0.96133000000000002</v>
      </c>
      <c r="V212" s="1">
        <v>10576</v>
      </c>
      <c r="W212" s="17">
        <v>1.80734212945676E-9</v>
      </c>
      <c r="X212" s="1">
        <f t="shared" si="34"/>
        <v>1.9114450361134694E-5</v>
      </c>
      <c r="Z212" s="1">
        <v>0.96133000000000002</v>
      </c>
      <c r="AA212" s="1">
        <v>10576</v>
      </c>
      <c r="AB212" s="3">
        <v>0</v>
      </c>
      <c r="AC212" s="1">
        <f t="shared" si="35"/>
        <v>0</v>
      </c>
      <c r="AE212" s="1">
        <v>0.96133000000000002</v>
      </c>
      <c r="AF212" s="1">
        <v>10576</v>
      </c>
      <c r="AG212" s="3">
        <v>0</v>
      </c>
      <c r="AH212" s="1">
        <f t="shared" si="36"/>
        <v>0</v>
      </c>
      <c r="AJ212" s="1">
        <v>0.96133000000000002</v>
      </c>
      <c r="AK212" s="1">
        <v>10576</v>
      </c>
      <c r="AL212" s="2">
        <v>1.1762582965038899E-6</v>
      </c>
      <c r="AM212" s="1">
        <f t="shared" si="37"/>
        <v>1.2440107743825139E-2</v>
      </c>
      <c r="AO212" s="1">
        <v>0.96133000000000002</v>
      </c>
      <c r="AP212" s="1">
        <v>10576</v>
      </c>
      <c r="AQ212" s="2">
        <v>5.7077249795641603E-9</v>
      </c>
      <c r="AR212" s="1">
        <f t="shared" si="38"/>
        <v>6.036489938387056E-5</v>
      </c>
      <c r="AT212" s="1">
        <v>0.96133000000000002</v>
      </c>
      <c r="AU212" s="1">
        <v>10576</v>
      </c>
      <c r="AV212" s="3">
        <v>0</v>
      </c>
      <c r="AW212" s="1">
        <f t="shared" si="39"/>
        <v>0</v>
      </c>
    </row>
    <row r="213" spans="1:49" x14ac:dyDescent="0.3">
      <c r="A213" s="1">
        <v>1.085</v>
      </c>
      <c r="B213" s="1">
        <v>8540.3799999999992</v>
      </c>
      <c r="C213" s="2">
        <v>1.49797869282598E-5</v>
      </c>
      <c r="D213" s="1">
        <f t="shared" si="30"/>
        <v>0.12793307268637141</v>
      </c>
      <c r="F213" s="1">
        <v>1.085</v>
      </c>
      <c r="G213" s="1">
        <v>8540.3799999999992</v>
      </c>
      <c r="H213" s="3">
        <v>0</v>
      </c>
      <c r="I213" s="1">
        <f t="shared" si="31"/>
        <v>0</v>
      </c>
      <c r="K213" s="1">
        <v>1.085</v>
      </c>
      <c r="L213" s="1">
        <v>8540.3799999999992</v>
      </c>
      <c r="M213" s="3">
        <v>0</v>
      </c>
      <c r="N213" s="1">
        <f t="shared" si="32"/>
        <v>0</v>
      </c>
      <c r="P213" s="1">
        <v>1.085</v>
      </c>
      <c r="Q213" s="1">
        <v>8540.3799999999992</v>
      </c>
      <c r="R213" s="2">
        <v>2.00812955796884E-7</v>
      </c>
      <c r="S213" s="1">
        <f t="shared" si="33"/>
        <v>1.715018951428592E-3</v>
      </c>
      <c r="U213" s="1">
        <v>1.085</v>
      </c>
      <c r="V213" s="1">
        <v>8540.3799999999992</v>
      </c>
      <c r="W213" s="17">
        <v>7.07705035228066E-9</v>
      </c>
      <c r="X213" s="1">
        <f t="shared" si="34"/>
        <v>6.0440699287610697E-5</v>
      </c>
      <c r="Z213" s="1">
        <v>1.085</v>
      </c>
      <c r="AA213" s="1">
        <v>8540.3799999999992</v>
      </c>
      <c r="AB213" s="3">
        <v>0</v>
      </c>
      <c r="AC213" s="1">
        <f t="shared" si="35"/>
        <v>0</v>
      </c>
      <c r="AE213" s="1">
        <v>1.085</v>
      </c>
      <c r="AF213" s="1">
        <v>8540.3799999999992</v>
      </c>
      <c r="AG213" s="3">
        <v>0</v>
      </c>
      <c r="AH213" s="1">
        <f t="shared" si="36"/>
        <v>0</v>
      </c>
      <c r="AJ213" s="1">
        <v>1.085</v>
      </c>
      <c r="AK213" s="1">
        <v>8540.3799999999992</v>
      </c>
      <c r="AL213" s="2">
        <v>1.12525385871419E-6</v>
      </c>
      <c r="AM213" s="1">
        <f t="shared" si="37"/>
        <v>9.6100955498854921E-3</v>
      </c>
      <c r="AO213" s="1">
        <v>1.085</v>
      </c>
      <c r="AP213" s="1">
        <v>8540.3799999999992</v>
      </c>
      <c r="AQ213" s="2">
        <v>5.7374082482808703E-9</v>
      </c>
      <c r="AR213" s="1">
        <f t="shared" si="38"/>
        <v>4.8999646655452977E-5</v>
      </c>
      <c r="AT213" s="1">
        <v>1.085</v>
      </c>
      <c r="AU213" s="1">
        <v>8540.3799999999992</v>
      </c>
      <c r="AV213" s="2">
        <v>1.76784575026259E-11</v>
      </c>
      <c r="AW213" s="1">
        <f t="shared" si="39"/>
        <v>1.5098074488627616E-7</v>
      </c>
    </row>
    <row r="214" spans="1:49" x14ac:dyDescent="0.3">
      <c r="A214" s="1">
        <v>1.2244999999999999</v>
      </c>
      <c r="B214" s="1">
        <v>14708.7</v>
      </c>
      <c r="C214" s="2">
        <v>1.3781860454072699E-5</v>
      </c>
      <c r="D214" s="1">
        <f t="shared" si="30"/>
        <v>0.20271325086081912</v>
      </c>
      <c r="F214" s="1">
        <v>1.2244999999999999</v>
      </c>
      <c r="G214" s="1">
        <v>14708.7</v>
      </c>
      <c r="H214" s="3">
        <v>0</v>
      </c>
      <c r="I214" s="1">
        <f t="shared" si="31"/>
        <v>0</v>
      </c>
      <c r="K214" s="1">
        <v>1.2244999999999999</v>
      </c>
      <c r="L214" s="1">
        <v>14708.7</v>
      </c>
      <c r="M214" s="3">
        <v>0</v>
      </c>
      <c r="N214" s="1">
        <f t="shared" si="32"/>
        <v>0</v>
      </c>
      <c r="P214" s="1">
        <v>1.2244999999999999</v>
      </c>
      <c r="Q214" s="1">
        <v>14708.7</v>
      </c>
      <c r="R214" s="2">
        <v>6.7707114723264204E-7</v>
      </c>
      <c r="S214" s="1">
        <f t="shared" si="33"/>
        <v>9.9588363833007631E-3</v>
      </c>
      <c r="U214" s="1">
        <v>1.2244999999999999</v>
      </c>
      <c r="V214" s="1">
        <v>14708.7</v>
      </c>
      <c r="W214" s="17">
        <v>1.7116334508879101E-8</v>
      </c>
      <c r="X214" s="1">
        <f t="shared" si="34"/>
        <v>2.5175902939075003E-4</v>
      </c>
      <c r="Z214" s="1">
        <v>1.2244999999999999</v>
      </c>
      <c r="AA214" s="1">
        <v>14708.7</v>
      </c>
      <c r="AB214" s="3">
        <v>0</v>
      </c>
      <c r="AC214" s="1">
        <f t="shared" si="35"/>
        <v>0</v>
      </c>
      <c r="AE214" s="1">
        <v>1.2244999999999999</v>
      </c>
      <c r="AF214" s="1">
        <v>14708.7</v>
      </c>
      <c r="AG214" s="3">
        <v>0</v>
      </c>
      <c r="AH214" s="1">
        <f t="shared" si="36"/>
        <v>0</v>
      </c>
      <c r="AJ214" s="1">
        <v>1.2244999999999999</v>
      </c>
      <c r="AK214" s="1">
        <v>14708.7</v>
      </c>
      <c r="AL214" s="2">
        <v>1.09260356904811E-6</v>
      </c>
      <c r="AM214" s="1">
        <f t="shared" si="37"/>
        <v>1.6070778116057938E-2</v>
      </c>
      <c r="AO214" s="1">
        <v>1.2244999999999999</v>
      </c>
      <c r="AP214" s="1">
        <v>14708.7</v>
      </c>
      <c r="AQ214" s="2">
        <v>5.6431937371713603E-9</v>
      </c>
      <c r="AR214" s="1">
        <f t="shared" si="38"/>
        <v>8.3004043721932386E-5</v>
      </c>
      <c r="AT214" s="1">
        <v>1.2244999999999999</v>
      </c>
      <c r="AU214" s="1">
        <v>14708.7</v>
      </c>
      <c r="AV214" s="2">
        <v>6.5316060094312601E-11</v>
      </c>
      <c r="AW214" s="1">
        <f t="shared" si="39"/>
        <v>9.6071433310921577E-7</v>
      </c>
    </row>
    <row r="215" spans="1:49" x14ac:dyDescent="0.3">
      <c r="A215" s="1">
        <v>1.3819999999999999</v>
      </c>
      <c r="B215" s="1">
        <v>15803.8</v>
      </c>
      <c r="C215" s="2">
        <v>1.3203852989550201E-5</v>
      </c>
      <c r="D215" s="1">
        <f t="shared" si="30"/>
        <v>0.20867105187625345</v>
      </c>
      <c r="F215" s="1">
        <v>1.3819999999999999</v>
      </c>
      <c r="G215" s="1">
        <v>15803.8</v>
      </c>
      <c r="H215" s="3">
        <v>0</v>
      </c>
      <c r="I215" s="1">
        <f t="shared" si="31"/>
        <v>0</v>
      </c>
      <c r="K215" s="1">
        <v>1.3819999999999999</v>
      </c>
      <c r="L215" s="1">
        <v>15803.8</v>
      </c>
      <c r="M215" s="3">
        <v>0</v>
      </c>
      <c r="N215" s="1">
        <f t="shared" si="32"/>
        <v>0</v>
      </c>
      <c r="P215" s="1">
        <v>1.3819999999999999</v>
      </c>
      <c r="Q215" s="1">
        <v>15803.8</v>
      </c>
      <c r="R215" s="2">
        <v>1.13409435516937E-6</v>
      </c>
      <c r="S215" s="1">
        <f t="shared" si="33"/>
        <v>1.7923000370225688E-2</v>
      </c>
      <c r="U215" s="1">
        <v>1.3819999999999999</v>
      </c>
      <c r="V215" s="1">
        <v>15803.8</v>
      </c>
      <c r="W215" s="17">
        <v>3.9730635600369197E-8</v>
      </c>
      <c r="X215" s="1">
        <f t="shared" si="34"/>
        <v>6.2789501890111467E-4</v>
      </c>
      <c r="Z215" s="1">
        <v>1.3819999999999999</v>
      </c>
      <c r="AA215" s="1">
        <v>15803.8</v>
      </c>
      <c r="AB215" s="3">
        <v>0</v>
      </c>
      <c r="AC215" s="1">
        <f t="shared" si="35"/>
        <v>0</v>
      </c>
      <c r="AE215" s="1">
        <v>1.3819999999999999</v>
      </c>
      <c r="AF215" s="1">
        <v>15803.8</v>
      </c>
      <c r="AG215" s="3">
        <v>0</v>
      </c>
      <c r="AH215" s="1">
        <f t="shared" si="36"/>
        <v>0</v>
      </c>
      <c r="AJ215" s="1">
        <v>1.3819999999999999</v>
      </c>
      <c r="AK215" s="1">
        <v>15803.8</v>
      </c>
      <c r="AL215" s="2">
        <v>1.05173434576298E-6</v>
      </c>
      <c r="AM215" s="1">
        <f t="shared" si="37"/>
        <v>1.662139925356898E-2</v>
      </c>
      <c r="AO215" s="1">
        <v>1.3819999999999999</v>
      </c>
      <c r="AP215" s="1">
        <v>15803.8</v>
      </c>
      <c r="AQ215" s="2">
        <v>4.7499938549262097E-9</v>
      </c>
      <c r="AR215" s="1">
        <f t="shared" si="38"/>
        <v>7.5067952884482831E-5</v>
      </c>
      <c r="AT215" s="1">
        <v>1.3819999999999999</v>
      </c>
      <c r="AU215" s="1">
        <v>15803.8</v>
      </c>
      <c r="AV215" s="2">
        <v>1.6884541103478499E-9</v>
      </c>
      <c r="AW215" s="1">
        <f t="shared" si="39"/>
        <v>2.668399106911535E-5</v>
      </c>
    </row>
    <row r="216" spans="1:49" x14ac:dyDescent="0.3">
      <c r="A216" s="1">
        <v>1.5598000000000001</v>
      </c>
      <c r="B216" s="1">
        <v>19999.5</v>
      </c>
      <c r="C216" s="2">
        <v>1.2651410792859499E-5</v>
      </c>
      <c r="D216" s="1">
        <f t="shared" si="30"/>
        <v>0.25302189015179355</v>
      </c>
      <c r="F216" s="1">
        <v>1.5598000000000001</v>
      </c>
      <c r="G216" s="1">
        <v>19999.5</v>
      </c>
      <c r="H216" s="3">
        <v>0</v>
      </c>
      <c r="I216" s="1">
        <f t="shared" si="31"/>
        <v>0</v>
      </c>
      <c r="K216" s="1">
        <v>1.5598000000000001</v>
      </c>
      <c r="L216" s="1">
        <v>19999.5</v>
      </c>
      <c r="M216" s="3">
        <v>0</v>
      </c>
      <c r="N216" s="1">
        <f t="shared" si="32"/>
        <v>0</v>
      </c>
      <c r="P216" s="1">
        <v>1.5598000000000001</v>
      </c>
      <c r="Q216" s="1">
        <v>19999.5</v>
      </c>
      <c r="R216" s="2">
        <v>1.7396116357185499E-6</v>
      </c>
      <c r="S216" s="1">
        <f t="shared" si="33"/>
        <v>3.4791362908553142E-2</v>
      </c>
      <c r="U216" s="1">
        <v>1.5598000000000001</v>
      </c>
      <c r="V216" s="1">
        <v>19999.5</v>
      </c>
      <c r="W216" s="17">
        <v>7.1535834703683797E-8</v>
      </c>
      <c r="X216" s="1">
        <f t="shared" si="34"/>
        <v>1.4306809261563241E-3</v>
      </c>
      <c r="Z216" s="1">
        <v>1.5598000000000001</v>
      </c>
      <c r="AA216" s="1">
        <v>19999.5</v>
      </c>
      <c r="AB216" s="3">
        <v>0</v>
      </c>
      <c r="AC216" s="1">
        <f t="shared" si="35"/>
        <v>0</v>
      </c>
      <c r="AE216" s="1">
        <v>1.5598000000000001</v>
      </c>
      <c r="AF216" s="1">
        <v>19999.5</v>
      </c>
      <c r="AG216" s="3">
        <v>0</v>
      </c>
      <c r="AH216" s="1">
        <f t="shared" si="36"/>
        <v>0</v>
      </c>
      <c r="AJ216" s="1">
        <v>1.5598000000000001</v>
      </c>
      <c r="AK216" s="1">
        <v>19999.5</v>
      </c>
      <c r="AL216" s="2">
        <v>1.01705505280633E-6</v>
      </c>
      <c r="AM216" s="1">
        <f t="shared" si="37"/>
        <v>2.0340592528600196E-2</v>
      </c>
      <c r="AO216" s="1">
        <v>1.5598000000000001</v>
      </c>
      <c r="AP216" s="1">
        <v>19999.5</v>
      </c>
      <c r="AQ216" s="2">
        <v>3.9571381247299E-9</v>
      </c>
      <c r="AR216" s="1">
        <f t="shared" si="38"/>
        <v>7.9140783925535629E-5</v>
      </c>
      <c r="AT216" s="1">
        <v>1.5598000000000001</v>
      </c>
      <c r="AU216" s="1">
        <v>19999.5</v>
      </c>
      <c r="AV216" s="2">
        <v>3.3929452959496302E-8</v>
      </c>
      <c r="AW216" s="1">
        <f t="shared" si="39"/>
        <v>6.785720944634463E-4</v>
      </c>
    </row>
    <row r="217" spans="1:49" x14ac:dyDescent="0.3">
      <c r="A217" s="1">
        <v>1.7604</v>
      </c>
      <c r="B217" s="1">
        <v>19803.599999999999</v>
      </c>
      <c r="C217" s="2">
        <v>1.17759702088153E-5</v>
      </c>
      <c r="D217" s="1">
        <f t="shared" si="30"/>
        <v>0.23320660362729467</v>
      </c>
      <c r="F217" s="1">
        <v>1.7604</v>
      </c>
      <c r="G217" s="1">
        <v>19803.599999999999</v>
      </c>
      <c r="H217" s="3">
        <v>0</v>
      </c>
      <c r="I217" s="1">
        <f t="shared" si="31"/>
        <v>0</v>
      </c>
      <c r="K217" s="1">
        <v>1.7604</v>
      </c>
      <c r="L217" s="1">
        <v>19803.599999999999</v>
      </c>
      <c r="M217" s="3">
        <v>0</v>
      </c>
      <c r="N217" s="1">
        <f t="shared" si="32"/>
        <v>0</v>
      </c>
      <c r="P217" s="1">
        <v>1.7604</v>
      </c>
      <c r="Q217" s="1">
        <v>19803.599999999999</v>
      </c>
      <c r="R217" s="2">
        <v>2.7767512710386901E-6</v>
      </c>
      <c r="S217" s="1">
        <f t="shared" si="33"/>
        <v>5.4989671471141803E-2</v>
      </c>
      <c r="U217" s="1">
        <v>1.7604</v>
      </c>
      <c r="V217" s="1">
        <v>19803.599999999999</v>
      </c>
      <c r="W217" s="17">
        <v>1.4916889534330801E-7</v>
      </c>
      <c r="X217" s="1">
        <f t="shared" si="34"/>
        <v>2.9540811358207343E-3</v>
      </c>
      <c r="Z217" s="1">
        <v>1.7604</v>
      </c>
      <c r="AA217" s="1">
        <v>19803.599999999999</v>
      </c>
      <c r="AB217" s="3">
        <v>0</v>
      </c>
      <c r="AC217" s="1">
        <f t="shared" si="35"/>
        <v>0</v>
      </c>
      <c r="AE217" s="1">
        <v>1.7604</v>
      </c>
      <c r="AF217" s="1">
        <v>19803.599999999999</v>
      </c>
      <c r="AG217" s="3">
        <v>0</v>
      </c>
      <c r="AH217" s="1">
        <f t="shared" si="36"/>
        <v>0</v>
      </c>
      <c r="AJ217" s="1">
        <v>1.7604</v>
      </c>
      <c r="AK217" s="1">
        <v>19803.599999999999</v>
      </c>
      <c r="AL217" s="2">
        <v>9.8402738813209993E-7</v>
      </c>
      <c r="AM217" s="1">
        <f t="shared" si="37"/>
        <v>1.9487284783612852E-2</v>
      </c>
      <c r="AO217" s="1">
        <v>1.7604</v>
      </c>
      <c r="AP217" s="1">
        <v>19803.599999999999</v>
      </c>
      <c r="AQ217" s="2">
        <v>3.4175826842049901E-9</v>
      </c>
      <c r="AR217" s="1">
        <f t="shared" si="38"/>
        <v>6.7680440444921938E-5</v>
      </c>
      <c r="AT217" s="1">
        <v>1.7604</v>
      </c>
      <c r="AU217" s="1">
        <v>19803.599999999999</v>
      </c>
      <c r="AV217" s="2">
        <v>5.0818275099136203E-7</v>
      </c>
      <c r="AW217" s="1">
        <f t="shared" si="39"/>
        <v>1.0063847927532536E-2</v>
      </c>
    </row>
    <row r="218" spans="1:49" x14ac:dyDescent="0.3">
      <c r="A218" s="1">
        <v>1.9869000000000001</v>
      </c>
      <c r="B218" s="1">
        <v>20683.3</v>
      </c>
      <c r="C218" s="2">
        <v>1.00238912274787E-5</v>
      </c>
      <c r="D218" s="1">
        <f t="shared" si="30"/>
        <v>0.20732714942531019</v>
      </c>
      <c r="F218" s="1">
        <v>1.9869000000000001</v>
      </c>
      <c r="G218" s="1">
        <v>20683.3</v>
      </c>
      <c r="H218" s="3">
        <v>0</v>
      </c>
      <c r="I218" s="1">
        <f t="shared" si="31"/>
        <v>0</v>
      </c>
      <c r="K218" s="1">
        <v>1.9869000000000001</v>
      </c>
      <c r="L218" s="1">
        <v>20683.3</v>
      </c>
      <c r="M218" s="3">
        <v>0</v>
      </c>
      <c r="N218" s="1">
        <f t="shared" si="32"/>
        <v>0</v>
      </c>
      <c r="P218" s="1">
        <v>1.9869000000000001</v>
      </c>
      <c r="Q218" s="1">
        <v>20683.3</v>
      </c>
      <c r="R218" s="2">
        <v>4.1601439576259102E-6</v>
      </c>
      <c r="S218" s="1">
        <f t="shared" si="33"/>
        <v>8.6045505518763984E-2</v>
      </c>
      <c r="U218" s="1">
        <v>1.9869000000000001</v>
      </c>
      <c r="V218" s="1">
        <v>20683.3</v>
      </c>
      <c r="W218" s="17">
        <v>3.0300490130188799E-7</v>
      </c>
      <c r="X218" s="1">
        <f t="shared" si="34"/>
        <v>6.2671412750973394E-3</v>
      </c>
      <c r="Z218" s="1">
        <v>1.9869000000000001</v>
      </c>
      <c r="AA218" s="1">
        <v>20683.3</v>
      </c>
      <c r="AB218" s="2">
        <v>1.54677327642773E-12</v>
      </c>
      <c r="AC218" s="1">
        <f t="shared" si="35"/>
        <v>3.1992375708337665E-8</v>
      </c>
      <c r="AE218" s="1">
        <v>1.9869000000000001</v>
      </c>
      <c r="AF218" s="1">
        <v>20683.3</v>
      </c>
      <c r="AG218" s="3">
        <v>0</v>
      </c>
      <c r="AH218" s="1">
        <f t="shared" si="36"/>
        <v>0</v>
      </c>
      <c r="AJ218" s="1">
        <v>1.9869000000000001</v>
      </c>
      <c r="AK218" s="1">
        <v>20683.3</v>
      </c>
      <c r="AL218" s="2">
        <v>9.6039489086853598E-7</v>
      </c>
      <c r="AM218" s="1">
        <f t="shared" si="37"/>
        <v>1.9864135646301191E-2</v>
      </c>
      <c r="AO218" s="1">
        <v>1.9869000000000001</v>
      </c>
      <c r="AP218" s="1">
        <v>20683.3</v>
      </c>
      <c r="AQ218" s="2">
        <v>2.8385016279678398E-9</v>
      </c>
      <c r="AR218" s="1">
        <f t="shared" si="38"/>
        <v>5.8709580721747223E-5</v>
      </c>
      <c r="AT218" s="1">
        <v>1.9869000000000001</v>
      </c>
      <c r="AU218" s="1">
        <v>20683.3</v>
      </c>
      <c r="AV218" s="2">
        <v>1.8204367639813999E-6</v>
      </c>
      <c r="AW218" s="1">
        <f t="shared" si="39"/>
        <v>3.7652639720456488E-2</v>
      </c>
    </row>
    <row r="219" spans="1:49" x14ac:dyDescent="0.3">
      <c r="A219" s="1">
        <v>2.2423999999999999</v>
      </c>
      <c r="B219" s="1">
        <v>26260.3</v>
      </c>
      <c r="C219" s="2">
        <v>8.9550306205874795E-6</v>
      </c>
      <c r="D219" s="1">
        <f t="shared" si="30"/>
        <v>0.23516179060581338</v>
      </c>
      <c r="F219" s="1">
        <v>2.2423999999999999</v>
      </c>
      <c r="G219" s="1">
        <v>26260.3</v>
      </c>
      <c r="H219" s="3">
        <v>0</v>
      </c>
      <c r="I219" s="1">
        <f t="shared" si="31"/>
        <v>0</v>
      </c>
      <c r="K219" s="1">
        <v>2.2423999999999999</v>
      </c>
      <c r="L219" s="1">
        <v>26260.3</v>
      </c>
      <c r="M219" s="3">
        <v>0</v>
      </c>
      <c r="N219" s="1">
        <f t="shared" si="32"/>
        <v>0</v>
      </c>
      <c r="P219" s="1">
        <v>2.2423999999999999</v>
      </c>
      <c r="Q219" s="1">
        <v>26260.3</v>
      </c>
      <c r="R219" s="2">
        <v>4.9786485979925499E-6</v>
      </c>
      <c r="S219" s="1">
        <f t="shared" si="33"/>
        <v>0.13074080577786376</v>
      </c>
      <c r="U219" s="1">
        <v>2.2423999999999999</v>
      </c>
      <c r="V219" s="1">
        <v>26260.3</v>
      </c>
      <c r="W219" s="17">
        <v>8.1813254955787503E-7</v>
      </c>
      <c r="X219" s="1">
        <f t="shared" si="34"/>
        <v>2.1484406191154666E-2</v>
      </c>
      <c r="Z219" s="1">
        <v>2.2423999999999999</v>
      </c>
      <c r="AA219" s="1">
        <v>26260.3</v>
      </c>
      <c r="AB219" s="2">
        <v>3.0335348091523098E-12</v>
      </c>
      <c r="AC219" s="1">
        <f t="shared" si="35"/>
        <v>7.9661534148782402E-8</v>
      </c>
      <c r="AE219" s="1">
        <v>2.2423999999999999</v>
      </c>
      <c r="AF219" s="1">
        <v>26260.3</v>
      </c>
      <c r="AG219" s="3">
        <v>0</v>
      </c>
      <c r="AH219" s="1">
        <f t="shared" si="36"/>
        <v>0</v>
      </c>
      <c r="AJ219" s="1">
        <v>2.2423999999999999</v>
      </c>
      <c r="AK219" s="1">
        <v>26260.3</v>
      </c>
      <c r="AL219" s="2">
        <v>9.3017058339769395E-7</v>
      </c>
      <c r="AM219" s="1">
        <f t="shared" si="37"/>
        <v>2.4426558571198461E-2</v>
      </c>
      <c r="AO219" s="1">
        <v>2.2423999999999999</v>
      </c>
      <c r="AP219" s="1">
        <v>26260.3</v>
      </c>
      <c r="AQ219" s="2">
        <v>2.5021800845543999E-9</v>
      </c>
      <c r="AR219" s="1">
        <f t="shared" si="38"/>
        <v>6.5707999674423901E-5</v>
      </c>
      <c r="AT219" s="1">
        <v>2.2423999999999999</v>
      </c>
      <c r="AU219" s="1">
        <v>26260.3</v>
      </c>
      <c r="AV219" s="2">
        <v>8.6581528202984494E-6</v>
      </c>
      <c r="AW219" s="1">
        <f t="shared" si="39"/>
        <v>0.22736569050688338</v>
      </c>
    </row>
    <row r="220" spans="1:49" x14ac:dyDescent="0.3">
      <c r="A220" s="1">
        <v>2.5308999999999999</v>
      </c>
      <c r="B220" s="1">
        <v>33929.599999999999</v>
      </c>
      <c r="C220" s="2">
        <v>6.7604222164269103E-6</v>
      </c>
      <c r="D220" s="1">
        <f t="shared" si="30"/>
        <v>0.2293784216344785</v>
      </c>
      <c r="F220" s="1">
        <v>2.5308999999999999</v>
      </c>
      <c r="G220" s="1">
        <v>33929.599999999999</v>
      </c>
      <c r="H220" s="3">
        <v>0</v>
      </c>
      <c r="I220" s="1">
        <f t="shared" si="31"/>
        <v>0</v>
      </c>
      <c r="K220" s="1">
        <v>2.5308999999999999</v>
      </c>
      <c r="L220" s="1">
        <v>33929.599999999999</v>
      </c>
      <c r="M220" s="3">
        <v>0</v>
      </c>
      <c r="N220" s="1">
        <f t="shared" si="32"/>
        <v>0</v>
      </c>
      <c r="P220" s="1">
        <v>2.5308999999999999</v>
      </c>
      <c r="Q220" s="1">
        <v>33929.599999999999</v>
      </c>
      <c r="R220" s="2">
        <v>1.37281843057214E-5</v>
      </c>
      <c r="S220" s="1">
        <f t="shared" si="33"/>
        <v>0.4657918022194048</v>
      </c>
      <c r="U220" s="1">
        <v>2.5308999999999999</v>
      </c>
      <c r="V220" s="1">
        <v>33929.599999999999</v>
      </c>
      <c r="W220" s="17">
        <v>1.4399944748688401E-6</v>
      </c>
      <c r="X220" s="1">
        <f t="shared" si="34"/>
        <v>4.8858436534509796E-2</v>
      </c>
      <c r="Z220" s="1">
        <v>2.5308999999999999</v>
      </c>
      <c r="AA220" s="1">
        <v>33929.599999999999</v>
      </c>
      <c r="AB220" s="2">
        <v>4.8260292055667999E-11</v>
      </c>
      <c r="AC220" s="1">
        <f t="shared" si="35"/>
        <v>1.6374524053319929E-6</v>
      </c>
      <c r="AE220" s="1">
        <v>2.5308999999999999</v>
      </c>
      <c r="AF220" s="1">
        <v>33929.599999999999</v>
      </c>
      <c r="AG220" s="3">
        <v>0</v>
      </c>
      <c r="AH220" s="1">
        <f t="shared" si="36"/>
        <v>0</v>
      </c>
      <c r="AJ220" s="1">
        <v>2.5308999999999999</v>
      </c>
      <c r="AK220" s="1">
        <v>33929.599999999999</v>
      </c>
      <c r="AL220" s="2">
        <v>9.0649397736694302E-7</v>
      </c>
      <c r="AM220" s="1">
        <f t="shared" si="37"/>
        <v>3.075697805446943E-2</v>
      </c>
      <c r="AO220" s="1">
        <v>2.5308999999999999</v>
      </c>
      <c r="AP220" s="1">
        <v>33929.599999999999</v>
      </c>
      <c r="AQ220" s="2">
        <v>2.0528875125544299E-9</v>
      </c>
      <c r="AR220" s="1">
        <f t="shared" si="38"/>
        <v>6.9653652145966778E-5</v>
      </c>
      <c r="AT220" s="1">
        <v>2.5308999999999999</v>
      </c>
      <c r="AU220" s="1">
        <v>33929.599999999999</v>
      </c>
      <c r="AV220" s="2">
        <v>1.9116823926056699E-5</v>
      </c>
      <c r="AW220" s="1">
        <f t="shared" si="39"/>
        <v>0.64862618908153336</v>
      </c>
    </row>
    <row r="221" spans="1:49" x14ac:dyDescent="0.3">
      <c r="A221" s="1">
        <v>2.8563999999999998</v>
      </c>
      <c r="B221" s="1">
        <v>31524.1</v>
      </c>
      <c r="C221" s="2">
        <v>5.1418413093675397E-6</v>
      </c>
      <c r="D221" s="1">
        <f t="shared" si="30"/>
        <v>0.16209191962063324</v>
      </c>
      <c r="F221" s="1">
        <v>2.8563999999999998</v>
      </c>
      <c r="G221" s="1">
        <v>31524.1</v>
      </c>
      <c r="H221" s="3">
        <v>0</v>
      </c>
      <c r="I221" s="1">
        <f t="shared" si="31"/>
        <v>0</v>
      </c>
      <c r="K221" s="1">
        <v>2.8563999999999998</v>
      </c>
      <c r="L221" s="1">
        <v>31524.1</v>
      </c>
      <c r="M221" s="3">
        <v>0</v>
      </c>
      <c r="N221" s="1">
        <f t="shared" si="32"/>
        <v>0</v>
      </c>
      <c r="P221" s="1">
        <v>2.8563999999999998</v>
      </c>
      <c r="Q221" s="1">
        <v>31524.1</v>
      </c>
      <c r="R221" s="2">
        <v>1.79424382673167E-5</v>
      </c>
      <c r="S221" s="1">
        <f t="shared" si="33"/>
        <v>0.56561921818271832</v>
      </c>
      <c r="U221" s="1">
        <v>2.8563999999999998</v>
      </c>
      <c r="V221" s="1">
        <v>31524.1</v>
      </c>
      <c r="W221" s="17">
        <v>3.0413682018476699E-6</v>
      </c>
      <c r="X221" s="1">
        <f t="shared" si="34"/>
        <v>9.5876395331866121E-2</v>
      </c>
      <c r="Z221" s="1">
        <v>2.8563999999999998</v>
      </c>
      <c r="AA221" s="1">
        <v>31524.1</v>
      </c>
      <c r="AB221" s="2">
        <v>2.0893137608279299E-10</v>
      </c>
      <c r="AC221" s="1">
        <f t="shared" si="35"/>
        <v>6.5863735927715743E-6</v>
      </c>
      <c r="AE221" s="1">
        <v>2.8563999999999998</v>
      </c>
      <c r="AF221" s="1">
        <v>31524.1</v>
      </c>
      <c r="AG221" s="3">
        <v>0</v>
      </c>
      <c r="AH221" s="1">
        <f t="shared" si="36"/>
        <v>0</v>
      </c>
      <c r="AJ221" s="1">
        <v>2.8563999999999998</v>
      </c>
      <c r="AK221" s="1">
        <v>31524.1</v>
      </c>
      <c r="AL221" s="2">
        <v>8.7720575595527503E-7</v>
      </c>
      <c r="AM221" s="1">
        <f t="shared" si="37"/>
        <v>2.7653121971309685E-2</v>
      </c>
      <c r="AO221" s="1">
        <v>2.8563999999999998</v>
      </c>
      <c r="AP221" s="1">
        <v>31524.1</v>
      </c>
      <c r="AQ221" s="2">
        <v>1.6372803961213599E-9</v>
      </c>
      <c r="AR221" s="1">
        <f t="shared" si="38"/>
        <v>5.1613790935369359E-5</v>
      </c>
      <c r="AT221" s="1">
        <v>2.8563999999999998</v>
      </c>
      <c r="AU221" s="1">
        <v>31524.1</v>
      </c>
      <c r="AV221" s="2">
        <v>2.1337491125418999E-5</v>
      </c>
      <c r="AW221" s="1">
        <f t="shared" si="39"/>
        <v>0.67264520398682104</v>
      </c>
    </row>
    <row r="222" spans="1:49" x14ac:dyDescent="0.3">
      <c r="A222" s="1">
        <v>3.2238000000000002</v>
      </c>
      <c r="B222" s="1">
        <v>31919.9</v>
      </c>
      <c r="C222" s="2">
        <v>4.1888244397017904E-6</v>
      </c>
      <c r="D222" s="1">
        <f t="shared" si="30"/>
        <v>0.13370685723283718</v>
      </c>
      <c r="F222" s="1">
        <v>3.2238000000000002</v>
      </c>
      <c r="G222" s="1">
        <v>31919.9</v>
      </c>
      <c r="H222" s="2">
        <v>1.9228333694907701E-13</v>
      </c>
      <c r="I222" s="1">
        <f t="shared" si="31"/>
        <v>6.1376648870808434E-9</v>
      </c>
      <c r="K222" s="1">
        <v>3.2238000000000002</v>
      </c>
      <c r="L222" s="1">
        <v>31919.9</v>
      </c>
      <c r="M222" s="2">
        <v>2.98403342993714E-11</v>
      </c>
      <c r="N222" s="1">
        <f t="shared" si="32"/>
        <v>9.5250048680250522E-7</v>
      </c>
      <c r="P222" s="1">
        <v>3.2238000000000002</v>
      </c>
      <c r="Q222" s="1">
        <v>31919.9</v>
      </c>
      <c r="R222" s="2">
        <v>2.46092944570132E-5</v>
      </c>
      <c r="S222" s="1">
        <f t="shared" si="33"/>
        <v>0.78552621813841572</v>
      </c>
      <c r="U222" s="1">
        <v>3.2238000000000002</v>
      </c>
      <c r="V222" s="1">
        <v>31919.9</v>
      </c>
      <c r="W222" s="17">
        <v>3.97752108490011E-6</v>
      </c>
      <c r="X222" s="1">
        <f t="shared" si="34"/>
        <v>0.12696207527790301</v>
      </c>
      <c r="Z222" s="1">
        <v>3.2238000000000002</v>
      </c>
      <c r="AA222" s="1">
        <v>31919.9</v>
      </c>
      <c r="AB222" s="2">
        <v>4.6310946331083299E-10</v>
      </c>
      <c r="AC222" s="1">
        <f t="shared" si="35"/>
        <v>1.4782407757935459E-5</v>
      </c>
      <c r="AE222" s="1">
        <v>3.2238000000000002</v>
      </c>
      <c r="AF222" s="1">
        <v>31919.9</v>
      </c>
      <c r="AG222" s="3">
        <v>0</v>
      </c>
      <c r="AH222" s="1">
        <f t="shared" si="36"/>
        <v>0</v>
      </c>
      <c r="AJ222" s="1">
        <v>3.2238000000000002</v>
      </c>
      <c r="AK222" s="1">
        <v>31919.9</v>
      </c>
      <c r="AL222" s="2">
        <v>8.4828510760349305E-7</v>
      </c>
      <c r="AM222" s="1">
        <f t="shared" si="37"/>
        <v>2.707717580619274E-2</v>
      </c>
      <c r="AO222" s="1">
        <v>3.2238000000000002</v>
      </c>
      <c r="AP222" s="1">
        <v>31919.9</v>
      </c>
      <c r="AQ222" s="2">
        <v>1.2415647456750699E-9</v>
      </c>
      <c r="AR222" s="1">
        <f t="shared" si="38"/>
        <v>3.9630622525473667E-5</v>
      </c>
      <c r="AT222" s="1">
        <v>3.2238000000000002</v>
      </c>
      <c r="AU222" s="1">
        <v>31919.9</v>
      </c>
      <c r="AV222" s="2">
        <v>3.2822851540357099E-5</v>
      </c>
      <c r="AW222" s="1">
        <f t="shared" si="39"/>
        <v>1.0477021388830445</v>
      </c>
    </row>
    <row r="223" spans="1:49" x14ac:dyDescent="0.3">
      <c r="A223" s="1">
        <v>3.6385000000000001</v>
      </c>
      <c r="B223" s="1">
        <v>27924.1</v>
      </c>
      <c r="C223" s="2">
        <v>3.1978261633867602E-6</v>
      </c>
      <c r="D223" s="1">
        <f t="shared" si="30"/>
        <v>8.929641756902823E-2</v>
      </c>
      <c r="F223" s="1">
        <v>3.6385000000000001</v>
      </c>
      <c r="G223" s="1">
        <v>27924.1</v>
      </c>
      <c r="H223" s="2">
        <v>2.10253748510955E-12</v>
      </c>
      <c r="I223" s="1">
        <f t="shared" si="31"/>
        <v>5.8711466987947583E-8</v>
      </c>
      <c r="K223" s="1">
        <v>3.6385000000000001</v>
      </c>
      <c r="L223" s="1">
        <v>27924.1</v>
      </c>
      <c r="M223" s="2">
        <v>9.601783699155381E-10</v>
      </c>
      <c r="N223" s="1">
        <f t="shared" si="32"/>
        <v>2.6812116819358478E-5</v>
      </c>
      <c r="P223" s="1">
        <v>3.6385000000000001</v>
      </c>
      <c r="Q223" s="1">
        <v>27924.1</v>
      </c>
      <c r="R223" s="2">
        <v>3.4861796942933402E-5</v>
      </c>
      <c r="S223" s="1">
        <f t="shared" si="33"/>
        <v>0.97348430401416652</v>
      </c>
      <c r="U223" s="1">
        <v>3.6385000000000001</v>
      </c>
      <c r="V223" s="1">
        <v>27924.1</v>
      </c>
      <c r="W223" s="17">
        <v>5.5192514557505402E-6</v>
      </c>
      <c r="X223" s="1">
        <f t="shared" si="34"/>
        <v>0.15412012957552365</v>
      </c>
      <c r="Z223" s="1">
        <v>3.6385000000000001</v>
      </c>
      <c r="AA223" s="1">
        <v>27924.1</v>
      </c>
      <c r="AB223" s="2">
        <v>2.4558743895755902E-9</v>
      </c>
      <c r="AC223" s="1">
        <f t="shared" si="35"/>
        <v>6.8578082041947732E-5</v>
      </c>
      <c r="AE223" s="1">
        <v>3.6385000000000001</v>
      </c>
      <c r="AF223" s="1">
        <v>27924.1</v>
      </c>
      <c r="AG223" s="3">
        <v>0</v>
      </c>
      <c r="AH223" s="1">
        <f t="shared" si="36"/>
        <v>0</v>
      </c>
      <c r="AJ223" s="1">
        <v>3.6385000000000001</v>
      </c>
      <c r="AK223" s="1">
        <v>27924.1</v>
      </c>
      <c r="AL223" s="2">
        <v>8.2073183103448503E-7</v>
      </c>
      <c r="AM223" s="1">
        <f t="shared" si="37"/>
        <v>2.2918197722990061E-2</v>
      </c>
      <c r="AO223" s="1">
        <v>3.6385000000000001</v>
      </c>
      <c r="AP223" s="1">
        <v>27924.1</v>
      </c>
      <c r="AQ223" s="2">
        <v>8.50609216316574E-10</v>
      </c>
      <c r="AR223" s="1">
        <f t="shared" si="38"/>
        <v>2.3752496817345644E-5</v>
      </c>
      <c r="AT223" s="1">
        <v>3.6385000000000001</v>
      </c>
      <c r="AU223" s="1">
        <v>27924.1</v>
      </c>
      <c r="AV223" s="2">
        <v>4.3996756168143302E-5</v>
      </c>
      <c r="AW223" s="1">
        <f t="shared" si="39"/>
        <v>1.2285698189148504</v>
      </c>
    </row>
    <row r="224" spans="1:49" x14ac:dyDescent="0.3">
      <c r="A224" s="1">
        <v>4.1064999999999996</v>
      </c>
      <c r="B224" s="1">
        <v>28746.2</v>
      </c>
      <c r="C224" s="2">
        <v>2.4121053671840902E-6</v>
      </c>
      <c r="D224" s="1">
        <f t="shared" si="30"/>
        <v>6.9338863306147289E-2</v>
      </c>
      <c r="F224" s="1">
        <v>4.1064999999999996</v>
      </c>
      <c r="G224" s="1">
        <v>28746.2</v>
      </c>
      <c r="H224" s="2">
        <v>7.1330009234252201E-9</v>
      </c>
      <c r="I224" s="1">
        <f t="shared" si="31"/>
        <v>2.0504667114496606E-4</v>
      </c>
      <c r="K224" s="1">
        <v>4.1064999999999996</v>
      </c>
      <c r="L224" s="1">
        <v>28746.2</v>
      </c>
      <c r="M224" s="2">
        <v>3.09577139263138E-9</v>
      </c>
      <c r="N224" s="1">
        <f t="shared" si="32"/>
        <v>8.899166360686018E-5</v>
      </c>
      <c r="P224" s="1">
        <v>4.1064999999999996</v>
      </c>
      <c r="Q224" s="1">
        <v>28746.2</v>
      </c>
      <c r="R224" s="2">
        <v>4.5035881571201501E-5</v>
      </c>
      <c r="S224" s="1">
        <f t="shared" si="33"/>
        <v>1.2946104588220726</v>
      </c>
      <c r="U224" s="1">
        <v>4.1064999999999996</v>
      </c>
      <c r="V224" s="1">
        <v>28746.2</v>
      </c>
      <c r="W224" s="17">
        <v>8.1632360843638397E-6</v>
      </c>
      <c r="X224" s="1">
        <f t="shared" si="34"/>
        <v>0.23466201712833981</v>
      </c>
      <c r="Z224" s="1">
        <v>4.1064999999999996</v>
      </c>
      <c r="AA224" s="1">
        <v>28746.2</v>
      </c>
      <c r="AB224" s="2">
        <v>1.0430075424389399E-8</v>
      </c>
      <c r="AC224" s="1">
        <f t="shared" si="35"/>
        <v>2.9982503416458255E-4</v>
      </c>
      <c r="AE224" s="1">
        <v>4.1064999999999996</v>
      </c>
      <c r="AF224" s="1">
        <v>28746.2</v>
      </c>
      <c r="AG224" s="2">
        <v>1.0341662025543E-10</v>
      </c>
      <c r="AH224" s="1">
        <f t="shared" si="36"/>
        <v>2.9728348491866418E-6</v>
      </c>
      <c r="AJ224" s="1">
        <v>4.1064999999999996</v>
      </c>
      <c r="AK224" s="1">
        <v>28746.2</v>
      </c>
      <c r="AL224" s="2">
        <v>7.9258798708259395E-7</v>
      </c>
      <c r="AM224" s="1">
        <f t="shared" si="37"/>
        <v>2.2783892794273664E-2</v>
      </c>
      <c r="AO224" s="1">
        <v>4.1064999999999996</v>
      </c>
      <c r="AP224" s="1">
        <v>28746.2</v>
      </c>
      <c r="AQ224" s="2">
        <v>6.5649235598905099E-10</v>
      </c>
      <c r="AR224" s="1">
        <f t="shared" si="38"/>
        <v>1.8871660563732459E-5</v>
      </c>
      <c r="AT224" s="1">
        <v>4.1064999999999996</v>
      </c>
      <c r="AU224" s="1">
        <v>28746.2</v>
      </c>
      <c r="AV224" s="2">
        <v>4.80697115026364E-5</v>
      </c>
      <c r="AW224" s="1">
        <f t="shared" si="39"/>
        <v>1.3818215407970864</v>
      </c>
    </row>
    <row r="225" spans="1:49" x14ac:dyDescent="0.3">
      <c r="A225" s="1">
        <v>4.6346999999999996</v>
      </c>
      <c r="B225" s="1">
        <v>29975.599999999999</v>
      </c>
      <c r="C225" s="2">
        <v>1.8519935901438599E-6</v>
      </c>
      <c r="D225" s="1">
        <f t="shared" si="30"/>
        <v>5.5514619060716287E-2</v>
      </c>
      <c r="F225" s="1">
        <v>4.6346999999999996</v>
      </c>
      <c r="G225" s="1">
        <v>29975.599999999999</v>
      </c>
      <c r="H225" s="2">
        <v>1.8514039950214201E-7</v>
      </c>
      <c r="I225" s="1">
        <f t="shared" si="31"/>
        <v>5.5496945593164074E-3</v>
      </c>
      <c r="K225" s="1">
        <v>4.6346999999999996</v>
      </c>
      <c r="L225" s="1">
        <v>29975.599999999999</v>
      </c>
      <c r="M225" s="2">
        <v>6.03027710274001E-9</v>
      </c>
      <c r="N225" s="1">
        <f t="shared" si="32"/>
        <v>1.8076117432089343E-4</v>
      </c>
      <c r="P225" s="1">
        <v>4.6346999999999996</v>
      </c>
      <c r="Q225" s="1">
        <v>29975.599999999999</v>
      </c>
      <c r="R225" s="2">
        <v>5.1292867729337199E-5</v>
      </c>
      <c r="S225" s="1">
        <f t="shared" si="33"/>
        <v>1.53753448590752</v>
      </c>
      <c r="U225" s="1">
        <v>4.6346999999999996</v>
      </c>
      <c r="V225" s="1">
        <v>29975.599999999999</v>
      </c>
      <c r="W225" s="17">
        <v>1.0350441277927299E-5</v>
      </c>
      <c r="X225" s="1">
        <f t="shared" si="34"/>
        <v>0.31026068757063752</v>
      </c>
      <c r="Z225" s="1">
        <v>4.6346999999999996</v>
      </c>
      <c r="AA225" s="1">
        <v>29975.599999999999</v>
      </c>
      <c r="AB225" s="2">
        <v>2.8405366728440899E-8</v>
      </c>
      <c r="AC225" s="1">
        <f t="shared" si="35"/>
        <v>8.5146791090505295E-4</v>
      </c>
      <c r="AE225" s="1">
        <v>4.6346999999999996</v>
      </c>
      <c r="AF225" s="1">
        <v>29975.599999999999</v>
      </c>
      <c r="AG225" s="2">
        <v>1.0684229580139099E-8</v>
      </c>
      <c r="AH225" s="1">
        <f t="shared" si="36"/>
        <v>3.202661922024176E-4</v>
      </c>
      <c r="AJ225" s="1">
        <v>4.6346999999999996</v>
      </c>
      <c r="AK225" s="1">
        <v>29975.599999999999</v>
      </c>
      <c r="AL225" s="2">
        <v>7.8415586108882297E-7</v>
      </c>
      <c r="AM225" s="1">
        <f t="shared" si="37"/>
        <v>2.3505542429654122E-2</v>
      </c>
      <c r="AO225" s="1">
        <v>4.6346999999999996</v>
      </c>
      <c r="AP225" s="1">
        <v>29975.599999999999</v>
      </c>
      <c r="AQ225" s="2">
        <v>5.66274977303178E-10</v>
      </c>
      <c r="AR225" s="1">
        <f t="shared" si="38"/>
        <v>1.6974432209649141E-5</v>
      </c>
      <c r="AT225" s="1">
        <v>4.6346999999999996</v>
      </c>
      <c r="AU225" s="1">
        <v>29975.599999999999</v>
      </c>
      <c r="AV225" s="2">
        <v>7.4071691606364601E-5</v>
      </c>
      <c r="AW225" s="1">
        <f t="shared" si="39"/>
        <v>2.2203433989157428</v>
      </c>
    </row>
    <row r="226" spans="1:49" x14ac:dyDescent="0.3">
      <c r="A226" s="1">
        <v>5.2308000000000003</v>
      </c>
      <c r="B226" s="1">
        <v>31004</v>
      </c>
      <c r="C226" s="2">
        <v>1.31622155708229E-6</v>
      </c>
      <c r="D226" s="1">
        <f t="shared" si="30"/>
        <v>4.0808133155779323E-2</v>
      </c>
      <c r="F226" s="1">
        <v>5.2308000000000003</v>
      </c>
      <c r="G226" s="1">
        <v>31004</v>
      </c>
      <c r="H226" s="2">
        <v>1.5246846936896401E-6</v>
      </c>
      <c r="I226" s="1">
        <f t="shared" si="31"/>
        <v>4.7271324243153598E-2</v>
      </c>
      <c r="K226" s="1">
        <v>5.2308000000000003</v>
      </c>
      <c r="L226" s="1">
        <v>31004</v>
      </c>
      <c r="M226" s="2">
        <v>7.0069116739235499E-8</v>
      </c>
      <c r="N226" s="1">
        <f t="shared" si="32"/>
        <v>2.1724228953832574E-3</v>
      </c>
      <c r="P226" s="1">
        <v>5.2308000000000003</v>
      </c>
      <c r="Q226" s="1">
        <v>31004</v>
      </c>
      <c r="R226" s="2">
        <v>5.6249635215436501E-5</v>
      </c>
      <c r="S226" s="1">
        <f t="shared" si="33"/>
        <v>1.7439636902193933</v>
      </c>
      <c r="U226" s="1">
        <v>5.2308000000000003</v>
      </c>
      <c r="V226" s="1">
        <v>31004</v>
      </c>
      <c r="W226" s="17">
        <v>1.26199949258222E-5</v>
      </c>
      <c r="X226" s="1">
        <f t="shared" si="34"/>
        <v>0.39127032268019152</v>
      </c>
      <c r="Z226" s="1">
        <v>5.2308000000000003</v>
      </c>
      <c r="AA226" s="1">
        <v>31004</v>
      </c>
      <c r="AB226" s="2">
        <v>6.3545228068305806E-8</v>
      </c>
      <c r="AC226" s="1">
        <f t="shared" si="35"/>
        <v>1.9701562510297532E-3</v>
      </c>
      <c r="AE226" s="1">
        <v>5.2308000000000003</v>
      </c>
      <c r="AF226" s="1">
        <v>31004</v>
      </c>
      <c r="AG226" s="2">
        <v>8.4887809126332404E-8</v>
      </c>
      <c r="AH226" s="1">
        <f t="shared" si="36"/>
        <v>2.6318616341528098E-3</v>
      </c>
      <c r="AJ226" s="1">
        <v>5.2308000000000003</v>
      </c>
      <c r="AK226" s="1">
        <v>31004</v>
      </c>
      <c r="AL226" s="2">
        <v>7.9103601625489002E-7</v>
      </c>
      <c r="AM226" s="1">
        <f t="shared" si="37"/>
        <v>2.4525280647966611E-2</v>
      </c>
      <c r="AO226" s="1">
        <v>5.2308000000000003</v>
      </c>
      <c r="AP226" s="1">
        <v>31004</v>
      </c>
      <c r="AQ226" s="2">
        <v>5.42078977859146E-10</v>
      </c>
      <c r="AR226" s="1">
        <f t="shared" si="38"/>
        <v>1.6806616629544963E-5</v>
      </c>
      <c r="AT226" s="1">
        <v>5.2308000000000003</v>
      </c>
      <c r="AU226" s="1">
        <v>31004</v>
      </c>
      <c r="AV226" s="2">
        <v>5.69585137137262E-5</v>
      </c>
      <c r="AW226" s="1">
        <f t="shared" si="39"/>
        <v>1.765941759180367</v>
      </c>
    </row>
    <row r="227" spans="1:49" x14ac:dyDescent="0.3">
      <c r="A227" s="1">
        <v>5.9036</v>
      </c>
      <c r="B227" s="1">
        <v>30108.6</v>
      </c>
      <c r="C227" s="2">
        <v>1.0410155607701399E-6</v>
      </c>
      <c r="D227" s="1">
        <f t="shared" si="30"/>
        <v>3.1343521113003835E-2</v>
      </c>
      <c r="F227" s="1">
        <v>5.9036</v>
      </c>
      <c r="G227" s="1">
        <v>30108.6</v>
      </c>
      <c r="H227" s="2">
        <v>8.9623976255131208E-6</v>
      </c>
      <c r="I227" s="1">
        <f t="shared" si="31"/>
        <v>0.26984524514752434</v>
      </c>
      <c r="K227" s="1">
        <v>5.9036</v>
      </c>
      <c r="L227" s="1">
        <v>30108.6</v>
      </c>
      <c r="M227" s="2">
        <v>2.0307828731711999E-6</v>
      </c>
      <c r="N227" s="1">
        <f t="shared" si="32"/>
        <v>6.1144029215162383E-2</v>
      </c>
      <c r="P227" s="1">
        <v>5.9036</v>
      </c>
      <c r="Q227" s="1">
        <v>30108.6</v>
      </c>
      <c r="R227" s="2">
        <v>6.4711175016917596E-5</v>
      </c>
      <c r="S227" s="1">
        <f t="shared" si="33"/>
        <v>1.948362884114365</v>
      </c>
      <c r="U227" s="1">
        <v>5.9036</v>
      </c>
      <c r="V227" s="1">
        <v>30108.6</v>
      </c>
      <c r="W227" s="17">
        <v>1.4448103050894899E-5</v>
      </c>
      <c r="X227" s="1">
        <f t="shared" si="34"/>
        <v>0.43501215551817413</v>
      </c>
      <c r="Z227" s="1">
        <v>5.9036</v>
      </c>
      <c r="AA227" s="1">
        <v>30108.6</v>
      </c>
      <c r="AB227" s="2">
        <v>1.3525791349922E-7</v>
      </c>
      <c r="AC227" s="1">
        <f t="shared" si="35"/>
        <v>4.0724264143826147E-3</v>
      </c>
      <c r="AE227" s="1">
        <v>5.9036</v>
      </c>
      <c r="AF227" s="1">
        <v>30108.6</v>
      </c>
      <c r="AG227" s="2">
        <v>6.6574449289433303E-7</v>
      </c>
      <c r="AH227" s="1">
        <f t="shared" si="36"/>
        <v>2.0044634638758316E-2</v>
      </c>
      <c r="AJ227" s="1">
        <v>5.9036</v>
      </c>
      <c r="AK227" s="1">
        <v>30108.6</v>
      </c>
      <c r="AL227" s="2">
        <v>8.0083315337779703E-7</v>
      </c>
      <c r="AM227" s="1">
        <f t="shared" si="37"/>
        <v>2.411196508179074E-2</v>
      </c>
      <c r="AO227" s="1">
        <v>5.9036</v>
      </c>
      <c r="AP227" s="1">
        <v>30108.6</v>
      </c>
      <c r="AQ227" s="2">
        <v>5.3351402230373696E-10</v>
      </c>
      <c r="AR227" s="1">
        <f t="shared" si="38"/>
        <v>1.6063360291934293E-5</v>
      </c>
      <c r="AT227" s="1">
        <v>5.9036</v>
      </c>
      <c r="AU227" s="1">
        <v>30108.6</v>
      </c>
      <c r="AV227" s="2">
        <v>6.3765025003366399E-5</v>
      </c>
      <c r="AW227" s="1">
        <f t="shared" si="39"/>
        <v>1.9198756318163575</v>
      </c>
    </row>
    <row r="228" spans="1:49" x14ac:dyDescent="0.3">
      <c r="A228" s="1">
        <v>6.6630000000000003</v>
      </c>
      <c r="B228" s="1">
        <v>29878</v>
      </c>
      <c r="C228" s="2">
        <v>6.7036810281612597E-7</v>
      </c>
      <c r="D228" s="1">
        <f t="shared" si="30"/>
        <v>2.0029258175940211E-2</v>
      </c>
      <c r="F228" s="1">
        <v>6.6630000000000003</v>
      </c>
      <c r="G228" s="1">
        <v>29878</v>
      </c>
      <c r="H228" s="2">
        <v>3.1581293240137299E-5</v>
      </c>
      <c r="I228" s="1">
        <f t="shared" si="31"/>
        <v>0.94358587942882222</v>
      </c>
      <c r="K228" s="1">
        <v>6.6630000000000003</v>
      </c>
      <c r="L228" s="1">
        <v>29878</v>
      </c>
      <c r="M228" s="2">
        <v>1.7113575173369199E-5</v>
      </c>
      <c r="N228" s="1">
        <f t="shared" si="32"/>
        <v>0.51131939902992496</v>
      </c>
      <c r="P228" s="1">
        <v>6.6630000000000003</v>
      </c>
      <c r="Q228" s="1">
        <v>29878</v>
      </c>
      <c r="R228" s="2">
        <v>7.50028864316638E-5</v>
      </c>
      <c r="S228" s="1">
        <f t="shared" si="33"/>
        <v>2.2409362408052509</v>
      </c>
      <c r="U228" s="1">
        <v>6.6630000000000003</v>
      </c>
      <c r="V228" s="1">
        <v>29878</v>
      </c>
      <c r="W228" s="17">
        <v>1.5278705332387401E-5</v>
      </c>
      <c r="X228" s="1">
        <f t="shared" si="34"/>
        <v>0.45649715792107076</v>
      </c>
      <c r="Z228" s="1">
        <v>6.6630000000000003</v>
      </c>
      <c r="AA228" s="1">
        <v>29878</v>
      </c>
      <c r="AB228" s="2">
        <v>3.1915479990126798E-7</v>
      </c>
      <c r="AC228" s="1">
        <f t="shared" si="35"/>
        <v>9.5357071114500844E-3</v>
      </c>
      <c r="AE228" s="1">
        <v>6.6630000000000003</v>
      </c>
      <c r="AF228" s="1">
        <v>29878</v>
      </c>
      <c r="AG228" s="2">
        <v>3.7488524842593499E-6</v>
      </c>
      <c r="AH228" s="1">
        <f t="shared" si="36"/>
        <v>0.11200821452470086</v>
      </c>
      <c r="AJ228" s="1">
        <v>6.6630000000000003</v>
      </c>
      <c r="AK228" s="1">
        <v>29878</v>
      </c>
      <c r="AL228" s="2">
        <v>8.1149349479603203E-7</v>
      </c>
      <c r="AM228" s="1">
        <f t="shared" si="37"/>
        <v>2.4245802637515846E-2</v>
      </c>
      <c r="AO228" s="1">
        <v>6.6630000000000003</v>
      </c>
      <c r="AP228" s="1">
        <v>29878</v>
      </c>
      <c r="AQ228" s="2">
        <v>5.4236570169319005E-10</v>
      </c>
      <c r="AR228" s="1">
        <f t="shared" si="38"/>
        <v>1.6204802435189133E-5</v>
      </c>
      <c r="AT228" s="1">
        <v>6.6630000000000003</v>
      </c>
      <c r="AU228" s="1">
        <v>29878</v>
      </c>
      <c r="AV228" s="2">
        <v>7.4008132468141396E-5</v>
      </c>
      <c r="AW228" s="1">
        <f t="shared" si="39"/>
        <v>2.2112149818831286</v>
      </c>
    </row>
    <row r="229" spans="1:49" x14ac:dyDescent="0.3">
      <c r="A229" s="1">
        <v>7.52</v>
      </c>
      <c r="B229" s="1">
        <v>25669.1</v>
      </c>
      <c r="C229" s="2">
        <v>3.25797179490473E-7</v>
      </c>
      <c r="D229" s="1">
        <f t="shared" si="30"/>
        <v>8.3629203800589004E-3</v>
      </c>
      <c r="F229" s="1">
        <v>7.52</v>
      </c>
      <c r="G229" s="1">
        <v>25669.1</v>
      </c>
      <c r="H229" s="2">
        <v>5.5161238724395397E-5</v>
      </c>
      <c r="I229" s="1">
        <f t="shared" si="31"/>
        <v>1.4159393529403779</v>
      </c>
      <c r="K229" s="1">
        <v>7.52</v>
      </c>
      <c r="L229" s="1">
        <v>25669.1</v>
      </c>
      <c r="M229" s="2">
        <v>7.8827102553287703E-5</v>
      </c>
      <c r="N229" s="1">
        <f t="shared" si="32"/>
        <v>2.0234207781505971</v>
      </c>
      <c r="P229" s="1">
        <v>7.52</v>
      </c>
      <c r="Q229" s="1">
        <v>25669.1</v>
      </c>
      <c r="R229" s="2">
        <v>7.82281370286409E-5</v>
      </c>
      <c r="S229" s="1">
        <f t="shared" si="33"/>
        <v>2.0080458722018859</v>
      </c>
      <c r="U229" s="1">
        <v>7.52</v>
      </c>
      <c r="V229" s="1">
        <v>25669.1</v>
      </c>
      <c r="W229" s="17">
        <v>1.55970744954271E-5</v>
      </c>
      <c r="X229" s="1">
        <f t="shared" si="34"/>
        <v>0.40036286493056777</v>
      </c>
      <c r="Z229" s="1">
        <v>7.52</v>
      </c>
      <c r="AA229" s="1">
        <v>25669.1</v>
      </c>
      <c r="AB229" s="2">
        <v>5.8164087166334104E-7</v>
      </c>
      <c r="AC229" s="1">
        <f t="shared" si="35"/>
        <v>1.4930197698813466E-2</v>
      </c>
      <c r="AE229" s="1">
        <v>7.52</v>
      </c>
      <c r="AF229" s="1">
        <v>25669.1</v>
      </c>
      <c r="AG229" s="2">
        <v>1.06002035761816E-5</v>
      </c>
      <c r="AH229" s="1">
        <f t="shared" si="36"/>
        <v>0.27209768561736308</v>
      </c>
      <c r="AJ229" s="1">
        <v>7.52</v>
      </c>
      <c r="AK229" s="1">
        <v>25669.1</v>
      </c>
      <c r="AL229" s="2">
        <v>8.2224120583184301E-7</v>
      </c>
      <c r="AM229" s="1">
        <f t="shared" si="37"/>
        <v>2.1106191736618159E-2</v>
      </c>
      <c r="AO229" s="1">
        <v>7.52</v>
      </c>
      <c r="AP229" s="1">
        <v>25669.1</v>
      </c>
      <c r="AQ229" s="2">
        <v>5.7680794276437197E-10</v>
      </c>
      <c r="AR229" s="1">
        <f t="shared" si="38"/>
        <v>1.4806140763612939E-5</v>
      </c>
      <c r="AT229" s="1">
        <v>7.52</v>
      </c>
      <c r="AU229" s="1">
        <v>25669.1</v>
      </c>
      <c r="AV229" s="2">
        <v>7.4587529247056996E-5</v>
      </c>
      <c r="AW229" s="1">
        <f t="shared" si="39"/>
        <v>1.9145947469956306</v>
      </c>
    </row>
    <row r="230" spans="1:49" x14ac:dyDescent="0.3">
      <c r="A230" s="1">
        <v>8.4871999999999996</v>
      </c>
      <c r="B230" s="1">
        <v>24793.599999999999</v>
      </c>
      <c r="C230" s="2">
        <v>1.5886168041577299E-7</v>
      </c>
      <c r="D230" s="1">
        <f t="shared" si="30"/>
        <v>3.9387529595565091E-3</v>
      </c>
      <c r="F230" s="1">
        <v>8.4871999999999996</v>
      </c>
      <c r="G230" s="1">
        <v>24793.599999999999</v>
      </c>
      <c r="H230" s="2">
        <v>7.9340048505383801E-5</v>
      </c>
      <c r="I230" s="1">
        <f t="shared" si="31"/>
        <v>1.9671254266230838</v>
      </c>
      <c r="K230" s="1">
        <v>8.4871999999999996</v>
      </c>
      <c r="L230" s="1">
        <v>24793.599999999999</v>
      </c>
      <c r="M230" s="3">
        <v>1.7132553093623701E-4</v>
      </c>
      <c r="N230" s="1">
        <f t="shared" si="32"/>
        <v>4.2477766838206854</v>
      </c>
      <c r="P230" s="1">
        <v>8.4871999999999996</v>
      </c>
      <c r="Q230" s="1">
        <v>24793.599999999999</v>
      </c>
      <c r="R230" s="2">
        <v>7.9303220560966595E-5</v>
      </c>
      <c r="S230" s="1">
        <f t="shared" si="33"/>
        <v>1.9662123293003813</v>
      </c>
      <c r="U230" s="1">
        <v>8.4871999999999996</v>
      </c>
      <c r="V230" s="1">
        <v>24793.599999999999</v>
      </c>
      <c r="W230" s="17">
        <v>1.5701553749033899E-5</v>
      </c>
      <c r="X230" s="1">
        <f t="shared" si="34"/>
        <v>0.38929804303204685</v>
      </c>
      <c r="Z230" s="1">
        <v>8.4871999999999996</v>
      </c>
      <c r="AA230" s="1">
        <v>24793.599999999999</v>
      </c>
      <c r="AB230" s="2">
        <v>7.5736169431989004E-7</v>
      </c>
      <c r="AC230" s="1">
        <f t="shared" si="35"/>
        <v>1.8777722904289626E-2</v>
      </c>
      <c r="AE230" s="1">
        <v>8.4871999999999996</v>
      </c>
      <c r="AF230" s="1">
        <v>24793.599999999999</v>
      </c>
      <c r="AG230" s="2">
        <v>1.6934471566826699E-5</v>
      </c>
      <c r="AH230" s="1">
        <f t="shared" si="36"/>
        <v>0.4198665142392744</v>
      </c>
      <c r="AJ230" s="1">
        <v>8.4871999999999996</v>
      </c>
      <c r="AK230" s="1">
        <v>24793.599999999999</v>
      </c>
      <c r="AL230" s="2">
        <v>8.3837533790898302E-7</v>
      </c>
      <c r="AM230" s="1">
        <f t="shared" si="37"/>
        <v>2.0786342777980159E-2</v>
      </c>
      <c r="AO230" s="1">
        <v>8.4871999999999996</v>
      </c>
      <c r="AP230" s="1">
        <v>24793.599999999999</v>
      </c>
      <c r="AQ230" s="2">
        <v>6.2671764810090804E-10</v>
      </c>
      <c r="AR230" s="1">
        <f t="shared" si="38"/>
        <v>1.5538586679954674E-5</v>
      </c>
      <c r="AT230" s="1">
        <v>8.4871999999999996</v>
      </c>
      <c r="AU230" s="1">
        <v>24793.599999999999</v>
      </c>
      <c r="AV230" s="2">
        <v>7.6076926382799499E-5</v>
      </c>
      <c r="AW230" s="1">
        <f t="shared" si="39"/>
        <v>1.8862208819645776</v>
      </c>
    </row>
    <row r="231" spans="1:49" x14ac:dyDescent="0.3">
      <c r="A231" s="1">
        <v>9.5789000000000009</v>
      </c>
      <c r="B231" s="1">
        <v>22733.599999999999</v>
      </c>
      <c r="C231" s="2">
        <v>1.9133193937182899E-7</v>
      </c>
      <c r="D231" s="1">
        <f t="shared" si="30"/>
        <v>4.3496637769034115E-3</v>
      </c>
      <c r="F231" s="1">
        <v>9.5789000000000009</v>
      </c>
      <c r="G231" s="1">
        <v>22733.599999999999</v>
      </c>
      <c r="H231" s="3">
        <v>1.03856803160174E-4</v>
      </c>
      <c r="I231" s="1">
        <f t="shared" si="31"/>
        <v>2.3610390203221314</v>
      </c>
      <c r="K231" s="1">
        <v>9.5789000000000009</v>
      </c>
      <c r="L231" s="1">
        <v>22733.599999999999</v>
      </c>
      <c r="M231" s="3">
        <v>2.9463211435615402E-4</v>
      </c>
      <c r="N231" s="1">
        <f t="shared" si="32"/>
        <v>6.6980486349270629</v>
      </c>
      <c r="P231" s="1">
        <v>9.5789000000000009</v>
      </c>
      <c r="Q231" s="1">
        <v>22733.599999999999</v>
      </c>
      <c r="R231" s="2">
        <v>7.9366460768750505E-5</v>
      </c>
      <c r="S231" s="1">
        <f t="shared" si="33"/>
        <v>1.8042853725324663</v>
      </c>
      <c r="U231" s="1">
        <v>9.5789000000000009</v>
      </c>
      <c r="V231" s="1">
        <v>22733.599999999999</v>
      </c>
      <c r="W231" s="17">
        <v>1.57891853333024E-5</v>
      </c>
      <c r="X231" s="1">
        <f t="shared" si="34"/>
        <v>0.35894502369316339</v>
      </c>
      <c r="Z231" s="1">
        <v>9.5789000000000009</v>
      </c>
      <c r="AA231" s="1">
        <v>22733.599999999999</v>
      </c>
      <c r="AB231" s="2">
        <v>1.1094488183497299E-6</v>
      </c>
      <c r="AC231" s="1">
        <f t="shared" si="35"/>
        <v>2.522176565683542E-2</v>
      </c>
      <c r="AE231" s="1">
        <v>9.5789000000000009</v>
      </c>
      <c r="AF231" s="1">
        <v>22733.599999999999</v>
      </c>
      <c r="AG231" s="2">
        <v>2.6371238165134701E-5</v>
      </c>
      <c r="AH231" s="1">
        <f t="shared" si="36"/>
        <v>0.59951317995090614</v>
      </c>
      <c r="AJ231" s="1">
        <v>9.5789000000000009</v>
      </c>
      <c r="AK231" s="1">
        <v>22733.599999999999</v>
      </c>
      <c r="AL231" s="2">
        <v>8.4847448596777695E-7</v>
      </c>
      <c r="AM231" s="1">
        <f t="shared" si="37"/>
        <v>1.9288879574197053E-2</v>
      </c>
      <c r="AO231" s="1">
        <v>9.5789000000000009</v>
      </c>
      <c r="AP231" s="1">
        <v>22733.599999999999</v>
      </c>
      <c r="AQ231" s="2">
        <v>7.0203559675362704E-10</v>
      </c>
      <c r="AR231" s="1">
        <f t="shared" si="38"/>
        <v>1.5959796442358256E-5</v>
      </c>
      <c r="AT231" s="1">
        <v>9.5789000000000009</v>
      </c>
      <c r="AU231" s="1">
        <v>22733.599999999999</v>
      </c>
      <c r="AV231" s="2">
        <v>7.83952606251917E-5</v>
      </c>
      <c r="AW231" s="1">
        <f t="shared" si="39"/>
        <v>1.782206496948858</v>
      </c>
    </row>
    <row r="232" spans="1:49" x14ac:dyDescent="0.3">
      <c r="A232" s="1">
        <v>10.811</v>
      </c>
      <c r="B232" s="1">
        <v>18499</v>
      </c>
      <c r="C232" s="2">
        <v>2.7149318387881898E-7</v>
      </c>
      <c r="D232" s="1">
        <f t="shared" si="30"/>
        <v>5.0223524085742724E-3</v>
      </c>
      <c r="F232" s="1">
        <v>10.811</v>
      </c>
      <c r="G232" s="1">
        <v>18499</v>
      </c>
      <c r="H232" s="3">
        <v>1.3131669113679799E-4</v>
      </c>
      <c r="I232" s="1">
        <f t="shared" si="31"/>
        <v>2.4292274693396263</v>
      </c>
      <c r="K232" s="1">
        <v>10.811</v>
      </c>
      <c r="L232" s="1">
        <v>18499</v>
      </c>
      <c r="M232" s="3">
        <v>3.87542197669984E-4</v>
      </c>
      <c r="N232" s="1">
        <f t="shared" si="32"/>
        <v>7.1691431146970341</v>
      </c>
      <c r="P232" s="1">
        <v>10.811</v>
      </c>
      <c r="Q232" s="1">
        <v>18499</v>
      </c>
      <c r="R232" s="2">
        <v>7.7026573080747507E-5</v>
      </c>
      <c r="S232" s="1">
        <f t="shared" si="33"/>
        <v>1.4249145754207482</v>
      </c>
      <c r="U232" s="1">
        <v>10.811</v>
      </c>
      <c r="V232" s="1">
        <v>18499</v>
      </c>
      <c r="W232" s="17">
        <v>1.5826196099552501E-5</v>
      </c>
      <c r="X232" s="1">
        <f t="shared" si="34"/>
        <v>0.29276880164562169</v>
      </c>
      <c r="Z232" s="1">
        <v>10.811</v>
      </c>
      <c r="AA232" s="1">
        <v>18499</v>
      </c>
      <c r="AB232" s="2">
        <v>1.3410465819196E-6</v>
      </c>
      <c r="AC232" s="1">
        <f t="shared" si="35"/>
        <v>2.4808020718930679E-2</v>
      </c>
      <c r="AE232" s="1">
        <v>10.811</v>
      </c>
      <c r="AF232" s="1">
        <v>18499</v>
      </c>
      <c r="AG232" s="2">
        <v>3.8781232595786402E-5</v>
      </c>
      <c r="AH232" s="1">
        <f t="shared" si="36"/>
        <v>0.71741402178945268</v>
      </c>
      <c r="AJ232" s="1">
        <v>10.811</v>
      </c>
      <c r="AK232" s="1">
        <v>18499</v>
      </c>
      <c r="AL232" s="2">
        <v>8.6736623355665402E-7</v>
      </c>
      <c r="AM232" s="1">
        <f t="shared" si="37"/>
        <v>1.6045407954564543E-2</v>
      </c>
      <c r="AO232" s="1">
        <v>10.811</v>
      </c>
      <c r="AP232" s="1">
        <v>18499</v>
      </c>
      <c r="AQ232" s="2">
        <v>8.0460623809221398E-10</v>
      </c>
      <c r="AR232" s="1">
        <f t="shared" si="38"/>
        <v>1.4884410798467866E-5</v>
      </c>
      <c r="AT232" s="1">
        <v>10.811</v>
      </c>
      <c r="AU232" s="1">
        <v>18499</v>
      </c>
      <c r="AV232" s="2">
        <v>8.6511111508706307E-5</v>
      </c>
      <c r="AW232" s="1">
        <f t="shared" si="39"/>
        <v>1.6003690517995579</v>
      </c>
    </row>
    <row r="233" spans="1:49" x14ac:dyDescent="0.3">
      <c r="A233" s="1">
        <v>12.202</v>
      </c>
      <c r="B233" s="1">
        <v>12347.3</v>
      </c>
      <c r="C233" s="2">
        <v>3.1712617697826702E-7</v>
      </c>
      <c r="D233" s="1">
        <f t="shared" si="30"/>
        <v>3.9156520450037563E-3</v>
      </c>
      <c r="F233" s="1">
        <v>12.202</v>
      </c>
      <c r="G233" s="1">
        <v>12347.3</v>
      </c>
      <c r="H233" s="3">
        <v>1.6479256439902199E-4</v>
      </c>
      <c r="I233" s="1">
        <f t="shared" si="31"/>
        <v>2.034743230404044</v>
      </c>
      <c r="K233" s="1">
        <v>12.202</v>
      </c>
      <c r="L233" s="1">
        <v>12347.3</v>
      </c>
      <c r="M233" s="3">
        <v>4.7422435079727998E-4</v>
      </c>
      <c r="N233" s="1">
        <f t="shared" si="32"/>
        <v>5.8553903265992551</v>
      </c>
      <c r="P233" s="1">
        <v>12.202</v>
      </c>
      <c r="Q233" s="1">
        <v>12347.3</v>
      </c>
      <c r="R233" s="2">
        <v>7.1271714172415802E-5</v>
      </c>
      <c r="S233" s="1">
        <f t="shared" si="33"/>
        <v>0.88001323640106954</v>
      </c>
      <c r="U233" s="1">
        <v>12.202</v>
      </c>
      <c r="V233" s="1">
        <v>12347.3</v>
      </c>
      <c r="W233" s="17">
        <v>1.5320917517028698E-5</v>
      </c>
      <c r="X233" s="1">
        <f t="shared" si="34"/>
        <v>0.18917196485800844</v>
      </c>
      <c r="Z233" s="1">
        <v>12.202</v>
      </c>
      <c r="AA233" s="1">
        <v>12347.3</v>
      </c>
      <c r="AB233" s="2">
        <v>1.7215778014009001E-6</v>
      </c>
      <c r="AC233" s="1">
        <f t="shared" si="35"/>
        <v>2.1256837587237332E-2</v>
      </c>
      <c r="AE233" s="1">
        <v>12.202</v>
      </c>
      <c r="AF233" s="1">
        <v>12347.3</v>
      </c>
      <c r="AG233" s="2">
        <v>6.1015805950703898E-5</v>
      </c>
      <c r="AH233" s="1">
        <f t="shared" si="36"/>
        <v>0.75338046081512622</v>
      </c>
      <c r="AJ233" s="1">
        <v>12.202</v>
      </c>
      <c r="AK233" s="1">
        <v>12347.3</v>
      </c>
      <c r="AL233" s="2">
        <v>8.8989219977179399E-7</v>
      </c>
      <c r="AM233" s="1">
        <f t="shared" si="37"/>
        <v>1.0987765958242272E-2</v>
      </c>
      <c r="AO233" s="1">
        <v>12.202</v>
      </c>
      <c r="AP233" s="1">
        <v>12347.3</v>
      </c>
      <c r="AQ233" s="2">
        <v>9.1479402627064097E-10</v>
      </c>
      <c r="AR233" s="1">
        <f t="shared" si="38"/>
        <v>1.1295236280571485E-5</v>
      </c>
      <c r="AT233" s="1">
        <v>12.202</v>
      </c>
      <c r="AU233" s="1">
        <v>12347.3</v>
      </c>
      <c r="AV233" s="2">
        <v>8.6713396070784197E-5</v>
      </c>
      <c r="AW233" s="1">
        <f t="shared" si="39"/>
        <v>1.0706763153047936</v>
      </c>
    </row>
    <row r="234" spans="1:49" x14ac:dyDescent="0.3">
      <c r="A234" s="1">
        <v>13.771000000000001</v>
      </c>
      <c r="B234" s="1">
        <v>7443.25</v>
      </c>
      <c r="C234" s="2">
        <v>2.9430612808454302E-7</v>
      </c>
      <c r="D234" s="1">
        <f t="shared" si="30"/>
        <v>2.1905940878652747E-3</v>
      </c>
      <c r="F234" s="1">
        <v>13.771000000000001</v>
      </c>
      <c r="G234" s="1">
        <v>7443.25</v>
      </c>
      <c r="H234" s="3">
        <v>1.96578237503524E-4</v>
      </c>
      <c r="I234" s="1">
        <f t="shared" si="31"/>
        <v>1.463180966298105</v>
      </c>
      <c r="K234" s="1">
        <v>13.771000000000001</v>
      </c>
      <c r="L234" s="1">
        <v>7443.25</v>
      </c>
      <c r="M234" s="3">
        <v>5.1979390388911704E-4</v>
      </c>
      <c r="N234" s="1">
        <f t="shared" si="32"/>
        <v>3.8689559751226703</v>
      </c>
      <c r="P234" s="1">
        <v>13.771000000000001</v>
      </c>
      <c r="Q234" s="1">
        <v>7443.25</v>
      </c>
      <c r="R234" s="2">
        <v>6.2928433559490506E-5</v>
      </c>
      <c r="S234" s="1">
        <f t="shared" si="33"/>
        <v>0.46839206309167769</v>
      </c>
      <c r="U234" s="1">
        <v>13.771000000000001</v>
      </c>
      <c r="V234" s="1">
        <v>7443.25</v>
      </c>
      <c r="W234" s="17">
        <v>1.2988656441188399E-5</v>
      </c>
      <c r="X234" s="1">
        <f t="shared" si="34"/>
        <v>9.6677817055875553E-2</v>
      </c>
      <c r="Z234" s="1">
        <v>13.771000000000001</v>
      </c>
      <c r="AA234" s="1">
        <v>7443.25</v>
      </c>
      <c r="AB234" s="2">
        <v>1.89317473225599E-6</v>
      </c>
      <c r="AC234" s="1">
        <f t="shared" si="35"/>
        <v>1.4091372825864397E-2</v>
      </c>
      <c r="AE234" s="1">
        <v>13.771000000000001</v>
      </c>
      <c r="AF234" s="1">
        <v>7443.25</v>
      </c>
      <c r="AG234" s="2">
        <v>8.0794234574554997E-5</v>
      </c>
      <c r="AH234" s="1">
        <f t="shared" si="36"/>
        <v>0.60137168649705652</v>
      </c>
      <c r="AJ234" s="1">
        <v>13.771000000000001</v>
      </c>
      <c r="AK234" s="1">
        <v>7443.25</v>
      </c>
      <c r="AL234" s="2">
        <v>9.6667031596797209E-7</v>
      </c>
      <c r="AM234" s="1">
        <f t="shared" si="37"/>
        <v>7.1951688293286084E-3</v>
      </c>
      <c r="AO234" s="1">
        <v>13.771000000000001</v>
      </c>
      <c r="AP234" s="1">
        <v>7443.25</v>
      </c>
      <c r="AQ234" s="2">
        <v>1.02423818832303E-9</v>
      </c>
      <c r="AR234" s="1">
        <f t="shared" si="38"/>
        <v>7.6236608952353935E-6</v>
      </c>
      <c r="AT234" s="1">
        <v>13.771000000000001</v>
      </c>
      <c r="AU234" s="1">
        <v>7443.25</v>
      </c>
      <c r="AV234" s="2">
        <v>7.0944165749465806E-5</v>
      </c>
      <c r="AW234" s="1">
        <f t="shared" si="39"/>
        <v>0.52805516171471134</v>
      </c>
    </row>
    <row r="235" spans="1:49" x14ac:dyDescent="0.3">
      <c r="A235" s="1">
        <v>15.542</v>
      </c>
      <c r="B235" s="1">
        <v>5650.06</v>
      </c>
      <c r="C235" s="2">
        <v>1.87420394946891E-7</v>
      </c>
      <c r="D235" s="1">
        <f t="shared" si="30"/>
        <v>1.058936476673631E-3</v>
      </c>
      <c r="F235" s="1">
        <v>15.542</v>
      </c>
      <c r="G235" s="1">
        <v>5650.06</v>
      </c>
      <c r="H235" s="3">
        <v>1.9018442202547699E-4</v>
      </c>
      <c r="I235" s="1">
        <f t="shared" si="31"/>
        <v>1.0745533955092665</v>
      </c>
      <c r="K235" s="1">
        <v>15.542</v>
      </c>
      <c r="L235" s="1">
        <v>5650.06</v>
      </c>
      <c r="M235" s="3">
        <v>4.7531153221782397E-4</v>
      </c>
      <c r="N235" s="1">
        <f t="shared" si="32"/>
        <v>2.6855386757226385</v>
      </c>
      <c r="P235" s="1">
        <v>15.542</v>
      </c>
      <c r="Q235" s="1">
        <v>5650.06</v>
      </c>
      <c r="R235" s="2">
        <v>4.06761016465819E-5</v>
      </c>
      <c r="S235" s="1">
        <f t="shared" si="33"/>
        <v>0.22982241486928653</v>
      </c>
      <c r="U235" s="1">
        <v>15.542</v>
      </c>
      <c r="V235" s="1">
        <v>5650.06</v>
      </c>
      <c r="W235" s="17">
        <v>9.1297414507759697E-6</v>
      </c>
      <c r="X235" s="1">
        <f t="shared" si="34"/>
        <v>5.1583586981371277E-2</v>
      </c>
      <c r="Z235" s="1">
        <v>15.542</v>
      </c>
      <c r="AA235" s="1">
        <v>5650.06</v>
      </c>
      <c r="AB235" s="2">
        <v>1.7027556420204701E-6</v>
      </c>
      <c r="AC235" s="1">
        <f t="shared" si="35"/>
        <v>9.6206715427541774E-3</v>
      </c>
      <c r="AE235" s="1">
        <v>15.542</v>
      </c>
      <c r="AF235" s="1">
        <v>5650.06</v>
      </c>
      <c r="AG235" s="2">
        <v>8.1440588451151406E-5</v>
      </c>
      <c r="AH235" s="1">
        <f t="shared" si="36"/>
        <v>0.46014421118431253</v>
      </c>
      <c r="AJ235" s="1">
        <v>15.542</v>
      </c>
      <c r="AK235" s="1">
        <v>5650.06</v>
      </c>
      <c r="AL235" s="2">
        <v>1.0919370365661801E-6</v>
      </c>
      <c r="AM235" s="1">
        <f t="shared" si="37"/>
        <v>6.1695097728211119E-3</v>
      </c>
      <c r="AO235" s="1">
        <v>15.542</v>
      </c>
      <c r="AP235" s="1">
        <v>5650.06</v>
      </c>
      <c r="AQ235" s="2">
        <v>1.03904473410029E-9</v>
      </c>
      <c r="AR235" s="1">
        <f t="shared" si="38"/>
        <v>5.8706650903506849E-6</v>
      </c>
      <c r="AT235" s="1">
        <v>15.542</v>
      </c>
      <c r="AU235" s="1">
        <v>5650.06</v>
      </c>
      <c r="AV235" s="2">
        <v>4.7076156390407597E-5</v>
      </c>
      <c r="AW235" s="1">
        <f t="shared" si="39"/>
        <v>0.26598310817518639</v>
      </c>
    </row>
    <row r="236" spans="1:49" x14ac:dyDescent="0.3">
      <c r="A236" s="1">
        <v>17.541</v>
      </c>
      <c r="B236" s="1">
        <v>3385.8</v>
      </c>
      <c r="C236" s="2">
        <v>7.8388206347784998E-8</v>
      </c>
      <c r="D236" s="1">
        <f t="shared" si="30"/>
        <v>2.6540678905233046E-4</v>
      </c>
      <c r="F236" s="1">
        <v>17.541</v>
      </c>
      <c r="G236" s="1">
        <v>3385.8</v>
      </c>
      <c r="H236" s="3">
        <v>1.43915330968576E-4</v>
      </c>
      <c r="I236" s="1">
        <f t="shared" si="31"/>
        <v>0.48726852759340467</v>
      </c>
      <c r="K236" s="1">
        <v>17.541</v>
      </c>
      <c r="L236" s="1">
        <v>3385.8</v>
      </c>
      <c r="M236" s="3">
        <v>3.5349129375834398E-4</v>
      </c>
      <c r="N236" s="1">
        <f t="shared" si="32"/>
        <v>1.1968508224070011</v>
      </c>
      <c r="P236" s="1">
        <v>17.541</v>
      </c>
      <c r="Q236" s="1">
        <v>3385.8</v>
      </c>
      <c r="R236" s="2">
        <v>1.9667704620781999E-5</v>
      </c>
      <c r="S236" s="1">
        <f t="shared" si="33"/>
        <v>6.65909143050437E-2</v>
      </c>
      <c r="U236" s="1">
        <v>17.541</v>
      </c>
      <c r="V236" s="1">
        <v>3385.8</v>
      </c>
      <c r="W236" s="17">
        <v>5.6558576693310603E-6</v>
      </c>
      <c r="X236" s="1">
        <f t="shared" si="34"/>
        <v>1.9149602896821105E-2</v>
      </c>
      <c r="Z236" s="1">
        <v>17.541</v>
      </c>
      <c r="AA236" s="1">
        <v>3385.8</v>
      </c>
      <c r="AB236" s="2">
        <v>1.0400985850221199E-6</v>
      </c>
      <c r="AC236" s="1">
        <f t="shared" si="35"/>
        <v>3.5215657891678937E-3</v>
      </c>
      <c r="AE236" s="1">
        <v>17.541</v>
      </c>
      <c r="AF236" s="1">
        <v>3385.8</v>
      </c>
      <c r="AG236" s="2">
        <v>7.3684341931994107E-5</v>
      </c>
      <c r="AH236" s="1">
        <f t="shared" si="36"/>
        <v>0.24948044491334567</v>
      </c>
      <c r="AJ236" s="1">
        <v>17.541</v>
      </c>
      <c r="AK236" s="1">
        <v>3385.8</v>
      </c>
      <c r="AL236" s="2">
        <v>1.1507323895674E-6</v>
      </c>
      <c r="AM236" s="1">
        <f t="shared" si="37"/>
        <v>3.896149724597303E-3</v>
      </c>
      <c r="AO236" s="1">
        <v>17.541</v>
      </c>
      <c r="AP236" s="1">
        <v>3385.8</v>
      </c>
      <c r="AQ236" s="2">
        <v>7.5780527312887696E-10</v>
      </c>
      <c r="AR236" s="1">
        <f t="shared" si="38"/>
        <v>2.5657770937597516E-6</v>
      </c>
      <c r="AT236" s="1">
        <v>17.541</v>
      </c>
      <c r="AU236" s="1">
        <v>3385.8</v>
      </c>
      <c r="AV236" s="2">
        <v>3.2120845928471203E-5</v>
      </c>
      <c r="AW236" s="1">
        <f t="shared" si="39"/>
        <v>0.10875476014461781</v>
      </c>
    </row>
    <row r="237" spans="1:49" x14ac:dyDescent="0.3">
      <c r="A237" s="1">
        <v>19.797999999999998</v>
      </c>
      <c r="B237" s="1">
        <v>2150.02</v>
      </c>
      <c r="C237" s="2">
        <v>3.0485790157745101E-8</v>
      </c>
      <c r="D237" s="1">
        <f t="shared" si="30"/>
        <v>6.5545058554955125E-5</v>
      </c>
      <c r="F237" s="1">
        <v>19.797999999999998</v>
      </c>
      <c r="G237" s="1">
        <v>2150.02</v>
      </c>
      <c r="H237" s="2">
        <v>9.7464778021093894E-5</v>
      </c>
      <c r="I237" s="1">
        <f t="shared" si="31"/>
        <v>0.20955122204091228</v>
      </c>
      <c r="K237" s="1">
        <v>19.797999999999998</v>
      </c>
      <c r="L237" s="1">
        <v>2150.02</v>
      </c>
      <c r="M237" s="3">
        <v>2.26338353356523E-4</v>
      </c>
      <c r="N237" s="1">
        <f t="shared" si="32"/>
        <v>0.48663198648359157</v>
      </c>
      <c r="P237" s="1">
        <v>19.797999999999998</v>
      </c>
      <c r="Q237" s="1">
        <v>2150.02</v>
      </c>
      <c r="R237" s="2">
        <v>1.2454252817335E-5</v>
      </c>
      <c r="S237" s="1">
        <f t="shared" si="33"/>
        <v>2.6776892642326598E-2</v>
      </c>
      <c r="U237" s="1">
        <v>19.797999999999998</v>
      </c>
      <c r="V237" s="1">
        <v>2150.02</v>
      </c>
      <c r="W237" s="17">
        <v>3.6161214987543102E-6</v>
      </c>
      <c r="X237" s="1">
        <f t="shared" si="34"/>
        <v>7.7747335447517418E-3</v>
      </c>
      <c r="Z237" s="1">
        <v>19.797999999999998</v>
      </c>
      <c r="AA237" s="1">
        <v>2150.02</v>
      </c>
      <c r="AB237" s="2">
        <v>7.2150176561156196E-7</v>
      </c>
      <c r="AC237" s="1">
        <f t="shared" si="35"/>
        <v>1.5512432261001704E-3</v>
      </c>
      <c r="AE237" s="1">
        <v>19.797999999999998</v>
      </c>
      <c r="AF237" s="1">
        <v>2150.02</v>
      </c>
      <c r="AG237" s="2">
        <v>5.62327872638902E-5</v>
      </c>
      <c r="AH237" s="1">
        <f t="shared" si="36"/>
        <v>0.1209016172731092</v>
      </c>
      <c r="AJ237" s="1">
        <v>19.797999999999998</v>
      </c>
      <c r="AK237" s="1">
        <v>2150.02</v>
      </c>
      <c r="AL237" s="2">
        <v>1.1823195762614E-6</v>
      </c>
      <c r="AM237" s="1">
        <f t="shared" si="37"/>
        <v>2.5420107353535354E-3</v>
      </c>
      <c r="AO237" s="1">
        <v>19.797999999999998</v>
      </c>
      <c r="AP237" s="1">
        <v>2150.02</v>
      </c>
      <c r="AQ237" s="2">
        <v>4.88427924715886E-10</v>
      </c>
      <c r="AR237" s="1">
        <f t="shared" si="38"/>
        <v>1.0501298066976492E-6</v>
      </c>
      <c r="AT237" s="1">
        <v>19.797999999999998</v>
      </c>
      <c r="AU237" s="1">
        <v>2150.02</v>
      </c>
      <c r="AV237" s="2">
        <v>2.1314040685189199E-5</v>
      </c>
      <c r="AW237" s="1">
        <f t="shared" si="39"/>
        <v>4.5825613753970477E-2</v>
      </c>
    </row>
    <row r="238" spans="1:49" x14ac:dyDescent="0.3">
      <c r="A238" s="1">
        <v>22.344000000000001</v>
      </c>
      <c r="B238" s="1">
        <v>676.22299999999996</v>
      </c>
      <c r="C238" s="2">
        <v>1.31127751757816E-8</v>
      </c>
      <c r="D238" s="1">
        <f t="shared" si="30"/>
        <v>8.86716016769256E-6</v>
      </c>
      <c r="F238" s="1">
        <v>22.344000000000001</v>
      </c>
      <c r="G238" s="1">
        <v>676.22299999999996</v>
      </c>
      <c r="H238" s="2">
        <v>6.88741438360375E-5</v>
      </c>
      <c r="I238" s="1">
        <f t="shared" si="31"/>
        <v>4.6574280167236783E-2</v>
      </c>
      <c r="K238" s="1">
        <v>22.344000000000001</v>
      </c>
      <c r="L238" s="1">
        <v>676.22299999999996</v>
      </c>
      <c r="M238" s="3">
        <v>1.6580188259545899E-4</v>
      </c>
      <c r="N238" s="1">
        <f t="shared" si="32"/>
        <v>0.11211904645434906</v>
      </c>
      <c r="P238" s="1">
        <v>22.344000000000001</v>
      </c>
      <c r="Q238" s="1">
        <v>676.22299999999996</v>
      </c>
      <c r="R238" s="2">
        <v>4.5988279100426597E-6</v>
      </c>
      <c r="S238" s="1">
        <f t="shared" si="33"/>
        <v>3.1098332058127772E-3</v>
      </c>
      <c r="U238" s="1">
        <v>22.344000000000001</v>
      </c>
      <c r="V238" s="1">
        <v>676.22299999999996</v>
      </c>
      <c r="W238" s="17">
        <v>2.6718190365358199E-6</v>
      </c>
      <c r="X238" s="1">
        <f t="shared" si="34"/>
        <v>1.8067454843433617E-3</v>
      </c>
      <c r="Z238" s="1">
        <v>22.344000000000001</v>
      </c>
      <c r="AA238" s="1">
        <v>676.22299999999996</v>
      </c>
      <c r="AB238" s="2">
        <v>2.39730795400915E-7</v>
      </c>
      <c r="AC238" s="1">
        <f t="shared" si="35"/>
        <v>1.6211147765839295E-4</v>
      </c>
      <c r="AE238" s="1">
        <v>22.344000000000001</v>
      </c>
      <c r="AF238" s="1">
        <v>676.22299999999996</v>
      </c>
      <c r="AG238" s="2">
        <v>4.9122894621329398E-5</v>
      </c>
      <c r="AH238" s="1">
        <f t="shared" si="36"/>
        <v>3.3218031169519227E-2</v>
      </c>
      <c r="AJ238" s="1">
        <v>22.344000000000001</v>
      </c>
      <c r="AK238" s="1">
        <v>676.22299999999996</v>
      </c>
      <c r="AL238" s="2">
        <v>1.20162083763598E-6</v>
      </c>
      <c r="AM238" s="1">
        <f t="shared" si="37"/>
        <v>8.1256364768871525E-4</v>
      </c>
      <c r="AO238" s="1">
        <v>22.344000000000001</v>
      </c>
      <c r="AP238" s="1">
        <v>676.22299999999996</v>
      </c>
      <c r="AQ238" s="2">
        <v>3.6344773178326801E-10</v>
      </c>
      <c r="AR238" s="1">
        <f t="shared" si="38"/>
        <v>2.4577171552967684E-7</v>
      </c>
      <c r="AT238" s="1">
        <v>22.344000000000001</v>
      </c>
      <c r="AU238" s="1">
        <v>676.22299999999996</v>
      </c>
      <c r="AV238" s="2">
        <v>1.71723343197754E-5</v>
      </c>
      <c r="AW238" s="1">
        <f t="shared" si="39"/>
        <v>1.161232743072148E-2</v>
      </c>
    </row>
    <row r="239" spans="1:49" x14ac:dyDescent="0.3">
      <c r="A239" s="1">
        <v>25.218</v>
      </c>
      <c r="B239" s="1">
        <v>314.40899999999999</v>
      </c>
      <c r="C239" s="2">
        <v>5.9407008058620402E-9</v>
      </c>
      <c r="D239" s="1">
        <f t="shared" si="30"/>
        <v>1.8678097996702781E-6</v>
      </c>
      <c r="F239" s="1">
        <v>25.218</v>
      </c>
      <c r="G239" s="1">
        <v>314.40899999999999</v>
      </c>
      <c r="H239" s="2">
        <v>5.5022953433134197E-5</v>
      </c>
      <c r="I239" s="1">
        <f t="shared" si="31"/>
        <v>1.7299711765958289E-2</v>
      </c>
      <c r="K239" s="1">
        <v>25.218</v>
      </c>
      <c r="L239" s="1">
        <v>314.40899999999999</v>
      </c>
      <c r="M239" s="3">
        <v>0</v>
      </c>
      <c r="N239" s="1">
        <f t="shared" si="32"/>
        <v>0</v>
      </c>
      <c r="P239" s="1">
        <v>25.218</v>
      </c>
      <c r="Q239" s="1">
        <v>314.40899999999999</v>
      </c>
      <c r="R239" s="3">
        <v>0</v>
      </c>
      <c r="S239" s="1">
        <f t="shared" si="33"/>
        <v>0</v>
      </c>
      <c r="U239" s="1">
        <v>25.218</v>
      </c>
      <c r="V239" s="1">
        <v>314.40899999999999</v>
      </c>
      <c r="W239" s="17">
        <v>1.9795297784635799E-6</v>
      </c>
      <c r="X239" s="1">
        <f t="shared" si="34"/>
        <v>6.2238197811695568E-4</v>
      </c>
      <c r="Z239" s="1">
        <v>25.218</v>
      </c>
      <c r="AA239" s="1">
        <v>314.40899999999999</v>
      </c>
      <c r="AB239" s="3">
        <v>0</v>
      </c>
      <c r="AC239" s="1">
        <f t="shared" si="35"/>
        <v>0</v>
      </c>
      <c r="AE239" s="1">
        <v>25.218</v>
      </c>
      <c r="AF239" s="1">
        <v>314.40899999999999</v>
      </c>
      <c r="AG239" s="3">
        <v>0</v>
      </c>
      <c r="AH239" s="1">
        <f t="shared" si="36"/>
        <v>0</v>
      </c>
      <c r="AJ239" s="1">
        <v>25.218</v>
      </c>
      <c r="AK239" s="1">
        <v>314.40899999999999</v>
      </c>
      <c r="AL239" s="3">
        <v>0</v>
      </c>
      <c r="AM239" s="1">
        <f t="shared" si="37"/>
        <v>0</v>
      </c>
      <c r="AO239" s="1">
        <v>25.218</v>
      </c>
      <c r="AP239" s="1">
        <v>314.40899999999999</v>
      </c>
      <c r="AQ239" s="3">
        <v>0</v>
      </c>
      <c r="AR239" s="1">
        <f t="shared" si="38"/>
        <v>0</v>
      </c>
      <c r="AT239" s="1">
        <v>25.218</v>
      </c>
      <c r="AU239" s="1">
        <v>314.40899999999999</v>
      </c>
      <c r="AV239" s="3">
        <v>0</v>
      </c>
      <c r="AW239" s="1">
        <f t="shared" si="39"/>
        <v>0</v>
      </c>
    </row>
    <row r="240" spans="1:49" x14ac:dyDescent="0.3">
      <c r="A240" s="1">
        <v>28.462</v>
      </c>
      <c r="B240" s="1">
        <v>0</v>
      </c>
      <c r="C240" s="2">
        <v>0</v>
      </c>
      <c r="D240" s="5">
        <f>B240*C240</f>
        <v>0</v>
      </c>
      <c r="F240" s="1">
        <v>28.462</v>
      </c>
      <c r="G240" s="1">
        <v>0</v>
      </c>
      <c r="H240" s="2">
        <v>4.7281552267593897E-5</v>
      </c>
      <c r="I240" s="1">
        <f t="shared" si="31"/>
        <v>0</v>
      </c>
      <c r="K240" s="1">
        <v>28.462</v>
      </c>
      <c r="L240" s="1">
        <v>0</v>
      </c>
      <c r="M240" s="3">
        <v>0</v>
      </c>
      <c r="N240" s="1">
        <f t="shared" si="32"/>
        <v>0</v>
      </c>
      <c r="P240" s="1">
        <v>28.462</v>
      </c>
      <c r="Q240" s="1">
        <v>0</v>
      </c>
      <c r="R240" s="3">
        <v>0</v>
      </c>
      <c r="S240" s="1">
        <f t="shared" si="33"/>
        <v>0</v>
      </c>
      <c r="U240" s="1">
        <v>28.462</v>
      </c>
      <c r="V240" s="1">
        <v>0</v>
      </c>
      <c r="W240" s="17">
        <v>1.5841441707292E-6</v>
      </c>
      <c r="X240" s="1">
        <f t="shared" si="34"/>
        <v>0</v>
      </c>
      <c r="Z240" s="1">
        <v>28.462</v>
      </c>
      <c r="AA240" s="1">
        <v>0</v>
      </c>
      <c r="AB240" s="3">
        <v>0</v>
      </c>
      <c r="AC240" s="1">
        <f t="shared" si="35"/>
        <v>0</v>
      </c>
      <c r="AE240" s="1">
        <v>28.462</v>
      </c>
      <c r="AF240" s="1">
        <v>0</v>
      </c>
      <c r="AG240" s="3">
        <v>0</v>
      </c>
      <c r="AH240" s="1">
        <f t="shared" si="36"/>
        <v>0</v>
      </c>
      <c r="AJ240" s="1">
        <v>28.462</v>
      </c>
      <c r="AK240" s="1">
        <v>0</v>
      </c>
      <c r="AL240" s="3">
        <v>0</v>
      </c>
      <c r="AM240" s="1">
        <f t="shared" si="37"/>
        <v>0</v>
      </c>
      <c r="AO240" s="1">
        <v>28.462</v>
      </c>
      <c r="AP240" s="1">
        <v>0</v>
      </c>
      <c r="AQ240" s="3">
        <v>0</v>
      </c>
      <c r="AR240" s="1">
        <f t="shared" si="38"/>
        <v>0</v>
      </c>
      <c r="AT240" s="1">
        <v>28.462</v>
      </c>
      <c r="AU240" s="1">
        <v>0</v>
      </c>
      <c r="AV240" s="3">
        <v>0</v>
      </c>
      <c r="AW240" s="1">
        <f t="shared" si="39"/>
        <v>0</v>
      </c>
    </row>
    <row r="241" spans="1:49" x14ac:dyDescent="0.3">
      <c r="A241" s="1">
        <v>30</v>
      </c>
      <c r="B241" s="1">
        <v>0</v>
      </c>
      <c r="C241" s="2">
        <v>0</v>
      </c>
      <c r="D241" s="5">
        <f>B241*C241</f>
        <v>0</v>
      </c>
      <c r="F241" s="1">
        <v>30</v>
      </c>
      <c r="G241" s="1">
        <v>0</v>
      </c>
      <c r="H241" s="2">
        <v>4.1673875978580497E-5</v>
      </c>
      <c r="I241" s="1">
        <f t="shared" si="31"/>
        <v>0</v>
      </c>
      <c r="K241" s="1">
        <v>30</v>
      </c>
      <c r="L241" s="1">
        <v>0</v>
      </c>
      <c r="M241" s="3">
        <v>0</v>
      </c>
      <c r="N241" s="1">
        <f t="shared" si="32"/>
        <v>0</v>
      </c>
      <c r="P241" s="1">
        <v>30</v>
      </c>
      <c r="Q241" s="1">
        <v>0</v>
      </c>
      <c r="R241" s="3">
        <v>0</v>
      </c>
      <c r="S241" s="1">
        <f t="shared" si="33"/>
        <v>0</v>
      </c>
      <c r="U241" s="1">
        <v>30</v>
      </c>
      <c r="V241" s="1">
        <v>0</v>
      </c>
      <c r="W241" s="17">
        <v>1.3241063894710199E-6</v>
      </c>
      <c r="X241" s="1">
        <f t="shared" si="34"/>
        <v>0</v>
      </c>
      <c r="Z241" s="1">
        <v>30</v>
      </c>
      <c r="AA241" s="1">
        <v>0</v>
      </c>
      <c r="AB241" s="3">
        <v>0</v>
      </c>
      <c r="AC241" s="1">
        <f t="shared" si="35"/>
        <v>0</v>
      </c>
      <c r="AE241" s="1">
        <v>30</v>
      </c>
      <c r="AF241" s="1">
        <v>0</v>
      </c>
      <c r="AG241" s="3">
        <v>0</v>
      </c>
      <c r="AH241" s="1">
        <f t="shared" si="36"/>
        <v>0</v>
      </c>
      <c r="AJ241" s="1">
        <v>30</v>
      </c>
      <c r="AK241" s="1">
        <v>0</v>
      </c>
      <c r="AL241" s="3">
        <v>0</v>
      </c>
      <c r="AM241" s="1">
        <f t="shared" si="37"/>
        <v>0</v>
      </c>
      <c r="AO241" s="1">
        <v>30</v>
      </c>
      <c r="AP241" s="1">
        <v>0</v>
      </c>
      <c r="AQ241" s="3">
        <v>0</v>
      </c>
      <c r="AR241" s="1">
        <f t="shared" si="38"/>
        <v>0</v>
      </c>
      <c r="AT241" s="1">
        <v>30</v>
      </c>
      <c r="AU241" s="1">
        <v>0</v>
      </c>
      <c r="AV241" s="3">
        <v>0</v>
      </c>
      <c r="AW241" s="1">
        <f t="shared" si="39"/>
        <v>0</v>
      </c>
    </row>
    <row r="242" spans="1:49" x14ac:dyDescent="0.3">
      <c r="A242" t="s">
        <v>6</v>
      </c>
      <c r="B242" s="18">
        <f>SUM(B3:B241)</f>
        <v>1605734.5519800009</v>
      </c>
      <c r="D242" s="19">
        <f>SUM(D3:D241)</f>
        <v>33834.637556343165</v>
      </c>
      <c r="F242" t="s">
        <v>6</v>
      </c>
      <c r="G242" s="18">
        <f>SUM(G3:G241)</f>
        <v>1605734.5519800009</v>
      </c>
      <c r="I242" s="19">
        <f>SUM(I3:I241)</f>
        <v>14.772959857903238</v>
      </c>
      <c r="K242" t="s">
        <v>6</v>
      </c>
      <c r="L242" s="18">
        <f>SUM(L3:L241)</f>
        <v>1605734.5519800009</v>
      </c>
      <c r="N242" s="19">
        <f>SUM(N3:N241)</f>
        <v>34.918809412980586</v>
      </c>
      <c r="P242" t="s">
        <v>6</v>
      </c>
      <c r="Q242" s="18">
        <f>SUM(Q3:Q241)</f>
        <v>1605734.5519800009</v>
      </c>
      <c r="R242" s="16"/>
      <c r="S242" s="19">
        <f>SUM(S3:S241)</f>
        <v>20.775563854252393</v>
      </c>
      <c r="U242" t="s">
        <v>6</v>
      </c>
      <c r="V242" s="18">
        <f>SUM(V3:V241)</f>
        <v>1605734.5519800009</v>
      </c>
      <c r="X242" s="18">
        <f>SUM(X3:X241)</f>
        <v>4.0947792647155374</v>
      </c>
      <c r="Z242" s="4" t="s">
        <v>6</v>
      </c>
      <c r="AA242" s="18">
        <f>SUM(AA3:AA241)</f>
        <v>1605734.5519800009</v>
      </c>
      <c r="AC242" s="18">
        <f>SUM(AC3:AC241)</f>
        <v>0.1507627881192915</v>
      </c>
      <c r="AE242" t="s">
        <v>6</v>
      </c>
      <c r="AF242" s="18">
        <f>SUM(AF3:AF241)</f>
        <v>1605734.5519800009</v>
      </c>
      <c r="AH242" s="18">
        <f>SUM(AH3:AH241)</f>
        <v>4.3623958032741292</v>
      </c>
      <c r="AJ242" t="s">
        <v>6</v>
      </c>
      <c r="AK242" s="18">
        <f>SUM(AK3:AK241)</f>
        <v>1605734.5519800009</v>
      </c>
      <c r="AM242" s="19">
        <f>SUM(AM3:AM241)</f>
        <v>713.15388477174645</v>
      </c>
      <c r="AO242" t="s">
        <v>6</v>
      </c>
      <c r="AP242" s="18">
        <f>SUM(AP3:AP241)</f>
        <v>1605734.5519800009</v>
      </c>
      <c r="AR242" s="19">
        <f>SUM(AR3:AR241)</f>
        <v>10.488251885785479</v>
      </c>
      <c r="AT242" t="s">
        <v>6</v>
      </c>
      <c r="AU242" s="18">
        <f>SUM(AU3:AU241)</f>
        <v>1605734.5519800009</v>
      </c>
      <c r="AW242" s="19">
        <f>SUM(AW3:AW241)</f>
        <v>22.586827673627038</v>
      </c>
    </row>
    <row r="243" spans="1:49" x14ac:dyDescent="0.3">
      <c r="R243" s="16"/>
    </row>
  </sheetData>
  <mergeCells count="10">
    <mergeCell ref="AO1:AR1"/>
    <mergeCell ref="AT1:AW1"/>
    <mergeCell ref="AE1:AH1"/>
    <mergeCell ref="AJ1:AM1"/>
    <mergeCell ref="A1:D1"/>
    <mergeCell ref="K1:N1"/>
    <mergeCell ref="P1:S1"/>
    <mergeCell ref="U1:X1"/>
    <mergeCell ref="Z1:AC1"/>
    <mergeCell ref="F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63"/>
  <sheetViews>
    <sheetView tabSelected="1" topLeftCell="A52" workbookViewId="0">
      <selection activeCell="B77" sqref="B77"/>
    </sheetView>
  </sheetViews>
  <sheetFormatPr defaultRowHeight="14.5" x14ac:dyDescent="0.3"/>
  <cols>
    <col min="2" max="2" width="9.3984375" bestFit="1" customWidth="1"/>
    <col min="5" max="5" width="1.09765625" customWidth="1"/>
    <col min="7" max="7" width="9.59765625" bestFit="1" customWidth="1"/>
    <col min="9" max="9" width="9.3984375" bestFit="1" customWidth="1"/>
    <col min="10" max="10" width="1.09765625" customWidth="1"/>
    <col min="15" max="15" width="0.796875" customWidth="1"/>
    <col min="20" max="20" width="1.19921875" customWidth="1"/>
    <col min="25" max="25" width="1" customWidth="1"/>
    <col min="30" max="30" width="1.09765625" customWidth="1"/>
    <col min="35" max="35" width="0.796875" customWidth="1"/>
    <col min="40" max="40" width="0.69921875" customWidth="1"/>
    <col min="45" max="45" width="0.8984375" customWidth="1"/>
  </cols>
  <sheetData>
    <row r="1" spans="1:49" x14ac:dyDescent="0.3">
      <c r="A1" s="26" t="s">
        <v>42</v>
      </c>
      <c r="B1" s="26"/>
      <c r="C1" s="26"/>
      <c r="D1" s="27"/>
      <c r="F1" s="26" t="s">
        <v>14</v>
      </c>
      <c r="G1" s="26"/>
      <c r="H1" s="26"/>
      <c r="I1" s="27"/>
      <c r="K1" s="26" t="s">
        <v>1</v>
      </c>
      <c r="L1" s="26"/>
      <c r="M1" s="26"/>
      <c r="N1" s="27"/>
      <c r="P1" s="26" t="s">
        <v>2</v>
      </c>
      <c r="Q1" s="26"/>
      <c r="R1" s="26"/>
      <c r="S1" s="27"/>
      <c r="U1" s="26" t="s">
        <v>3</v>
      </c>
      <c r="V1" s="26"/>
      <c r="W1" s="26"/>
      <c r="X1" s="27"/>
      <c r="Z1" s="26" t="s">
        <v>10</v>
      </c>
      <c r="AA1" s="26"/>
      <c r="AB1" s="26"/>
      <c r="AC1" s="27"/>
      <c r="AE1" s="26" t="s">
        <v>5</v>
      </c>
      <c r="AF1" s="26"/>
      <c r="AG1" s="26"/>
      <c r="AH1" s="27"/>
      <c r="AJ1" s="26" t="s">
        <v>12</v>
      </c>
      <c r="AK1" s="26"/>
      <c r="AL1" s="26"/>
      <c r="AM1" s="27"/>
      <c r="AO1" s="26" t="s">
        <v>33</v>
      </c>
      <c r="AP1" s="26"/>
      <c r="AQ1" s="26"/>
      <c r="AR1" s="27"/>
      <c r="AT1" s="26" t="s">
        <v>44</v>
      </c>
      <c r="AU1" s="26"/>
      <c r="AV1" s="26"/>
      <c r="AW1" s="27"/>
    </row>
    <row r="2" spans="1:49" x14ac:dyDescent="0.3">
      <c r="A2" s="1" t="s">
        <v>55</v>
      </c>
      <c r="B2" s="1" t="s">
        <v>56</v>
      </c>
      <c r="C2" s="1" t="s">
        <v>57</v>
      </c>
      <c r="D2" s="1" t="s">
        <v>58</v>
      </c>
      <c r="F2" s="1" t="s">
        <v>55</v>
      </c>
      <c r="G2" s="1" t="s">
        <v>56</v>
      </c>
      <c r="H2" s="1" t="s">
        <v>57</v>
      </c>
      <c r="I2" s="1" t="s">
        <v>58</v>
      </c>
      <c r="K2" s="1" t="s">
        <v>55</v>
      </c>
      <c r="L2" s="1" t="s">
        <v>56</v>
      </c>
      <c r="M2" s="1" t="s">
        <v>57</v>
      </c>
      <c r="N2" s="1" t="s">
        <v>58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55</v>
      </c>
      <c r="V2" s="1" t="s">
        <v>56</v>
      </c>
      <c r="W2" s="1" t="s">
        <v>57</v>
      </c>
      <c r="X2" s="1" t="s">
        <v>58</v>
      </c>
      <c r="Z2" s="1" t="s">
        <v>55</v>
      </c>
      <c r="AA2" s="1" t="s">
        <v>56</v>
      </c>
      <c r="AB2" s="1" t="s">
        <v>57</v>
      </c>
      <c r="AC2" s="1" t="s">
        <v>58</v>
      </c>
      <c r="AE2" s="1" t="s">
        <v>55</v>
      </c>
      <c r="AF2" s="1" t="s">
        <v>56</v>
      </c>
      <c r="AG2" s="1" t="s">
        <v>57</v>
      </c>
      <c r="AH2" s="1" t="s">
        <v>58</v>
      </c>
      <c r="AJ2" s="1" t="s">
        <v>55</v>
      </c>
      <c r="AK2" s="1" t="s">
        <v>56</v>
      </c>
      <c r="AL2" s="1" t="s">
        <v>57</v>
      </c>
      <c r="AM2" s="1" t="s">
        <v>58</v>
      </c>
      <c r="AO2" s="1" t="s">
        <v>55</v>
      </c>
      <c r="AP2" s="1" t="s">
        <v>56</v>
      </c>
      <c r="AQ2" s="1" t="s">
        <v>57</v>
      </c>
      <c r="AR2" s="1" t="s">
        <v>58</v>
      </c>
      <c r="AT2" s="1" t="s">
        <v>55</v>
      </c>
      <c r="AU2" s="1" t="s">
        <v>56</v>
      </c>
      <c r="AV2" s="1" t="s">
        <v>57</v>
      </c>
      <c r="AW2" s="1" t="s">
        <v>58</v>
      </c>
    </row>
    <row r="3" spans="1:49" x14ac:dyDescent="0.3">
      <c r="A3" s="1">
        <v>1.39E-11</v>
      </c>
      <c r="B3" s="16">
        <v>0</v>
      </c>
      <c r="C3" s="16">
        <v>0</v>
      </c>
      <c r="D3">
        <f>B3*C3</f>
        <v>0</v>
      </c>
      <c r="F3" s="1">
        <v>1.39E-11</v>
      </c>
      <c r="G3" s="3">
        <v>0</v>
      </c>
      <c r="H3" s="16">
        <v>0</v>
      </c>
      <c r="I3" s="16">
        <f>G3*H3</f>
        <v>0</v>
      </c>
      <c r="K3" s="1">
        <v>1.39E-11</v>
      </c>
      <c r="L3" s="3">
        <v>0</v>
      </c>
      <c r="M3" s="16">
        <v>0</v>
      </c>
      <c r="N3">
        <f>L3*M3</f>
        <v>0</v>
      </c>
      <c r="O3" s="17"/>
      <c r="P3" s="1">
        <v>1.39E-11</v>
      </c>
      <c r="Q3" s="3">
        <v>0</v>
      </c>
      <c r="R3" s="16">
        <v>0</v>
      </c>
      <c r="S3">
        <f>Q3*R3</f>
        <v>0</v>
      </c>
      <c r="U3" s="1">
        <v>1.39E-11</v>
      </c>
      <c r="V3" s="3">
        <v>0</v>
      </c>
      <c r="W3" s="16">
        <v>0</v>
      </c>
      <c r="X3">
        <f>V3*W3</f>
        <v>0</v>
      </c>
      <c r="Z3" s="1">
        <v>1.39E-11</v>
      </c>
      <c r="AA3" s="3">
        <v>0</v>
      </c>
      <c r="AB3" s="16">
        <v>0</v>
      </c>
      <c r="AC3">
        <f>AA3*AB3</f>
        <v>0</v>
      </c>
      <c r="AE3" s="1">
        <v>1.39E-11</v>
      </c>
      <c r="AF3" s="3">
        <v>0</v>
      </c>
      <c r="AG3" s="16">
        <v>0</v>
      </c>
      <c r="AH3">
        <f>AF3*AG3</f>
        <v>0</v>
      </c>
      <c r="AJ3" s="1">
        <v>1.39E-11</v>
      </c>
      <c r="AK3" s="3">
        <v>0</v>
      </c>
      <c r="AL3" s="16">
        <v>0</v>
      </c>
      <c r="AM3">
        <f>AK3*AL3</f>
        <v>0</v>
      </c>
      <c r="AO3" s="1">
        <v>1.39E-11</v>
      </c>
      <c r="AP3" s="3">
        <v>0</v>
      </c>
      <c r="AQ3" s="16">
        <v>0</v>
      </c>
      <c r="AR3">
        <f>AP3*AQ3</f>
        <v>0</v>
      </c>
      <c r="AT3" s="1">
        <v>1.39E-11</v>
      </c>
      <c r="AU3" s="3">
        <v>0</v>
      </c>
      <c r="AV3" s="16">
        <v>0</v>
      </c>
      <c r="AW3">
        <f>AU3*AV3</f>
        <v>0</v>
      </c>
    </row>
    <row r="4" spans="1:49" x14ac:dyDescent="0.3">
      <c r="A4" s="1">
        <v>3.7800000000000001E-11</v>
      </c>
      <c r="B4" s="16">
        <v>0</v>
      </c>
      <c r="C4" s="16">
        <v>0.58526817936473197</v>
      </c>
      <c r="D4">
        <f t="shared" ref="D4:D62" si="0">B4*C4</f>
        <v>0</v>
      </c>
      <c r="F4" s="1">
        <v>3.7800000000000001E-11</v>
      </c>
      <c r="G4" s="3">
        <v>0</v>
      </c>
      <c r="H4" s="16">
        <v>0</v>
      </c>
      <c r="I4" s="16">
        <f t="shared" ref="I4:I62" si="1">G4*H4</f>
        <v>0</v>
      </c>
      <c r="K4" s="1">
        <v>3.7800000000000001E-11</v>
      </c>
      <c r="L4" s="3">
        <v>0</v>
      </c>
      <c r="M4" s="16">
        <v>0</v>
      </c>
      <c r="N4">
        <f t="shared" ref="N4:N62" si="2">L4*M4</f>
        <v>0</v>
      </c>
      <c r="O4" s="17"/>
      <c r="P4" s="1">
        <v>3.7800000000000001E-11</v>
      </c>
      <c r="Q4" s="3">
        <v>0</v>
      </c>
      <c r="R4" s="16">
        <v>0</v>
      </c>
      <c r="S4">
        <f t="shared" ref="S4:S62" si="3">Q4*R4</f>
        <v>0</v>
      </c>
      <c r="U4" s="1">
        <v>3.7800000000000001E-11</v>
      </c>
      <c r="V4" s="3">
        <v>0</v>
      </c>
      <c r="W4" s="16">
        <v>0</v>
      </c>
      <c r="X4">
        <f t="shared" ref="X4:X62" si="4">V4*W4</f>
        <v>0</v>
      </c>
      <c r="Z4" s="1">
        <v>3.7800000000000001E-11</v>
      </c>
      <c r="AA4" s="3">
        <v>0</v>
      </c>
      <c r="AB4" s="16">
        <v>0</v>
      </c>
      <c r="AC4">
        <f t="shared" ref="AC4:AC62" si="5">AA4*AB4</f>
        <v>0</v>
      </c>
      <c r="AE4" s="1">
        <v>3.7800000000000001E-11</v>
      </c>
      <c r="AF4" s="3">
        <v>0</v>
      </c>
      <c r="AG4" s="16">
        <v>0</v>
      </c>
      <c r="AH4">
        <f t="shared" ref="AH4:AH62" si="6">AF4*AG4</f>
        <v>0</v>
      </c>
      <c r="AJ4" s="1">
        <v>3.7800000000000001E-11</v>
      </c>
      <c r="AK4" s="3">
        <v>0</v>
      </c>
      <c r="AL4" s="16">
        <v>8.6655103819273105E-2</v>
      </c>
      <c r="AM4">
        <f t="shared" ref="AM4:AM62" si="7">AK4*AL4</f>
        <v>0</v>
      </c>
      <c r="AO4" s="1">
        <v>3.7800000000000001E-11</v>
      </c>
      <c r="AP4" s="3">
        <v>0</v>
      </c>
      <c r="AQ4" s="16">
        <v>1.1435215523944301E-3</v>
      </c>
      <c r="AR4">
        <f t="shared" ref="AR4:AR62" si="8">AP4*AQ4</f>
        <v>0</v>
      </c>
      <c r="AT4" s="1">
        <v>3.7800000000000001E-11</v>
      </c>
      <c r="AU4" s="3">
        <v>0</v>
      </c>
      <c r="AV4" s="16">
        <v>0</v>
      </c>
      <c r="AW4">
        <f t="shared" ref="AW4:AW62" si="9">AU4*AV4</f>
        <v>0</v>
      </c>
    </row>
    <row r="5" spans="1:49" x14ac:dyDescent="0.3">
      <c r="A5" s="1">
        <v>1.0300000000000001E-10</v>
      </c>
      <c r="B5" s="16">
        <v>0</v>
      </c>
      <c r="C5" s="16">
        <v>0.35843542413020901</v>
      </c>
      <c r="D5">
        <f t="shared" si="0"/>
        <v>0</v>
      </c>
      <c r="F5" s="1">
        <v>1.0300000000000001E-10</v>
      </c>
      <c r="G5" s="3">
        <v>0</v>
      </c>
      <c r="H5" s="16">
        <v>0</v>
      </c>
      <c r="I5" s="16">
        <f t="shared" si="1"/>
        <v>0</v>
      </c>
      <c r="K5" s="1">
        <v>1.0300000000000001E-10</v>
      </c>
      <c r="L5" s="3">
        <v>0</v>
      </c>
      <c r="M5" s="16">
        <v>0</v>
      </c>
      <c r="N5">
        <f t="shared" si="2"/>
        <v>0</v>
      </c>
      <c r="O5" s="17"/>
      <c r="P5" s="1">
        <v>1.0300000000000001E-10</v>
      </c>
      <c r="Q5" s="3">
        <v>0</v>
      </c>
      <c r="R5" s="16">
        <v>0</v>
      </c>
      <c r="S5">
        <f t="shared" si="3"/>
        <v>0</v>
      </c>
      <c r="U5" s="1">
        <v>1.0300000000000001E-10</v>
      </c>
      <c r="V5" s="3">
        <v>0</v>
      </c>
      <c r="W5" s="16">
        <v>0</v>
      </c>
      <c r="X5">
        <f t="shared" si="4"/>
        <v>0</v>
      </c>
      <c r="Z5" s="1">
        <v>1.0300000000000001E-10</v>
      </c>
      <c r="AA5" s="3">
        <v>0</v>
      </c>
      <c r="AB5" s="16">
        <v>0</v>
      </c>
      <c r="AC5">
        <f t="shared" si="5"/>
        <v>0</v>
      </c>
      <c r="AE5" s="1">
        <v>1.0300000000000001E-10</v>
      </c>
      <c r="AF5" s="3">
        <v>0</v>
      </c>
      <c r="AG5" s="16">
        <v>0</v>
      </c>
      <c r="AH5">
        <f t="shared" si="6"/>
        <v>0</v>
      </c>
      <c r="AJ5" s="1">
        <v>1.0300000000000001E-10</v>
      </c>
      <c r="AK5" s="3">
        <v>0</v>
      </c>
      <c r="AL5" s="16">
        <v>5.3069281904089299E-2</v>
      </c>
      <c r="AM5">
        <f t="shared" si="7"/>
        <v>0</v>
      </c>
      <c r="AO5" s="1">
        <v>1.0300000000000001E-10</v>
      </c>
      <c r="AP5" s="3">
        <v>0</v>
      </c>
      <c r="AQ5" s="16">
        <v>7.0031598035335001E-4</v>
      </c>
      <c r="AR5">
        <f t="shared" si="8"/>
        <v>0</v>
      </c>
      <c r="AT5" s="1">
        <v>1.0300000000000001E-10</v>
      </c>
      <c r="AU5" s="3">
        <v>0</v>
      </c>
      <c r="AV5" s="16">
        <v>0</v>
      </c>
      <c r="AW5">
        <f t="shared" si="9"/>
        <v>0</v>
      </c>
    </row>
    <row r="6" spans="1:49" x14ac:dyDescent="0.3">
      <c r="A6" s="1">
        <v>2.7900000000000002E-10</v>
      </c>
      <c r="B6" s="16">
        <v>0</v>
      </c>
      <c r="C6" s="16">
        <v>0.219521517702085</v>
      </c>
      <c r="D6">
        <f t="shared" si="0"/>
        <v>0</v>
      </c>
      <c r="F6" s="1">
        <v>2.7900000000000002E-10</v>
      </c>
      <c r="G6" s="3">
        <v>0</v>
      </c>
      <c r="H6" s="16">
        <v>0</v>
      </c>
      <c r="I6" s="16">
        <f t="shared" si="1"/>
        <v>0</v>
      </c>
      <c r="K6" s="1">
        <v>2.7900000000000002E-10</v>
      </c>
      <c r="L6" s="3">
        <v>0</v>
      </c>
      <c r="M6" s="16">
        <v>0</v>
      </c>
      <c r="N6">
        <f t="shared" si="2"/>
        <v>0</v>
      </c>
      <c r="O6" s="17"/>
      <c r="P6" s="1">
        <v>2.7900000000000002E-10</v>
      </c>
      <c r="Q6" s="3">
        <v>0</v>
      </c>
      <c r="R6" s="16">
        <v>0</v>
      </c>
      <c r="S6">
        <f t="shared" si="3"/>
        <v>0</v>
      </c>
      <c r="U6" s="1">
        <v>2.7900000000000002E-10</v>
      </c>
      <c r="V6" s="3">
        <v>0</v>
      </c>
      <c r="W6" s="16">
        <v>0</v>
      </c>
      <c r="X6">
        <f t="shared" si="4"/>
        <v>0</v>
      </c>
      <c r="Z6" s="1">
        <v>2.7900000000000002E-10</v>
      </c>
      <c r="AA6" s="3">
        <v>0</v>
      </c>
      <c r="AB6" s="16">
        <v>0</v>
      </c>
      <c r="AC6">
        <f t="shared" si="5"/>
        <v>0</v>
      </c>
      <c r="AE6" s="1">
        <v>2.7900000000000002E-10</v>
      </c>
      <c r="AF6" s="3">
        <v>0</v>
      </c>
      <c r="AG6" s="16">
        <v>0</v>
      </c>
      <c r="AH6">
        <f t="shared" si="6"/>
        <v>0</v>
      </c>
      <c r="AJ6" s="1">
        <v>2.7900000000000002E-10</v>
      </c>
      <c r="AK6" s="3">
        <v>0</v>
      </c>
      <c r="AL6" s="16">
        <v>3.2500677628764199E-2</v>
      </c>
      <c r="AM6">
        <f t="shared" si="7"/>
        <v>0</v>
      </c>
      <c r="AO6" s="1">
        <v>2.7900000000000002E-10</v>
      </c>
      <c r="AP6" s="3">
        <v>0</v>
      </c>
      <c r="AQ6" s="16">
        <v>4.2888840336250501E-4</v>
      </c>
      <c r="AR6">
        <f t="shared" si="8"/>
        <v>0</v>
      </c>
      <c r="AT6" s="1">
        <v>2.7900000000000002E-10</v>
      </c>
      <c r="AU6" s="3">
        <v>0</v>
      </c>
      <c r="AV6" s="16">
        <v>0</v>
      </c>
      <c r="AW6">
        <f t="shared" si="9"/>
        <v>0</v>
      </c>
    </row>
    <row r="7" spans="1:49" x14ac:dyDescent="0.3">
      <c r="A7" s="1">
        <v>7.5799999999999997E-10</v>
      </c>
      <c r="B7" s="16">
        <v>0</v>
      </c>
      <c r="C7" s="16">
        <v>0.13147263220915001</v>
      </c>
      <c r="D7">
        <f t="shared" si="0"/>
        <v>0</v>
      </c>
      <c r="F7" s="1">
        <v>7.5799999999999997E-10</v>
      </c>
      <c r="G7" s="3">
        <v>0</v>
      </c>
      <c r="H7" s="16">
        <v>0</v>
      </c>
      <c r="I7" s="16">
        <f t="shared" si="1"/>
        <v>0</v>
      </c>
      <c r="K7" s="1">
        <v>7.5799999999999997E-10</v>
      </c>
      <c r="L7" s="3">
        <v>0</v>
      </c>
      <c r="M7" s="16">
        <v>0</v>
      </c>
      <c r="N7">
        <f t="shared" si="2"/>
        <v>0</v>
      </c>
      <c r="O7" s="17"/>
      <c r="P7" s="1">
        <v>7.5799999999999997E-10</v>
      </c>
      <c r="Q7" s="3">
        <v>0</v>
      </c>
      <c r="R7" s="16">
        <v>0</v>
      </c>
      <c r="S7">
        <f t="shared" si="3"/>
        <v>0</v>
      </c>
      <c r="U7" s="1">
        <v>7.5799999999999997E-10</v>
      </c>
      <c r="V7" s="3">
        <v>0</v>
      </c>
      <c r="W7" s="16">
        <v>0</v>
      </c>
      <c r="X7">
        <f t="shared" si="4"/>
        <v>0</v>
      </c>
      <c r="Z7" s="1">
        <v>7.5799999999999997E-10</v>
      </c>
      <c r="AA7" s="3">
        <v>0</v>
      </c>
      <c r="AB7" s="16">
        <v>0</v>
      </c>
      <c r="AC7">
        <f t="shared" si="5"/>
        <v>0</v>
      </c>
      <c r="AE7" s="1">
        <v>7.5799999999999997E-10</v>
      </c>
      <c r="AF7" s="3">
        <v>0</v>
      </c>
      <c r="AG7" s="16">
        <v>0</v>
      </c>
      <c r="AH7">
        <f t="shared" si="6"/>
        <v>0</v>
      </c>
      <c r="AJ7" s="1">
        <v>7.5799999999999997E-10</v>
      </c>
      <c r="AK7" s="3">
        <v>0</v>
      </c>
      <c r="AL7" s="16">
        <v>1.9462650452741901E-2</v>
      </c>
      <c r="AM7">
        <f t="shared" si="7"/>
        <v>0</v>
      </c>
      <c r="AO7" s="1">
        <v>7.5799999999999997E-10</v>
      </c>
      <c r="AP7" s="3">
        <v>0</v>
      </c>
      <c r="AQ7" s="16">
        <v>2.5683705155672801E-4</v>
      </c>
      <c r="AR7">
        <f t="shared" si="8"/>
        <v>0</v>
      </c>
      <c r="AT7" s="1">
        <v>7.5799999999999997E-10</v>
      </c>
      <c r="AU7" s="3">
        <v>0</v>
      </c>
      <c r="AV7" s="16">
        <v>0</v>
      </c>
      <c r="AW7">
        <f t="shared" si="9"/>
        <v>0</v>
      </c>
    </row>
    <row r="8" spans="1:49" x14ac:dyDescent="0.3">
      <c r="A8" s="1">
        <v>2.0599999999999999E-9</v>
      </c>
      <c r="B8" s="16">
        <v>767.279</v>
      </c>
      <c r="C8" s="16">
        <v>7.8425803381526396E-2</v>
      </c>
      <c r="D8">
        <f t="shared" si="0"/>
        <v>60.174471992774194</v>
      </c>
      <c r="F8" s="1">
        <v>2.0599999999999999E-9</v>
      </c>
      <c r="G8" s="3">
        <v>767.279</v>
      </c>
      <c r="H8" s="16">
        <v>0</v>
      </c>
      <c r="I8" s="16">
        <f t="shared" si="1"/>
        <v>0</v>
      </c>
      <c r="K8" s="1">
        <v>2.0599999999999999E-9</v>
      </c>
      <c r="L8" s="3">
        <v>767.279</v>
      </c>
      <c r="M8" s="16">
        <v>0</v>
      </c>
      <c r="N8">
        <f t="shared" si="2"/>
        <v>0</v>
      </c>
      <c r="O8" s="17"/>
      <c r="P8" s="1">
        <v>2.0599999999999999E-9</v>
      </c>
      <c r="Q8" s="3">
        <v>767.279</v>
      </c>
      <c r="R8" s="16">
        <v>0</v>
      </c>
      <c r="S8">
        <f t="shared" si="3"/>
        <v>0</v>
      </c>
      <c r="U8" s="1">
        <v>2.0599999999999999E-9</v>
      </c>
      <c r="V8" s="3">
        <v>767.279</v>
      </c>
      <c r="W8" s="16">
        <v>0</v>
      </c>
      <c r="X8">
        <f t="shared" si="4"/>
        <v>0</v>
      </c>
      <c r="Z8" s="1">
        <v>2.0599999999999999E-9</v>
      </c>
      <c r="AA8" s="3">
        <v>767.279</v>
      </c>
      <c r="AB8" s="16">
        <v>0</v>
      </c>
      <c r="AC8">
        <f t="shared" si="5"/>
        <v>0</v>
      </c>
      <c r="AE8" s="1">
        <v>2.0599999999999999E-9</v>
      </c>
      <c r="AF8" s="3">
        <v>767.279</v>
      </c>
      <c r="AG8" s="16">
        <v>0</v>
      </c>
      <c r="AH8">
        <f t="shared" si="6"/>
        <v>0</v>
      </c>
      <c r="AJ8" s="1">
        <v>2.0599999999999999E-9</v>
      </c>
      <c r="AK8" s="3">
        <v>767.279</v>
      </c>
      <c r="AL8" s="16">
        <v>1.16061634746482E-2</v>
      </c>
      <c r="AM8">
        <f t="shared" si="7"/>
        <v>8.9051655046645966</v>
      </c>
      <c r="AO8" s="1">
        <v>2.0599999999999999E-9</v>
      </c>
      <c r="AP8" s="3">
        <v>767.279</v>
      </c>
      <c r="AQ8" s="16">
        <v>1.5316318531427101E-4</v>
      </c>
      <c r="AR8">
        <f t="shared" si="8"/>
        <v>0.11751889566474855</v>
      </c>
      <c r="AT8" s="1">
        <v>2.0599999999999999E-9</v>
      </c>
      <c r="AU8" s="3">
        <v>767.279</v>
      </c>
      <c r="AV8" s="16">
        <v>0</v>
      </c>
      <c r="AW8">
        <f t="shared" si="9"/>
        <v>0</v>
      </c>
    </row>
    <row r="9" spans="1:49" x14ac:dyDescent="0.3">
      <c r="A9" s="1">
        <v>5.5999999999999997E-9</v>
      </c>
      <c r="B9" s="16">
        <v>1662.51</v>
      </c>
      <c r="C9" s="16">
        <v>4.8068048988710199E-2</v>
      </c>
      <c r="D9">
        <f t="shared" si="0"/>
        <v>79.913612124220592</v>
      </c>
      <c r="F9" s="1">
        <v>5.5999999999999997E-9</v>
      </c>
      <c r="G9" s="3">
        <v>1662.51</v>
      </c>
      <c r="H9" s="16">
        <v>0</v>
      </c>
      <c r="I9" s="16">
        <f t="shared" si="1"/>
        <v>0</v>
      </c>
      <c r="K9" s="1">
        <v>5.5999999999999997E-9</v>
      </c>
      <c r="L9" s="3">
        <v>1662.51</v>
      </c>
      <c r="M9" s="16">
        <v>0</v>
      </c>
      <c r="N9">
        <f t="shared" si="2"/>
        <v>0</v>
      </c>
      <c r="O9" s="17"/>
      <c r="P9" s="1">
        <v>5.5999999999999997E-9</v>
      </c>
      <c r="Q9" s="3">
        <v>1662.51</v>
      </c>
      <c r="R9" s="16">
        <v>0</v>
      </c>
      <c r="S9">
        <f t="shared" si="3"/>
        <v>0</v>
      </c>
      <c r="U9" s="1">
        <v>5.5999999999999997E-9</v>
      </c>
      <c r="V9" s="3">
        <v>1662.51</v>
      </c>
      <c r="W9" s="16">
        <v>0</v>
      </c>
      <c r="X9">
        <f t="shared" si="4"/>
        <v>0</v>
      </c>
      <c r="Z9" s="1">
        <v>5.5999999999999997E-9</v>
      </c>
      <c r="AA9" s="3">
        <v>1662.51</v>
      </c>
      <c r="AB9" s="16">
        <v>0</v>
      </c>
      <c r="AC9">
        <f t="shared" si="5"/>
        <v>0</v>
      </c>
      <c r="AE9" s="1">
        <v>5.5999999999999997E-9</v>
      </c>
      <c r="AF9" s="3">
        <v>1662.51</v>
      </c>
      <c r="AG9" s="16">
        <v>0</v>
      </c>
      <c r="AH9">
        <f t="shared" si="6"/>
        <v>0</v>
      </c>
      <c r="AJ9" s="1">
        <v>5.5999999999999997E-9</v>
      </c>
      <c r="AK9" s="3">
        <v>1662.51</v>
      </c>
      <c r="AL9" s="16">
        <v>7.1076524375727999E-3</v>
      </c>
      <c r="AM9">
        <f t="shared" si="7"/>
        <v>11.816543253989156</v>
      </c>
      <c r="AO9" s="1">
        <v>5.5999999999999997E-9</v>
      </c>
      <c r="AP9" s="3">
        <v>1662.51</v>
      </c>
      <c r="AQ9" s="17">
        <v>9.3802658053527895E-5</v>
      </c>
      <c r="AR9">
        <f t="shared" si="8"/>
        <v>0.15594785704057065</v>
      </c>
      <c r="AT9" s="1">
        <v>5.5999999999999997E-9</v>
      </c>
      <c r="AU9" s="3">
        <v>1662.51</v>
      </c>
      <c r="AV9" s="16">
        <v>0</v>
      </c>
      <c r="AW9">
        <f t="shared" si="9"/>
        <v>0</v>
      </c>
    </row>
    <row r="10" spans="1:49" x14ac:dyDescent="0.3">
      <c r="A10" s="1">
        <v>1.52E-8</v>
      </c>
      <c r="B10" s="16">
        <v>6194.83</v>
      </c>
      <c r="C10" s="16">
        <v>2.9502587244940499E-2</v>
      </c>
      <c r="D10">
        <f t="shared" si="0"/>
        <v>182.76351254257474</v>
      </c>
      <c r="F10" s="1">
        <v>1.52E-8</v>
      </c>
      <c r="G10" s="3">
        <v>6194.83</v>
      </c>
      <c r="H10" s="16">
        <v>0</v>
      </c>
      <c r="I10" s="16">
        <f t="shared" si="1"/>
        <v>0</v>
      </c>
      <c r="K10" s="1">
        <v>1.52E-8</v>
      </c>
      <c r="L10" s="3">
        <v>6194.83</v>
      </c>
      <c r="M10" s="16">
        <v>0</v>
      </c>
      <c r="N10">
        <f t="shared" si="2"/>
        <v>0</v>
      </c>
      <c r="O10" s="17"/>
      <c r="P10" s="1">
        <v>1.52E-8</v>
      </c>
      <c r="Q10" s="3">
        <v>6194.83</v>
      </c>
      <c r="R10" s="16">
        <v>0</v>
      </c>
      <c r="S10">
        <f t="shared" si="3"/>
        <v>0</v>
      </c>
      <c r="U10" s="1">
        <v>1.52E-8</v>
      </c>
      <c r="V10" s="3">
        <v>6194.83</v>
      </c>
      <c r="W10" s="16">
        <v>0</v>
      </c>
      <c r="X10">
        <f t="shared" si="4"/>
        <v>0</v>
      </c>
      <c r="Z10" s="1">
        <v>1.52E-8</v>
      </c>
      <c r="AA10" s="3">
        <v>6194.83</v>
      </c>
      <c r="AB10" s="16">
        <v>0</v>
      </c>
      <c r="AC10">
        <f t="shared" si="5"/>
        <v>0</v>
      </c>
      <c r="AE10" s="1">
        <v>1.52E-8</v>
      </c>
      <c r="AF10" s="3">
        <v>6194.83</v>
      </c>
      <c r="AG10" s="16">
        <v>0</v>
      </c>
      <c r="AH10">
        <f t="shared" si="6"/>
        <v>0</v>
      </c>
      <c r="AJ10" s="1">
        <v>1.52E-8</v>
      </c>
      <c r="AK10" s="3">
        <v>6194.83</v>
      </c>
      <c r="AL10" s="16">
        <v>4.3527575366877902E-3</v>
      </c>
      <c r="AM10">
        <f t="shared" si="7"/>
        <v>26.964592970999622</v>
      </c>
      <c r="AO10" s="1">
        <v>1.52E-8</v>
      </c>
      <c r="AP10" s="3">
        <v>6194.83</v>
      </c>
      <c r="AQ10" s="17">
        <v>5.7450799488148299E-5</v>
      </c>
      <c r="AR10">
        <f t="shared" si="8"/>
        <v>0.35589793619316573</v>
      </c>
      <c r="AT10" s="1">
        <v>1.52E-8</v>
      </c>
      <c r="AU10" s="3">
        <v>6194.83</v>
      </c>
      <c r="AV10" s="16">
        <v>0</v>
      </c>
      <c r="AW10">
        <f t="shared" si="9"/>
        <v>0</v>
      </c>
    </row>
    <row r="11" spans="1:49" x14ac:dyDescent="0.3">
      <c r="A11" s="1">
        <v>4.14E-8</v>
      </c>
      <c r="B11" s="16">
        <v>29258.799999999999</v>
      </c>
      <c r="C11" s="16">
        <v>1.7801228584976E-2</v>
      </c>
      <c r="D11">
        <f t="shared" si="0"/>
        <v>520.84258692209573</v>
      </c>
      <c r="F11" s="1">
        <v>4.14E-8</v>
      </c>
      <c r="G11" s="3">
        <v>29258.799999999999</v>
      </c>
      <c r="H11" s="16">
        <v>0</v>
      </c>
      <c r="I11" s="16">
        <f t="shared" si="1"/>
        <v>0</v>
      </c>
      <c r="K11" s="1">
        <v>4.14E-8</v>
      </c>
      <c r="L11" s="3">
        <v>29258.799999999999</v>
      </c>
      <c r="M11" s="16">
        <v>0</v>
      </c>
      <c r="N11">
        <f t="shared" si="2"/>
        <v>0</v>
      </c>
      <c r="O11" s="17"/>
      <c r="P11" s="1">
        <v>4.14E-8</v>
      </c>
      <c r="Q11" s="3">
        <v>29258.799999999999</v>
      </c>
      <c r="R11" s="16">
        <v>0</v>
      </c>
      <c r="S11">
        <f t="shared" si="3"/>
        <v>0</v>
      </c>
      <c r="U11" s="1">
        <v>4.14E-8</v>
      </c>
      <c r="V11" s="3">
        <v>29258.799999999999</v>
      </c>
      <c r="W11" s="16">
        <v>0</v>
      </c>
      <c r="X11">
        <f t="shared" si="4"/>
        <v>0</v>
      </c>
      <c r="Z11" s="1">
        <v>4.14E-8</v>
      </c>
      <c r="AA11" s="3">
        <v>29258.799999999999</v>
      </c>
      <c r="AB11" s="16">
        <v>0</v>
      </c>
      <c r="AC11">
        <f t="shared" si="5"/>
        <v>0</v>
      </c>
      <c r="AE11" s="1">
        <v>4.14E-8</v>
      </c>
      <c r="AF11" s="3">
        <v>29258.799999999999</v>
      </c>
      <c r="AG11" s="16">
        <v>0</v>
      </c>
      <c r="AH11">
        <f t="shared" si="6"/>
        <v>0</v>
      </c>
      <c r="AJ11" s="1">
        <v>4.14E-8</v>
      </c>
      <c r="AK11" s="3">
        <v>29258.799999999999</v>
      </c>
      <c r="AL11" s="16">
        <v>2.6107509620851501E-3</v>
      </c>
      <c r="AM11">
        <f t="shared" si="7"/>
        <v>76.387440249456986</v>
      </c>
      <c r="AO11" s="1">
        <v>4.14E-8</v>
      </c>
      <c r="AP11" s="3">
        <v>29258.799999999999</v>
      </c>
      <c r="AQ11" s="17">
        <v>3.4467620419099498E-5</v>
      </c>
      <c r="AR11">
        <f t="shared" si="8"/>
        <v>1.0084812123183484</v>
      </c>
      <c r="AT11" s="1">
        <v>4.14E-8</v>
      </c>
      <c r="AU11" s="3">
        <v>29258.799999999999</v>
      </c>
      <c r="AV11" s="16">
        <v>0</v>
      </c>
      <c r="AW11">
        <f t="shared" si="9"/>
        <v>0</v>
      </c>
    </row>
    <row r="12" spans="1:49" x14ac:dyDescent="0.3">
      <c r="A12" s="1">
        <v>1.1300000000000001E-7</v>
      </c>
      <c r="B12" s="16">
        <v>59368.7</v>
      </c>
      <c r="C12" s="16">
        <v>1.1029390890467301E-2</v>
      </c>
      <c r="D12">
        <f t="shared" si="0"/>
        <v>654.80059895888598</v>
      </c>
      <c r="F12" s="1">
        <v>1.1300000000000001E-7</v>
      </c>
      <c r="G12" s="3">
        <v>59368.7</v>
      </c>
      <c r="H12" s="16">
        <v>0</v>
      </c>
      <c r="I12" s="16">
        <f t="shared" si="1"/>
        <v>0</v>
      </c>
      <c r="K12" s="1">
        <v>1.1300000000000001E-7</v>
      </c>
      <c r="L12" s="3">
        <v>59368.7</v>
      </c>
      <c r="M12" s="16">
        <v>0</v>
      </c>
      <c r="N12">
        <f t="shared" si="2"/>
        <v>0</v>
      </c>
      <c r="O12" s="17"/>
      <c r="P12" s="1">
        <v>1.1300000000000001E-7</v>
      </c>
      <c r="Q12" s="3">
        <v>59368.7</v>
      </c>
      <c r="R12" s="16">
        <v>0</v>
      </c>
      <c r="S12">
        <f t="shared" si="3"/>
        <v>0</v>
      </c>
      <c r="U12" s="1">
        <v>1.1300000000000001E-7</v>
      </c>
      <c r="V12" s="3">
        <v>59368.7</v>
      </c>
      <c r="W12" s="16">
        <v>0</v>
      </c>
      <c r="X12">
        <f t="shared" si="4"/>
        <v>0</v>
      </c>
      <c r="Z12" s="1">
        <v>1.1300000000000001E-7</v>
      </c>
      <c r="AA12" s="3">
        <v>59368.7</v>
      </c>
      <c r="AB12" s="16">
        <v>0</v>
      </c>
      <c r="AC12">
        <f t="shared" si="5"/>
        <v>0</v>
      </c>
      <c r="AE12" s="1">
        <v>1.1300000000000001E-7</v>
      </c>
      <c r="AF12" s="3">
        <v>59368.7</v>
      </c>
      <c r="AG12" s="16">
        <v>0</v>
      </c>
      <c r="AH12">
        <f t="shared" si="6"/>
        <v>0</v>
      </c>
      <c r="AJ12" s="1">
        <v>1.1300000000000001E-7</v>
      </c>
      <c r="AK12" s="3">
        <v>59368.7</v>
      </c>
      <c r="AL12" s="16">
        <v>1.56237223162731E-3</v>
      </c>
      <c r="AM12">
        <f t="shared" si="7"/>
        <v>92.75600830781228</v>
      </c>
      <c r="AO12" s="1">
        <v>1.1300000000000001E-7</v>
      </c>
      <c r="AP12" s="3">
        <v>59368.7</v>
      </c>
      <c r="AQ12" s="17">
        <v>2.06305977575645E-5</v>
      </c>
      <c r="AR12">
        <f t="shared" si="8"/>
        <v>1.2248117690895195</v>
      </c>
      <c r="AT12" s="1">
        <v>1.1300000000000001E-7</v>
      </c>
      <c r="AU12" s="3">
        <v>59368.7</v>
      </c>
      <c r="AV12" s="16">
        <v>0</v>
      </c>
      <c r="AW12">
        <f t="shared" si="9"/>
        <v>0</v>
      </c>
    </row>
    <row r="13" spans="1:49" x14ac:dyDescent="0.3">
      <c r="A13" s="1">
        <v>3.0600000000000001E-7</v>
      </c>
      <c r="B13" s="16">
        <v>87786.6</v>
      </c>
      <c r="C13" s="16">
        <v>7.0425018730019603E-3</v>
      </c>
      <c r="D13">
        <f t="shared" si="0"/>
        <v>618.23729492447387</v>
      </c>
      <c r="F13" s="1">
        <v>3.0600000000000001E-7</v>
      </c>
      <c r="G13" s="3">
        <v>87786.6</v>
      </c>
      <c r="H13" s="16">
        <v>0</v>
      </c>
      <c r="I13" s="16">
        <f t="shared" si="1"/>
        <v>0</v>
      </c>
      <c r="K13" s="1">
        <v>3.0600000000000001E-7</v>
      </c>
      <c r="L13" s="3">
        <v>87786.6</v>
      </c>
      <c r="M13" s="16">
        <v>0</v>
      </c>
      <c r="N13">
        <f t="shared" si="2"/>
        <v>0</v>
      </c>
      <c r="O13" s="17"/>
      <c r="P13" s="1">
        <v>3.0600000000000001E-7</v>
      </c>
      <c r="Q13" s="3">
        <v>87786.6</v>
      </c>
      <c r="R13" s="16">
        <v>0</v>
      </c>
      <c r="S13">
        <f t="shared" si="3"/>
        <v>0</v>
      </c>
      <c r="U13" s="1">
        <v>3.0600000000000001E-7</v>
      </c>
      <c r="V13" s="3">
        <v>87786.6</v>
      </c>
      <c r="W13" s="16">
        <v>0</v>
      </c>
      <c r="X13">
        <f t="shared" si="4"/>
        <v>0</v>
      </c>
      <c r="Z13" s="1">
        <v>3.0600000000000001E-7</v>
      </c>
      <c r="AA13" s="3">
        <v>87786.6</v>
      </c>
      <c r="AB13" s="16">
        <v>0</v>
      </c>
      <c r="AC13">
        <f t="shared" si="5"/>
        <v>0</v>
      </c>
      <c r="AE13" s="1">
        <v>3.0600000000000001E-7</v>
      </c>
      <c r="AF13" s="3">
        <v>87786.6</v>
      </c>
      <c r="AG13" s="16">
        <v>0</v>
      </c>
      <c r="AH13">
        <f t="shared" si="6"/>
        <v>0</v>
      </c>
      <c r="AJ13" s="1">
        <v>3.0600000000000001E-7</v>
      </c>
      <c r="AK13" s="3">
        <v>87786.6</v>
      </c>
      <c r="AL13" s="16">
        <v>9.5691323884530095E-4</v>
      </c>
      <c r="AM13">
        <f t="shared" si="7"/>
        <v>84.004159733216909</v>
      </c>
      <c r="AO13" s="1">
        <v>3.0600000000000001E-7</v>
      </c>
      <c r="AP13" s="3">
        <v>87786.6</v>
      </c>
      <c r="AQ13" s="17">
        <v>1.26520567718397E-5</v>
      </c>
      <c r="AR13">
        <f t="shared" si="8"/>
        <v>1.1106810470067832</v>
      </c>
      <c r="AT13" s="1">
        <v>3.0600000000000001E-7</v>
      </c>
      <c r="AU13" s="3">
        <v>87786.6</v>
      </c>
      <c r="AV13" s="16">
        <v>0</v>
      </c>
      <c r="AW13">
        <f t="shared" si="9"/>
        <v>0</v>
      </c>
    </row>
    <row r="14" spans="1:49" x14ac:dyDescent="0.3">
      <c r="A14" s="1">
        <v>8.3200000000000004E-7</v>
      </c>
      <c r="B14" s="16">
        <v>138307</v>
      </c>
      <c r="C14" s="16">
        <v>4.8242872116651299E-3</v>
      </c>
      <c r="D14">
        <f t="shared" si="0"/>
        <v>667.23269138376907</v>
      </c>
      <c r="F14" s="1">
        <v>8.3200000000000004E-7</v>
      </c>
      <c r="G14" s="3">
        <v>138307</v>
      </c>
      <c r="H14" s="16">
        <v>0</v>
      </c>
      <c r="I14" s="16">
        <f t="shared" si="1"/>
        <v>0</v>
      </c>
      <c r="K14" s="1">
        <v>8.3200000000000004E-7</v>
      </c>
      <c r="L14" s="3">
        <v>138307</v>
      </c>
      <c r="M14" s="16">
        <v>0</v>
      </c>
      <c r="N14">
        <f t="shared" si="2"/>
        <v>0</v>
      </c>
      <c r="O14" s="17"/>
      <c r="P14" s="1">
        <v>8.3200000000000004E-7</v>
      </c>
      <c r="Q14" s="3">
        <v>138307</v>
      </c>
      <c r="R14" s="16">
        <v>0</v>
      </c>
      <c r="S14">
        <f t="shared" si="3"/>
        <v>0</v>
      </c>
      <c r="U14" s="1">
        <v>8.3200000000000004E-7</v>
      </c>
      <c r="V14" s="3">
        <v>138307</v>
      </c>
      <c r="W14" s="16">
        <v>0</v>
      </c>
      <c r="X14">
        <f t="shared" si="4"/>
        <v>0</v>
      </c>
      <c r="Z14" s="1">
        <v>8.3200000000000004E-7</v>
      </c>
      <c r="AA14" s="3">
        <v>138307</v>
      </c>
      <c r="AB14" s="16">
        <v>0</v>
      </c>
      <c r="AC14">
        <f t="shared" si="5"/>
        <v>0</v>
      </c>
      <c r="AE14" s="1">
        <v>8.3200000000000004E-7</v>
      </c>
      <c r="AF14" s="3">
        <v>138307</v>
      </c>
      <c r="AG14" s="16">
        <v>0</v>
      </c>
      <c r="AH14">
        <f t="shared" si="6"/>
        <v>0</v>
      </c>
      <c r="AJ14" s="1">
        <v>8.3200000000000004E-7</v>
      </c>
      <c r="AK14" s="3">
        <v>138307</v>
      </c>
      <c r="AL14" s="16">
        <v>5.8577418117187303E-4</v>
      </c>
      <c r="AM14">
        <f t="shared" si="7"/>
        <v>81.01666967533825</v>
      </c>
      <c r="AO14" s="1">
        <v>8.3200000000000004E-7</v>
      </c>
      <c r="AP14" s="3">
        <v>138307</v>
      </c>
      <c r="AQ14" s="17">
        <v>7.7770485683104895E-6</v>
      </c>
      <c r="AR14">
        <f t="shared" si="8"/>
        <v>1.0756202563373189</v>
      </c>
      <c r="AT14" s="1">
        <v>8.3200000000000004E-7</v>
      </c>
      <c r="AU14" s="3">
        <v>138307</v>
      </c>
      <c r="AV14" s="16">
        <v>0</v>
      </c>
      <c r="AW14">
        <f t="shared" si="9"/>
        <v>0</v>
      </c>
    </row>
    <row r="15" spans="1:49" x14ac:dyDescent="0.3">
      <c r="A15" s="1">
        <v>2.26E-6</v>
      </c>
      <c r="B15" s="16">
        <v>171267</v>
      </c>
      <c r="C15" s="16">
        <v>4.7116032244973998E-3</v>
      </c>
      <c r="D15">
        <f t="shared" si="0"/>
        <v>806.94214944999612</v>
      </c>
      <c r="F15" s="1">
        <v>2.26E-6</v>
      </c>
      <c r="G15" s="3">
        <v>171267</v>
      </c>
      <c r="H15" s="16">
        <v>0</v>
      </c>
      <c r="I15" s="16">
        <f t="shared" si="1"/>
        <v>0</v>
      </c>
      <c r="K15" s="1">
        <v>2.26E-6</v>
      </c>
      <c r="L15" s="3">
        <v>171267</v>
      </c>
      <c r="M15" s="16">
        <v>0</v>
      </c>
      <c r="N15">
        <f t="shared" si="2"/>
        <v>0</v>
      </c>
      <c r="O15" s="17"/>
      <c r="P15" s="1">
        <v>2.26E-6</v>
      </c>
      <c r="Q15" s="3">
        <v>171267</v>
      </c>
      <c r="R15" s="16">
        <v>0</v>
      </c>
      <c r="S15">
        <f t="shared" si="3"/>
        <v>0</v>
      </c>
      <c r="U15" s="1">
        <v>2.26E-6</v>
      </c>
      <c r="V15" s="3">
        <v>171267</v>
      </c>
      <c r="W15" s="16">
        <v>0</v>
      </c>
      <c r="X15">
        <f t="shared" si="4"/>
        <v>0</v>
      </c>
      <c r="Z15" s="1">
        <v>2.26E-6</v>
      </c>
      <c r="AA15" s="3">
        <v>171267</v>
      </c>
      <c r="AB15" s="16">
        <v>0</v>
      </c>
      <c r="AC15">
        <f t="shared" si="5"/>
        <v>0</v>
      </c>
      <c r="AE15" s="1">
        <v>2.26E-6</v>
      </c>
      <c r="AF15" s="3">
        <v>171267</v>
      </c>
      <c r="AG15" s="16">
        <v>0</v>
      </c>
      <c r="AH15">
        <f t="shared" si="6"/>
        <v>0</v>
      </c>
      <c r="AJ15" s="1">
        <v>2.26E-6</v>
      </c>
      <c r="AK15" s="3">
        <v>171267</v>
      </c>
      <c r="AL15" s="16">
        <v>3.5745602799484101E-4</v>
      </c>
      <c r="AM15">
        <f t="shared" si="7"/>
        <v>61.220421546592434</v>
      </c>
      <c r="AO15" s="1">
        <v>2.26E-6</v>
      </c>
      <c r="AP15" s="3">
        <v>171267</v>
      </c>
      <c r="AQ15" s="17">
        <v>4.8103721966586097E-6</v>
      </c>
      <c r="AR15">
        <f t="shared" si="8"/>
        <v>0.82385801500513012</v>
      </c>
      <c r="AT15" s="1">
        <v>2.26E-6</v>
      </c>
      <c r="AU15" s="3">
        <v>171267</v>
      </c>
      <c r="AV15" s="16">
        <v>0</v>
      </c>
      <c r="AW15">
        <f t="shared" si="9"/>
        <v>0</v>
      </c>
    </row>
    <row r="16" spans="1:49" x14ac:dyDescent="0.3">
      <c r="A16" s="1">
        <v>1.6699999999999999E-5</v>
      </c>
      <c r="B16" s="16">
        <v>270842</v>
      </c>
      <c r="C16" s="16">
        <v>0.62191083722989104</v>
      </c>
      <c r="D16">
        <f t="shared" si="0"/>
        <v>168439.57497701814</v>
      </c>
      <c r="F16" s="1">
        <v>1.6699999999999999E-5</v>
      </c>
      <c r="G16" s="3">
        <v>270842</v>
      </c>
      <c r="H16" s="16">
        <v>0</v>
      </c>
      <c r="I16" s="16">
        <f t="shared" si="1"/>
        <v>0</v>
      </c>
      <c r="K16" s="1">
        <v>1.6699999999999999E-5</v>
      </c>
      <c r="L16" s="3">
        <v>270842</v>
      </c>
      <c r="M16" s="16">
        <v>0</v>
      </c>
      <c r="N16">
        <f t="shared" si="2"/>
        <v>0</v>
      </c>
      <c r="O16" s="17"/>
      <c r="P16" s="1">
        <v>1.6699999999999999E-5</v>
      </c>
      <c r="Q16" s="3">
        <v>270842</v>
      </c>
      <c r="R16" s="16">
        <v>0</v>
      </c>
      <c r="S16">
        <f t="shared" si="3"/>
        <v>0</v>
      </c>
      <c r="U16" s="1">
        <v>1.6699999999999999E-5</v>
      </c>
      <c r="V16" s="3">
        <v>270842</v>
      </c>
      <c r="W16" s="16">
        <v>0</v>
      </c>
      <c r="X16">
        <f t="shared" si="4"/>
        <v>0</v>
      </c>
      <c r="Z16" s="1">
        <v>1.6699999999999999E-5</v>
      </c>
      <c r="AA16" s="3">
        <v>270842</v>
      </c>
      <c r="AB16" s="16">
        <v>0</v>
      </c>
      <c r="AC16">
        <f t="shared" si="5"/>
        <v>0</v>
      </c>
      <c r="AE16" s="1">
        <v>1.6699999999999999E-5</v>
      </c>
      <c r="AF16" s="3">
        <v>270842</v>
      </c>
      <c r="AG16" s="16">
        <v>0</v>
      </c>
      <c r="AH16">
        <f t="shared" si="6"/>
        <v>0</v>
      </c>
      <c r="AJ16" s="1">
        <v>1.6699999999999999E-5</v>
      </c>
      <c r="AK16" s="3">
        <v>270842</v>
      </c>
      <c r="AL16" s="16">
        <v>1.7378534541163799E-4</v>
      </c>
      <c r="AM16">
        <f t="shared" si="7"/>
        <v>47.068370521978856</v>
      </c>
      <c r="AO16" s="1">
        <v>1.6699999999999999E-5</v>
      </c>
      <c r="AP16" s="3">
        <v>270842</v>
      </c>
      <c r="AQ16" s="17">
        <v>2.5085206087455E-6</v>
      </c>
      <c r="AR16">
        <f t="shared" si="8"/>
        <v>0.67941273871384866</v>
      </c>
      <c r="AT16" s="1">
        <v>1.6699999999999999E-5</v>
      </c>
      <c r="AU16" s="3">
        <v>270842</v>
      </c>
      <c r="AV16" s="16">
        <v>0</v>
      </c>
      <c r="AW16">
        <f t="shared" si="9"/>
        <v>0</v>
      </c>
    </row>
    <row r="17" spans="1:49" x14ac:dyDescent="0.3">
      <c r="A17" s="1">
        <v>4.5399999999999999E-5</v>
      </c>
      <c r="B17" s="16">
        <v>62810.6</v>
      </c>
      <c r="C17" s="17">
        <v>8.0030904916698396E-5</v>
      </c>
      <c r="D17">
        <f t="shared" si="0"/>
        <v>5.0267891563607758</v>
      </c>
      <c r="F17" s="1">
        <v>4.5399999999999999E-5</v>
      </c>
      <c r="G17" s="3">
        <v>62810.6</v>
      </c>
      <c r="H17" s="16">
        <v>0</v>
      </c>
      <c r="I17" s="17">
        <f t="shared" si="1"/>
        <v>0</v>
      </c>
      <c r="K17" s="1">
        <v>4.5399999999999999E-5</v>
      </c>
      <c r="L17" s="3">
        <v>62810.6</v>
      </c>
      <c r="M17" s="16">
        <v>0</v>
      </c>
      <c r="N17">
        <f t="shared" si="2"/>
        <v>0</v>
      </c>
      <c r="O17" s="17"/>
      <c r="P17" s="1">
        <v>4.5399999999999999E-5</v>
      </c>
      <c r="Q17" s="3">
        <v>62810.6</v>
      </c>
      <c r="R17" s="16">
        <v>0</v>
      </c>
      <c r="S17">
        <f t="shared" si="3"/>
        <v>0</v>
      </c>
      <c r="U17" s="1">
        <v>4.5399999999999999E-5</v>
      </c>
      <c r="V17" s="3">
        <v>62810.6</v>
      </c>
      <c r="W17" s="16">
        <v>0</v>
      </c>
      <c r="X17">
        <f t="shared" si="4"/>
        <v>0</v>
      </c>
      <c r="Z17" s="1">
        <v>4.5399999999999999E-5</v>
      </c>
      <c r="AA17" s="3">
        <v>62810.6</v>
      </c>
      <c r="AB17" s="16">
        <v>0</v>
      </c>
      <c r="AC17">
        <f t="shared" si="5"/>
        <v>0</v>
      </c>
      <c r="AE17" s="1">
        <v>4.5399999999999999E-5</v>
      </c>
      <c r="AF17" s="3">
        <v>62810.6</v>
      </c>
      <c r="AG17" s="16">
        <v>0</v>
      </c>
      <c r="AH17">
        <f t="shared" si="6"/>
        <v>0</v>
      </c>
      <c r="AJ17" s="1">
        <v>4.5399999999999999E-5</v>
      </c>
      <c r="AK17" s="3">
        <v>62810.6</v>
      </c>
      <c r="AL17" s="17">
        <v>8.1232448218771395E-5</v>
      </c>
      <c r="AM17">
        <f t="shared" si="7"/>
        <v>5.1022588120899623</v>
      </c>
      <c r="AO17" s="1">
        <v>4.5399999999999999E-5</v>
      </c>
      <c r="AP17" s="3">
        <v>62810.6</v>
      </c>
      <c r="AQ17" s="17">
        <v>1.55929610819469E-6</v>
      </c>
      <c r="AR17">
        <f t="shared" si="8"/>
        <v>9.7940324133373391E-2</v>
      </c>
      <c r="AT17" s="1">
        <v>4.5399999999999999E-5</v>
      </c>
      <c r="AU17" s="3">
        <v>62810.6</v>
      </c>
      <c r="AV17" s="16">
        <v>0</v>
      </c>
      <c r="AW17">
        <f t="shared" si="9"/>
        <v>0</v>
      </c>
    </row>
    <row r="18" spans="1:49" x14ac:dyDescent="0.3">
      <c r="A18" s="1">
        <v>1.2300000000000001E-4</v>
      </c>
      <c r="B18" s="16">
        <v>33876.1</v>
      </c>
      <c r="C18" s="16">
        <v>2.4672994204841502E-2</v>
      </c>
      <c r="D18">
        <f t="shared" si="0"/>
        <v>835.8248189826312</v>
      </c>
      <c r="F18" s="1">
        <v>1.2300000000000001E-4</v>
      </c>
      <c r="G18" s="3">
        <v>33876.1</v>
      </c>
      <c r="H18" s="16">
        <v>0</v>
      </c>
      <c r="I18" s="17">
        <f t="shared" si="1"/>
        <v>0</v>
      </c>
      <c r="K18" s="1">
        <v>1.2300000000000001E-4</v>
      </c>
      <c r="L18" s="3">
        <v>33876.1</v>
      </c>
      <c r="M18" s="16">
        <v>0</v>
      </c>
      <c r="N18">
        <f t="shared" si="2"/>
        <v>0</v>
      </c>
      <c r="O18" s="17"/>
      <c r="P18" s="1">
        <v>1.2300000000000001E-4</v>
      </c>
      <c r="Q18" s="3">
        <v>33876.1</v>
      </c>
      <c r="R18" s="16">
        <v>0</v>
      </c>
      <c r="S18">
        <f t="shared" si="3"/>
        <v>0</v>
      </c>
      <c r="U18" s="1">
        <v>1.2300000000000001E-4</v>
      </c>
      <c r="V18" s="3">
        <v>33876.1</v>
      </c>
      <c r="W18" s="16">
        <v>0</v>
      </c>
      <c r="X18">
        <f t="shared" si="4"/>
        <v>0</v>
      </c>
      <c r="Z18" s="1">
        <v>1.2300000000000001E-4</v>
      </c>
      <c r="AA18" s="3">
        <v>33876.1</v>
      </c>
      <c r="AB18" s="16">
        <v>0</v>
      </c>
      <c r="AC18">
        <f t="shared" si="5"/>
        <v>0</v>
      </c>
      <c r="AE18" s="1">
        <v>1.2300000000000001E-4</v>
      </c>
      <c r="AF18" s="3">
        <v>33876.1</v>
      </c>
      <c r="AG18" s="16">
        <v>0</v>
      </c>
      <c r="AH18">
        <f t="shared" si="6"/>
        <v>0</v>
      </c>
      <c r="AJ18" s="1">
        <v>1.2300000000000001E-4</v>
      </c>
      <c r="AK18" s="3">
        <v>33876.1</v>
      </c>
      <c r="AL18" s="17">
        <v>5.1770964846832801E-5</v>
      </c>
      <c r="AM18">
        <f t="shared" si="7"/>
        <v>1.7537983822477925</v>
      </c>
      <c r="AO18" s="1">
        <v>1.2300000000000001E-4</v>
      </c>
      <c r="AP18" s="3">
        <v>33876.1</v>
      </c>
      <c r="AQ18" s="17">
        <v>1.8301699010469E-5</v>
      </c>
      <c r="AR18">
        <f t="shared" si="8"/>
        <v>0.61999018584854892</v>
      </c>
      <c r="AT18" s="1">
        <v>1.2300000000000001E-4</v>
      </c>
      <c r="AU18" s="3">
        <v>33876.1</v>
      </c>
      <c r="AV18" s="16">
        <v>0</v>
      </c>
      <c r="AW18">
        <f t="shared" si="9"/>
        <v>0</v>
      </c>
    </row>
    <row r="19" spans="1:49" x14ac:dyDescent="0.3">
      <c r="A19" s="1">
        <v>3.3500000000000001E-4</v>
      </c>
      <c r="B19" s="16">
        <v>20201.900000000001</v>
      </c>
      <c r="C19" s="16">
        <v>9.0923987155206703E-3</v>
      </c>
      <c r="D19">
        <f t="shared" si="0"/>
        <v>183.68372961107704</v>
      </c>
      <c r="F19" s="1">
        <v>3.3500000000000001E-4</v>
      </c>
      <c r="G19" s="3">
        <v>20201.900000000001</v>
      </c>
      <c r="H19" s="16">
        <v>0</v>
      </c>
      <c r="I19" s="17">
        <f t="shared" si="1"/>
        <v>0</v>
      </c>
      <c r="K19" s="1">
        <v>3.3500000000000001E-4</v>
      </c>
      <c r="L19" s="3">
        <v>20201.900000000001</v>
      </c>
      <c r="M19" s="16">
        <v>0</v>
      </c>
      <c r="N19">
        <f t="shared" si="2"/>
        <v>0</v>
      </c>
      <c r="O19" s="17"/>
      <c r="P19" s="1">
        <v>3.3500000000000001E-4</v>
      </c>
      <c r="Q19" s="3">
        <v>20201.900000000001</v>
      </c>
      <c r="R19" s="16">
        <v>0</v>
      </c>
      <c r="S19">
        <f t="shared" si="3"/>
        <v>0</v>
      </c>
      <c r="U19" s="1">
        <v>3.3500000000000001E-4</v>
      </c>
      <c r="V19" s="3">
        <v>20201.900000000001</v>
      </c>
      <c r="W19" s="16">
        <v>0</v>
      </c>
      <c r="X19">
        <f t="shared" si="4"/>
        <v>0</v>
      </c>
      <c r="Z19" s="1">
        <v>3.3500000000000001E-4</v>
      </c>
      <c r="AA19" s="3">
        <v>20201.900000000001</v>
      </c>
      <c r="AB19" s="16">
        <v>0</v>
      </c>
      <c r="AC19">
        <f t="shared" si="5"/>
        <v>0</v>
      </c>
      <c r="AE19" s="1">
        <v>3.3500000000000001E-4</v>
      </c>
      <c r="AF19" s="3">
        <v>20201.900000000001</v>
      </c>
      <c r="AG19" s="16">
        <v>0</v>
      </c>
      <c r="AH19">
        <f t="shared" si="6"/>
        <v>0</v>
      </c>
      <c r="AJ19" s="1">
        <v>3.3500000000000001E-4</v>
      </c>
      <c r="AK19" s="3">
        <v>20201.900000000001</v>
      </c>
      <c r="AL19" s="17">
        <v>3.4974266253066098E-5</v>
      </c>
      <c r="AM19">
        <f t="shared" si="7"/>
        <v>0.7065466294178161</v>
      </c>
      <c r="AO19" s="1">
        <v>3.3500000000000001E-4</v>
      </c>
      <c r="AP19" s="3">
        <v>20201.900000000001</v>
      </c>
      <c r="AQ19" s="16">
        <v>1.4490151417557E-4</v>
      </c>
      <c r="AR19">
        <f t="shared" si="8"/>
        <v>2.9272858992234476</v>
      </c>
      <c r="AT19" s="1">
        <v>3.3500000000000001E-4</v>
      </c>
      <c r="AU19" s="3">
        <v>20201.900000000001</v>
      </c>
      <c r="AV19" s="16">
        <v>0</v>
      </c>
      <c r="AW19">
        <f t="shared" si="9"/>
        <v>0</v>
      </c>
    </row>
    <row r="20" spans="1:49" x14ac:dyDescent="0.3">
      <c r="A20" s="1">
        <v>9.1200000000000005E-4</v>
      </c>
      <c r="B20" s="16">
        <v>15891.9</v>
      </c>
      <c r="C20" s="16">
        <v>4.7600127127220499E-3</v>
      </c>
      <c r="D20">
        <f t="shared" si="0"/>
        <v>75.645646029307542</v>
      </c>
      <c r="F20" s="1">
        <v>9.1200000000000005E-4</v>
      </c>
      <c r="G20" s="3">
        <v>15891.9</v>
      </c>
      <c r="H20" s="16">
        <v>0</v>
      </c>
      <c r="I20" s="17">
        <f t="shared" si="1"/>
        <v>0</v>
      </c>
      <c r="K20" s="1">
        <v>9.1200000000000005E-4</v>
      </c>
      <c r="L20" s="3">
        <v>15891.9</v>
      </c>
      <c r="M20" s="16">
        <v>0</v>
      </c>
      <c r="N20">
        <f t="shared" si="2"/>
        <v>0</v>
      </c>
      <c r="O20" s="17"/>
      <c r="P20" s="1">
        <v>9.1200000000000005E-4</v>
      </c>
      <c r="Q20" s="3">
        <v>15891.9</v>
      </c>
      <c r="R20" s="16">
        <v>0</v>
      </c>
      <c r="S20">
        <f t="shared" si="3"/>
        <v>0</v>
      </c>
      <c r="U20" s="1">
        <v>9.1200000000000005E-4</v>
      </c>
      <c r="V20" s="3">
        <v>15891.9</v>
      </c>
      <c r="W20" s="16">
        <v>0</v>
      </c>
      <c r="X20">
        <f t="shared" si="4"/>
        <v>0</v>
      </c>
      <c r="Z20" s="1">
        <v>9.1200000000000005E-4</v>
      </c>
      <c r="AA20" s="3">
        <v>15891.9</v>
      </c>
      <c r="AB20" s="16">
        <v>0</v>
      </c>
      <c r="AC20">
        <f t="shared" si="5"/>
        <v>0</v>
      </c>
      <c r="AE20" s="1">
        <v>9.1200000000000005E-4</v>
      </c>
      <c r="AF20" s="3">
        <v>15891.9</v>
      </c>
      <c r="AG20" s="16">
        <v>0</v>
      </c>
      <c r="AH20">
        <f t="shared" si="6"/>
        <v>0</v>
      </c>
      <c r="AJ20" s="1">
        <v>9.1200000000000005E-4</v>
      </c>
      <c r="AK20" s="3">
        <v>15891.9</v>
      </c>
      <c r="AL20" s="17">
        <v>2.79145140059708E-5</v>
      </c>
      <c r="AM20">
        <f t="shared" si="7"/>
        <v>0.44361466513148734</v>
      </c>
      <c r="AO20" s="1">
        <v>9.1200000000000005E-4</v>
      </c>
      <c r="AP20" s="3">
        <v>15891.9</v>
      </c>
      <c r="AQ20" s="17">
        <v>7.5255537909542599E-8</v>
      </c>
      <c r="AR20">
        <f t="shared" si="8"/>
        <v>1.1959534829046601E-3</v>
      </c>
      <c r="AT20" s="1">
        <v>9.1200000000000005E-4</v>
      </c>
      <c r="AU20" s="3">
        <v>15891.9</v>
      </c>
      <c r="AV20" s="16">
        <v>0</v>
      </c>
      <c r="AW20">
        <f t="shared" si="9"/>
        <v>0</v>
      </c>
    </row>
    <row r="21" spans="1:49" x14ac:dyDescent="0.3">
      <c r="A21" s="1">
        <v>2.48E-3</v>
      </c>
      <c r="B21" s="16">
        <v>17188.5</v>
      </c>
      <c r="C21" s="16">
        <v>1.9607444074982001E-3</v>
      </c>
      <c r="D21">
        <f t="shared" si="0"/>
        <v>33.70225524828281</v>
      </c>
      <c r="F21" s="1">
        <v>2.48E-3</v>
      </c>
      <c r="G21" s="3">
        <v>17188.5</v>
      </c>
      <c r="H21" s="16">
        <v>0</v>
      </c>
      <c r="I21" s="17">
        <f t="shared" si="1"/>
        <v>0</v>
      </c>
      <c r="K21" s="1">
        <v>2.48E-3</v>
      </c>
      <c r="L21" s="3">
        <v>17188.5</v>
      </c>
      <c r="M21" s="16">
        <v>0</v>
      </c>
      <c r="N21">
        <f t="shared" si="2"/>
        <v>0</v>
      </c>
      <c r="O21" s="17"/>
      <c r="P21" s="1">
        <v>2.48E-3</v>
      </c>
      <c r="Q21" s="3">
        <v>17188.5</v>
      </c>
      <c r="R21" s="16">
        <v>0</v>
      </c>
      <c r="S21">
        <f t="shared" si="3"/>
        <v>0</v>
      </c>
      <c r="U21" s="1">
        <v>2.48E-3</v>
      </c>
      <c r="V21" s="3">
        <v>17188.5</v>
      </c>
      <c r="W21" s="16">
        <v>0</v>
      </c>
      <c r="X21">
        <f t="shared" si="4"/>
        <v>0</v>
      </c>
      <c r="Z21" s="1">
        <v>2.48E-3</v>
      </c>
      <c r="AA21" s="3">
        <v>17188.5</v>
      </c>
      <c r="AB21" s="16">
        <v>0</v>
      </c>
      <c r="AC21">
        <f t="shared" si="5"/>
        <v>0</v>
      </c>
      <c r="AE21" s="1">
        <v>2.48E-3</v>
      </c>
      <c r="AF21" s="3">
        <v>17188.5</v>
      </c>
      <c r="AG21" s="16">
        <v>0</v>
      </c>
      <c r="AH21">
        <f t="shared" si="6"/>
        <v>0</v>
      </c>
      <c r="AJ21" s="1">
        <v>2.48E-3</v>
      </c>
      <c r="AK21" s="3">
        <v>17188.5</v>
      </c>
      <c r="AL21" s="16">
        <v>1.4824710004447E-4</v>
      </c>
      <c r="AM21">
        <f t="shared" si="7"/>
        <v>2.5481452791143728</v>
      </c>
      <c r="AO21" s="1">
        <v>2.48E-3</v>
      </c>
      <c r="AP21" s="3">
        <v>17188.5</v>
      </c>
      <c r="AQ21" s="17">
        <v>4.9118465610855001E-7</v>
      </c>
      <c r="AR21">
        <f t="shared" si="8"/>
        <v>8.4427274615218127E-3</v>
      </c>
      <c r="AT21" s="1">
        <v>2.48E-3</v>
      </c>
      <c r="AU21" s="3">
        <v>17188.5</v>
      </c>
      <c r="AV21" s="16">
        <v>0</v>
      </c>
      <c r="AW21">
        <f t="shared" si="9"/>
        <v>0</v>
      </c>
    </row>
    <row r="22" spans="1:49" x14ac:dyDescent="0.3">
      <c r="A22" s="1">
        <v>6.7400000000000003E-3</v>
      </c>
      <c r="B22" s="16">
        <v>16219.4</v>
      </c>
      <c r="C22" s="16">
        <v>4.2125473644198501E-4</v>
      </c>
      <c r="D22">
        <f t="shared" si="0"/>
        <v>6.8324990722471313</v>
      </c>
      <c r="F22" s="1">
        <v>6.7400000000000003E-3</v>
      </c>
      <c r="G22" s="3">
        <v>16219.4</v>
      </c>
      <c r="H22" s="16">
        <v>0</v>
      </c>
      <c r="I22" s="17">
        <f t="shared" si="1"/>
        <v>0</v>
      </c>
      <c r="K22" s="1">
        <v>6.7400000000000003E-3</v>
      </c>
      <c r="L22" s="3">
        <v>16219.4</v>
      </c>
      <c r="M22" s="16">
        <v>0</v>
      </c>
      <c r="N22">
        <f t="shared" si="2"/>
        <v>0</v>
      </c>
      <c r="O22" s="17"/>
      <c r="P22" s="1">
        <v>6.7400000000000003E-3</v>
      </c>
      <c r="Q22" s="3">
        <v>16219.4</v>
      </c>
      <c r="R22" s="16">
        <v>0</v>
      </c>
      <c r="S22">
        <f t="shared" si="3"/>
        <v>0</v>
      </c>
      <c r="U22" s="1">
        <v>6.7400000000000003E-3</v>
      </c>
      <c r="V22" s="3">
        <v>16219.4</v>
      </c>
      <c r="W22" s="16">
        <v>0</v>
      </c>
      <c r="X22">
        <f t="shared" si="4"/>
        <v>0</v>
      </c>
      <c r="Z22" s="1">
        <v>6.7400000000000003E-3</v>
      </c>
      <c r="AA22" s="3">
        <v>16219.4</v>
      </c>
      <c r="AB22" s="16">
        <v>0</v>
      </c>
      <c r="AC22">
        <f t="shared" si="5"/>
        <v>0</v>
      </c>
      <c r="AE22" s="1">
        <v>6.7400000000000003E-3</v>
      </c>
      <c r="AF22" s="3">
        <v>16219.4</v>
      </c>
      <c r="AG22" s="16">
        <v>0</v>
      </c>
      <c r="AH22">
        <f t="shared" si="6"/>
        <v>0</v>
      </c>
      <c r="AJ22" s="1">
        <v>6.7400000000000003E-3</v>
      </c>
      <c r="AK22" s="3">
        <v>16219.4</v>
      </c>
      <c r="AL22" s="16">
        <v>4.1344672188772601E-4</v>
      </c>
      <c r="AM22">
        <f t="shared" si="7"/>
        <v>6.7058577609857828</v>
      </c>
      <c r="AO22" s="1">
        <v>6.7400000000000003E-3</v>
      </c>
      <c r="AP22" s="3">
        <v>16219.4</v>
      </c>
      <c r="AQ22" s="17">
        <v>1.4907794370730299E-6</v>
      </c>
      <c r="AR22">
        <f t="shared" si="8"/>
        <v>2.4179548001662301E-2</v>
      </c>
      <c r="AT22" s="1">
        <v>6.7400000000000003E-3</v>
      </c>
      <c r="AU22" s="3">
        <v>16219.4</v>
      </c>
      <c r="AV22" s="16">
        <v>0</v>
      </c>
      <c r="AW22">
        <f t="shared" si="9"/>
        <v>0</v>
      </c>
    </row>
    <row r="23" spans="1:49" x14ac:dyDescent="0.3">
      <c r="A23" s="1">
        <v>1.83E-2</v>
      </c>
      <c r="B23" s="16">
        <v>16839.099999999999</v>
      </c>
      <c r="C23" s="16">
        <v>2.0383068037426401E-4</v>
      </c>
      <c r="D23">
        <f t="shared" si="0"/>
        <v>3.4323252098902688</v>
      </c>
      <c r="F23" s="1">
        <v>1.83E-2</v>
      </c>
      <c r="G23" s="3">
        <v>16839.099999999999</v>
      </c>
      <c r="H23" s="16">
        <v>0</v>
      </c>
      <c r="I23" s="17">
        <f t="shared" si="1"/>
        <v>0</v>
      </c>
      <c r="K23" s="1">
        <v>1.83E-2</v>
      </c>
      <c r="L23" s="3">
        <v>16839.099999999999</v>
      </c>
      <c r="M23" s="16">
        <v>0</v>
      </c>
      <c r="N23">
        <f t="shared" si="2"/>
        <v>0</v>
      </c>
      <c r="O23" s="17"/>
      <c r="P23" s="1">
        <v>1.83E-2</v>
      </c>
      <c r="Q23" s="3">
        <v>16839.099999999999</v>
      </c>
      <c r="R23" s="16">
        <v>0</v>
      </c>
      <c r="S23">
        <f t="shared" si="3"/>
        <v>0</v>
      </c>
      <c r="U23" s="1">
        <v>1.83E-2</v>
      </c>
      <c r="V23" s="3">
        <v>16839.099999999999</v>
      </c>
      <c r="W23" s="16">
        <v>0</v>
      </c>
      <c r="X23">
        <f t="shared" si="4"/>
        <v>0</v>
      </c>
      <c r="Z23" s="1">
        <v>1.83E-2</v>
      </c>
      <c r="AA23" s="3">
        <v>16839.099999999999</v>
      </c>
      <c r="AB23" s="16">
        <v>0</v>
      </c>
      <c r="AC23">
        <f t="shared" si="5"/>
        <v>0</v>
      </c>
      <c r="AE23" s="1">
        <v>1.83E-2</v>
      </c>
      <c r="AF23" s="3">
        <v>16839.099999999999</v>
      </c>
      <c r="AG23" s="16">
        <v>0</v>
      </c>
      <c r="AH23">
        <f t="shared" si="6"/>
        <v>0</v>
      </c>
      <c r="AJ23" s="1">
        <v>1.83E-2</v>
      </c>
      <c r="AK23" s="3">
        <v>16839.099999999999</v>
      </c>
      <c r="AL23" s="16">
        <v>1.0497584700122001E-4</v>
      </c>
      <c r="AM23">
        <f t="shared" si="7"/>
        <v>1.7676987852382438</v>
      </c>
      <c r="AO23" s="1">
        <v>1.83E-2</v>
      </c>
      <c r="AP23" s="3">
        <v>16839.099999999999</v>
      </c>
      <c r="AQ23" s="17">
        <v>3.9274497894665499E-7</v>
      </c>
      <c r="AR23">
        <f t="shared" si="8"/>
        <v>6.6134719749806172E-3</v>
      </c>
      <c r="AT23" s="1">
        <v>1.83E-2</v>
      </c>
      <c r="AU23" s="3">
        <v>16839.099999999999</v>
      </c>
      <c r="AV23" s="16">
        <v>0</v>
      </c>
      <c r="AW23">
        <f t="shared" si="9"/>
        <v>0</v>
      </c>
    </row>
    <row r="24" spans="1:49" x14ac:dyDescent="0.3">
      <c r="A24" s="1">
        <v>4.9799999999999997E-2</v>
      </c>
      <c r="B24" s="16">
        <v>25901.1</v>
      </c>
      <c r="C24" s="16">
        <v>1.03707585535693E-4</v>
      </c>
      <c r="D24">
        <f t="shared" si="0"/>
        <v>2.6861405437185377</v>
      </c>
      <c r="F24" s="1">
        <v>4.9799999999999997E-2</v>
      </c>
      <c r="G24" s="3">
        <v>25901.1</v>
      </c>
      <c r="H24" s="16">
        <v>0</v>
      </c>
      <c r="I24" s="17">
        <f t="shared" si="1"/>
        <v>0</v>
      </c>
      <c r="K24" s="1">
        <v>4.9799999999999997E-2</v>
      </c>
      <c r="L24" s="3">
        <v>25901.1</v>
      </c>
      <c r="M24" s="16">
        <v>0</v>
      </c>
      <c r="N24">
        <f t="shared" si="2"/>
        <v>0</v>
      </c>
      <c r="O24" s="17"/>
      <c r="P24" s="1">
        <v>4.9799999999999997E-2</v>
      </c>
      <c r="Q24" s="3">
        <v>25901.1</v>
      </c>
      <c r="R24" s="16">
        <v>0</v>
      </c>
      <c r="S24">
        <f t="shared" si="3"/>
        <v>0</v>
      </c>
      <c r="U24" s="1">
        <v>4.9799999999999997E-2</v>
      </c>
      <c r="V24" s="3">
        <v>25901.1</v>
      </c>
      <c r="W24" s="16">
        <v>0</v>
      </c>
      <c r="X24">
        <f t="shared" si="4"/>
        <v>0</v>
      </c>
      <c r="Z24" s="1">
        <v>4.9799999999999997E-2</v>
      </c>
      <c r="AA24" s="3">
        <v>25901.1</v>
      </c>
      <c r="AB24" s="16">
        <v>0</v>
      </c>
      <c r="AC24">
        <f t="shared" si="5"/>
        <v>0</v>
      </c>
      <c r="AE24" s="1">
        <v>4.9799999999999997E-2</v>
      </c>
      <c r="AF24" s="3">
        <v>25901.1</v>
      </c>
      <c r="AG24" s="16">
        <v>0</v>
      </c>
      <c r="AH24">
        <f t="shared" si="6"/>
        <v>0</v>
      </c>
      <c r="AJ24" s="1">
        <v>4.9799999999999997E-2</v>
      </c>
      <c r="AK24" s="3">
        <v>25901.1</v>
      </c>
      <c r="AL24" s="16">
        <v>5.3916058218349099E-4</v>
      </c>
      <c r="AM24">
        <f t="shared" si="7"/>
        <v>13.964852155192817</v>
      </c>
      <c r="AO24" s="1">
        <v>4.9799999999999997E-2</v>
      </c>
      <c r="AP24" s="3">
        <v>25901.1</v>
      </c>
      <c r="AQ24" s="17">
        <v>1.05316163806008E-7</v>
      </c>
      <c r="AR24">
        <f t="shared" si="8"/>
        <v>2.7278044903557936E-3</v>
      </c>
      <c r="AT24" s="1">
        <v>4.9799999999999997E-2</v>
      </c>
      <c r="AU24" s="3">
        <v>25901.1</v>
      </c>
      <c r="AV24" s="16">
        <v>0</v>
      </c>
      <c r="AW24">
        <f t="shared" si="9"/>
        <v>0</v>
      </c>
    </row>
    <row r="25" spans="1:49" x14ac:dyDescent="0.3">
      <c r="A25" s="1">
        <v>0.13500000000000001</v>
      </c>
      <c r="B25" s="16">
        <v>32243.3</v>
      </c>
      <c r="C25" s="17">
        <v>6.6526333263493197E-5</v>
      </c>
      <c r="D25">
        <f t="shared" si="0"/>
        <v>2.1450285213147899</v>
      </c>
      <c r="F25" s="1">
        <v>0.13500000000000001</v>
      </c>
      <c r="G25" s="3">
        <v>32243.3</v>
      </c>
      <c r="H25" s="16">
        <v>0</v>
      </c>
      <c r="I25" s="17">
        <f t="shared" si="1"/>
        <v>0</v>
      </c>
      <c r="K25" s="1">
        <v>0.13500000000000001</v>
      </c>
      <c r="L25" s="3">
        <v>32243.3</v>
      </c>
      <c r="M25" s="16">
        <v>0</v>
      </c>
      <c r="N25">
        <f t="shared" si="2"/>
        <v>0</v>
      </c>
      <c r="O25" s="17"/>
      <c r="P25" s="1">
        <v>0.13500000000000001</v>
      </c>
      <c r="Q25" s="3">
        <v>32243.3</v>
      </c>
      <c r="R25" s="16">
        <v>0</v>
      </c>
      <c r="S25">
        <f t="shared" si="3"/>
        <v>0</v>
      </c>
      <c r="U25" s="1">
        <v>0.13500000000000001</v>
      </c>
      <c r="V25" s="3">
        <v>32243.3</v>
      </c>
      <c r="W25" s="16">
        <v>0</v>
      </c>
      <c r="X25">
        <f t="shared" si="4"/>
        <v>0</v>
      </c>
      <c r="Z25" s="1">
        <v>0.13500000000000001</v>
      </c>
      <c r="AA25" s="3">
        <v>32243.3</v>
      </c>
      <c r="AB25" s="16">
        <v>0</v>
      </c>
      <c r="AC25">
        <f t="shared" si="5"/>
        <v>0</v>
      </c>
      <c r="AE25" s="1">
        <v>0.13500000000000001</v>
      </c>
      <c r="AF25" s="3">
        <v>32243.3</v>
      </c>
      <c r="AG25" s="16">
        <v>0</v>
      </c>
      <c r="AH25">
        <f t="shared" si="6"/>
        <v>0</v>
      </c>
      <c r="AJ25" s="1">
        <v>0.13500000000000001</v>
      </c>
      <c r="AK25" s="3">
        <v>32243.3</v>
      </c>
      <c r="AL25" s="16">
        <v>2.0277056824195299E-4</v>
      </c>
      <c r="AM25">
        <f t="shared" si="7"/>
        <v>6.537992262995763</v>
      </c>
      <c r="AO25" s="1">
        <v>0.13500000000000001</v>
      </c>
      <c r="AP25" s="3">
        <v>32243.3</v>
      </c>
      <c r="AQ25" s="17">
        <v>5.4494692489718299E-8</v>
      </c>
      <c r="AR25">
        <f t="shared" si="8"/>
        <v>1.7570887183537341E-3</v>
      </c>
      <c r="AT25" s="1">
        <v>0.13500000000000001</v>
      </c>
      <c r="AU25" s="3">
        <v>32243.3</v>
      </c>
      <c r="AV25" s="16">
        <v>0</v>
      </c>
      <c r="AW25">
        <f t="shared" si="9"/>
        <v>0</v>
      </c>
    </row>
    <row r="26" spans="1:49" x14ac:dyDescent="0.3">
      <c r="A26" s="1">
        <v>0.36799999999999999</v>
      </c>
      <c r="B26" s="16">
        <v>48856</v>
      </c>
      <c r="C26" s="17">
        <v>4.1775265578792403E-5</v>
      </c>
      <c r="D26">
        <f t="shared" si="0"/>
        <v>2.0409723751174815</v>
      </c>
      <c r="F26" s="1">
        <v>0.36799999999999999</v>
      </c>
      <c r="G26" s="3">
        <v>48856</v>
      </c>
      <c r="H26" s="16">
        <v>0</v>
      </c>
      <c r="I26" s="17">
        <f t="shared" si="1"/>
        <v>0</v>
      </c>
      <c r="K26" s="1">
        <v>0.36799999999999999</v>
      </c>
      <c r="L26" s="3">
        <v>48856</v>
      </c>
      <c r="M26" s="16">
        <v>0</v>
      </c>
      <c r="N26">
        <f t="shared" si="2"/>
        <v>0</v>
      </c>
      <c r="O26" s="17"/>
      <c r="P26" s="1">
        <v>0.36799999999999999</v>
      </c>
      <c r="Q26" s="3">
        <v>48856</v>
      </c>
      <c r="R26" s="16">
        <v>0</v>
      </c>
      <c r="S26">
        <f t="shared" si="3"/>
        <v>0</v>
      </c>
      <c r="U26" s="1">
        <v>0.36799999999999999</v>
      </c>
      <c r="V26" s="3">
        <v>48856</v>
      </c>
      <c r="W26" s="16">
        <v>0</v>
      </c>
      <c r="X26">
        <f t="shared" si="4"/>
        <v>0</v>
      </c>
      <c r="Z26" s="1">
        <v>0.36799999999999999</v>
      </c>
      <c r="AA26" s="3">
        <v>48856</v>
      </c>
      <c r="AB26" s="16">
        <v>0</v>
      </c>
      <c r="AC26">
        <f t="shared" si="5"/>
        <v>0</v>
      </c>
      <c r="AE26" s="1">
        <v>0.36799999999999999</v>
      </c>
      <c r="AF26" s="3">
        <v>48856</v>
      </c>
      <c r="AG26" s="16">
        <v>0</v>
      </c>
      <c r="AH26">
        <f t="shared" si="6"/>
        <v>0</v>
      </c>
      <c r="AJ26" s="1">
        <v>0.36799999999999999</v>
      </c>
      <c r="AK26" s="3">
        <v>48856</v>
      </c>
      <c r="AL26" s="17">
        <v>8.0326287536829798E-5</v>
      </c>
      <c r="AM26">
        <f t="shared" si="7"/>
        <v>3.9244211038993568</v>
      </c>
      <c r="AO26" s="1">
        <v>0.36799999999999999</v>
      </c>
      <c r="AP26" s="3">
        <v>48856</v>
      </c>
      <c r="AQ26" s="17">
        <v>9.7018449649658206E-9</v>
      </c>
      <c r="AR26">
        <f t="shared" si="8"/>
        <v>4.7399333760837011E-4</v>
      </c>
      <c r="AT26" s="1">
        <v>0.36799999999999999</v>
      </c>
      <c r="AU26" s="3">
        <v>48856</v>
      </c>
      <c r="AV26" s="16">
        <v>0</v>
      </c>
      <c r="AW26">
        <f t="shared" si="9"/>
        <v>0</v>
      </c>
    </row>
    <row r="27" spans="1:49" x14ac:dyDescent="0.3">
      <c r="A27" s="1">
        <v>1</v>
      </c>
      <c r="B27" s="16">
        <v>93702.7</v>
      </c>
      <c r="C27" s="17">
        <v>2.0351616681666401E-5</v>
      </c>
      <c r="D27">
        <f t="shared" si="0"/>
        <v>1.9070014324371822</v>
      </c>
      <c r="F27" s="1">
        <v>1</v>
      </c>
      <c r="G27" s="3">
        <v>93702.7</v>
      </c>
      <c r="H27" s="16">
        <v>0</v>
      </c>
      <c r="I27" s="17">
        <f t="shared" si="1"/>
        <v>0</v>
      </c>
      <c r="K27" s="1">
        <v>1</v>
      </c>
      <c r="L27" s="3">
        <v>93702.7</v>
      </c>
      <c r="M27" s="16">
        <v>0</v>
      </c>
      <c r="N27">
        <f t="shared" si="2"/>
        <v>0</v>
      </c>
      <c r="O27" s="17"/>
      <c r="P27" s="1">
        <v>1</v>
      </c>
      <c r="Q27" s="3">
        <v>93702.7</v>
      </c>
      <c r="R27" s="16">
        <v>0</v>
      </c>
      <c r="S27">
        <f t="shared" si="3"/>
        <v>0</v>
      </c>
      <c r="U27" s="1">
        <v>1</v>
      </c>
      <c r="V27" s="3">
        <v>93702.7</v>
      </c>
      <c r="W27" s="17">
        <v>1.37916679593555E-9</v>
      </c>
      <c r="X27">
        <f t="shared" si="4"/>
        <v>1.2923165252951005E-4</v>
      </c>
      <c r="Z27" s="1">
        <v>1</v>
      </c>
      <c r="AA27" s="3">
        <v>93702.7</v>
      </c>
      <c r="AB27" s="16">
        <v>0</v>
      </c>
      <c r="AC27">
        <f t="shared" si="5"/>
        <v>0</v>
      </c>
      <c r="AE27" s="1">
        <v>1</v>
      </c>
      <c r="AF27" s="3">
        <v>93702.7</v>
      </c>
      <c r="AG27" s="16">
        <v>0</v>
      </c>
      <c r="AH27">
        <f t="shared" si="6"/>
        <v>0</v>
      </c>
      <c r="AJ27" s="1">
        <v>1</v>
      </c>
      <c r="AK27" s="3">
        <v>93702.7</v>
      </c>
      <c r="AL27" s="17">
        <v>2.9198225628322699E-6</v>
      </c>
      <c r="AM27">
        <f t="shared" si="7"/>
        <v>0.27359525765830334</v>
      </c>
      <c r="AO27" s="1">
        <v>1</v>
      </c>
      <c r="AP27" s="3">
        <v>93702.7</v>
      </c>
      <c r="AQ27" s="17">
        <v>6.2086081491209903E-9</v>
      </c>
      <c r="AR27">
        <f t="shared" si="8"/>
        <v>5.8176334681463941E-4</v>
      </c>
      <c r="AT27" s="1">
        <v>1</v>
      </c>
      <c r="AU27" s="3">
        <v>93702.7</v>
      </c>
      <c r="AV27" s="16">
        <v>0</v>
      </c>
      <c r="AW27">
        <f t="shared" si="9"/>
        <v>0</v>
      </c>
    </row>
    <row r="28" spans="1:49" x14ac:dyDescent="0.3">
      <c r="A28" s="1">
        <v>1.21</v>
      </c>
      <c r="B28" s="16">
        <v>23957.9</v>
      </c>
      <c r="C28" s="17">
        <v>1.39204671124638E-5</v>
      </c>
      <c r="D28">
        <f t="shared" si="0"/>
        <v>0.33350515903369649</v>
      </c>
      <c r="F28" s="1">
        <v>1.21</v>
      </c>
      <c r="G28" s="3">
        <v>23957.9</v>
      </c>
      <c r="H28" s="16">
        <v>0</v>
      </c>
      <c r="I28" s="17">
        <f t="shared" si="1"/>
        <v>0</v>
      </c>
      <c r="K28" s="1">
        <v>1.21</v>
      </c>
      <c r="L28" s="3">
        <v>23957.9</v>
      </c>
      <c r="M28" s="16">
        <v>0</v>
      </c>
      <c r="N28">
        <f t="shared" si="2"/>
        <v>0</v>
      </c>
      <c r="O28" s="17"/>
      <c r="P28" s="1">
        <v>1.21</v>
      </c>
      <c r="Q28" s="3">
        <v>23957.9</v>
      </c>
      <c r="R28" s="17">
        <v>2.00812955796884E-7</v>
      </c>
      <c r="S28">
        <f t="shared" si="3"/>
        <v>4.8110567136861676E-3</v>
      </c>
      <c r="U28" s="1">
        <v>1.21</v>
      </c>
      <c r="V28" s="3">
        <v>23957.9</v>
      </c>
      <c r="W28" s="17">
        <v>1.21072231477107E-8</v>
      </c>
      <c r="X28">
        <f t="shared" si="4"/>
        <v>2.9006364145053821E-4</v>
      </c>
      <c r="Z28" s="1">
        <v>1.21</v>
      </c>
      <c r="AA28" s="3">
        <v>23957.9</v>
      </c>
      <c r="AB28" s="16">
        <v>0</v>
      </c>
      <c r="AC28">
        <f t="shared" si="5"/>
        <v>0</v>
      </c>
      <c r="AE28" s="1">
        <v>1.21</v>
      </c>
      <c r="AF28" s="3">
        <v>23957.9</v>
      </c>
      <c r="AG28" s="16">
        <v>0</v>
      </c>
      <c r="AH28">
        <f t="shared" si="6"/>
        <v>0</v>
      </c>
      <c r="AJ28" s="1">
        <v>1.21</v>
      </c>
      <c r="AK28" s="3">
        <v>23957.9</v>
      </c>
      <c r="AL28" s="17">
        <v>1.1089287138811499E-6</v>
      </c>
      <c r="AM28">
        <f t="shared" si="7"/>
        <v>2.6567603234293202E-2</v>
      </c>
      <c r="AO28" s="1">
        <v>1.21</v>
      </c>
      <c r="AP28" s="3">
        <v>23957.9</v>
      </c>
      <c r="AQ28" s="17">
        <v>5.6745985742078598E-9</v>
      </c>
      <c r="AR28">
        <f t="shared" si="8"/>
        <v>1.3595146518101449E-4</v>
      </c>
      <c r="AT28" s="1">
        <v>1.21</v>
      </c>
      <c r="AU28" s="3">
        <v>23957.9</v>
      </c>
      <c r="AV28" s="17">
        <v>6.5316060094312601E-11</v>
      </c>
      <c r="AW28">
        <f t="shared" si="9"/>
        <v>1.5648356361335319E-6</v>
      </c>
    </row>
    <row r="29" spans="1:49" x14ac:dyDescent="0.3">
      <c r="A29" s="1">
        <v>1.34</v>
      </c>
      <c r="B29" s="16">
        <v>14744.5</v>
      </c>
      <c r="C29" s="17">
        <v>1.3203852989550201E-5</v>
      </c>
      <c r="D29">
        <f t="shared" si="0"/>
        <v>0.19468421040442294</v>
      </c>
      <c r="F29" s="1">
        <v>1.34</v>
      </c>
      <c r="G29" s="3">
        <v>14744.5</v>
      </c>
      <c r="H29" s="16">
        <v>0</v>
      </c>
      <c r="I29" s="17">
        <f t="shared" si="1"/>
        <v>0</v>
      </c>
      <c r="K29" s="1">
        <v>1.34</v>
      </c>
      <c r="L29" s="3">
        <v>14744.5</v>
      </c>
      <c r="M29" s="16">
        <v>0</v>
      </c>
      <c r="N29">
        <f t="shared" si="2"/>
        <v>0</v>
      </c>
      <c r="O29" s="17"/>
      <c r="P29" s="1">
        <v>1.34</v>
      </c>
      <c r="Q29" s="3">
        <v>14744.5</v>
      </c>
      <c r="R29" s="17">
        <v>1.0471522297538E-6</v>
      </c>
      <c r="S29">
        <f t="shared" si="3"/>
        <v>1.5439736051604903E-2</v>
      </c>
      <c r="U29" s="1">
        <v>1.34</v>
      </c>
      <c r="V29" s="3">
        <v>14744.5</v>
      </c>
      <c r="W29" s="17">
        <v>3.6671191401739497E-8</v>
      </c>
      <c r="X29">
        <f t="shared" si="4"/>
        <v>5.4069838162294802E-4</v>
      </c>
      <c r="Z29" s="1">
        <v>1.34</v>
      </c>
      <c r="AA29" s="3">
        <v>14744.5</v>
      </c>
      <c r="AB29" s="16">
        <v>0</v>
      </c>
      <c r="AC29">
        <f t="shared" si="5"/>
        <v>0</v>
      </c>
      <c r="AE29" s="1">
        <v>1.34</v>
      </c>
      <c r="AF29" s="3">
        <v>14744.5</v>
      </c>
      <c r="AG29" s="16">
        <v>0</v>
      </c>
      <c r="AH29">
        <f t="shared" si="6"/>
        <v>0</v>
      </c>
      <c r="AJ29" s="1">
        <v>1.34</v>
      </c>
      <c r="AK29" s="3">
        <v>14744.5</v>
      </c>
      <c r="AL29" s="17">
        <v>1.05173434576298E-6</v>
      </c>
      <c r="AM29">
        <f t="shared" si="7"/>
        <v>1.5507297061102258E-2</v>
      </c>
      <c r="AO29" s="1">
        <v>1.34</v>
      </c>
      <c r="AP29" s="3">
        <v>14744.5</v>
      </c>
      <c r="AQ29" s="17">
        <v>4.7499938549262097E-9</v>
      </c>
      <c r="AR29">
        <f t="shared" si="8"/>
        <v>7.0036284393959505E-5</v>
      </c>
      <c r="AT29" s="1">
        <v>1.34</v>
      </c>
      <c r="AU29" s="3">
        <v>14744.5</v>
      </c>
      <c r="AV29" s="17">
        <v>1.6884541103478499E-9</v>
      </c>
      <c r="AW29">
        <f t="shared" si="9"/>
        <v>2.4895411630023874E-5</v>
      </c>
    </row>
    <row r="30" spans="1:49" x14ac:dyDescent="0.3">
      <c r="A30" s="1">
        <v>1.48</v>
      </c>
      <c r="B30" s="16">
        <v>18738.2</v>
      </c>
      <c r="C30" s="17">
        <v>1.2651410792859499E-5</v>
      </c>
      <c r="D30">
        <f t="shared" si="0"/>
        <v>0.23706466571875989</v>
      </c>
      <c r="F30" s="1">
        <v>1.48</v>
      </c>
      <c r="G30" s="3">
        <v>18738.2</v>
      </c>
      <c r="H30" s="16">
        <v>0</v>
      </c>
      <c r="I30" s="17">
        <f t="shared" si="1"/>
        <v>0</v>
      </c>
      <c r="K30" s="1">
        <v>1.48</v>
      </c>
      <c r="L30" s="3">
        <v>18738.2</v>
      </c>
      <c r="M30" s="16">
        <v>0</v>
      </c>
      <c r="N30">
        <f t="shared" si="2"/>
        <v>0</v>
      </c>
      <c r="O30" s="17"/>
      <c r="P30" s="1">
        <v>1.48</v>
      </c>
      <c r="Q30" s="3">
        <v>18738.2</v>
      </c>
      <c r="R30" s="17">
        <v>1.4626278733326499E-6</v>
      </c>
      <c r="S30">
        <f t="shared" si="3"/>
        <v>2.7407013616081864E-2</v>
      </c>
      <c r="U30" s="1">
        <v>1.48</v>
      </c>
      <c r="V30" s="3">
        <v>18738.2</v>
      </c>
      <c r="W30" s="17">
        <v>6.2520568546726405E-8</v>
      </c>
      <c r="X30">
        <f t="shared" si="4"/>
        <v>1.1715229175422687E-3</v>
      </c>
      <c r="Z30" s="1">
        <v>1.48</v>
      </c>
      <c r="AA30" s="3">
        <v>18738.2</v>
      </c>
      <c r="AB30" s="16">
        <v>0</v>
      </c>
      <c r="AC30">
        <f t="shared" si="5"/>
        <v>0</v>
      </c>
      <c r="AE30" s="1">
        <v>1.48</v>
      </c>
      <c r="AF30" s="3">
        <v>18738.2</v>
      </c>
      <c r="AG30" s="16">
        <v>0</v>
      </c>
      <c r="AH30">
        <f t="shared" si="6"/>
        <v>0</v>
      </c>
      <c r="AJ30" s="1">
        <v>1.48</v>
      </c>
      <c r="AK30" s="3">
        <v>18738.2</v>
      </c>
      <c r="AL30" s="17">
        <v>1.03127820450653E-6</v>
      </c>
      <c r="AM30">
        <f t="shared" si="7"/>
        <v>1.9324297251684261E-2</v>
      </c>
      <c r="AO30" s="1">
        <v>1.48</v>
      </c>
      <c r="AP30" s="3">
        <v>18738.2</v>
      </c>
      <c r="AQ30" s="17">
        <v>4.3139232033182401E-9</v>
      </c>
      <c r="AR30">
        <f t="shared" si="8"/>
        <v>8.0835155768417853E-5</v>
      </c>
      <c r="AT30" s="1">
        <v>1.48</v>
      </c>
      <c r="AU30" s="3">
        <v>18738.2</v>
      </c>
      <c r="AV30" s="17">
        <v>1.2608884254505799E-8</v>
      </c>
      <c r="AW30">
        <f t="shared" si="9"/>
        <v>2.3626779493778058E-4</v>
      </c>
    </row>
    <row r="31" spans="1:49" x14ac:dyDescent="0.3">
      <c r="A31" s="1">
        <v>1.63</v>
      </c>
      <c r="B31" s="16">
        <v>14764.8</v>
      </c>
      <c r="C31" s="17">
        <v>1.21799371961757E-5</v>
      </c>
      <c r="D31">
        <f t="shared" si="0"/>
        <v>0.17983433671409496</v>
      </c>
      <c r="F31" s="1">
        <v>1.63</v>
      </c>
      <c r="G31" s="3">
        <v>14764.8</v>
      </c>
      <c r="H31" s="16">
        <v>0</v>
      </c>
      <c r="I31" s="17">
        <f t="shared" si="1"/>
        <v>0</v>
      </c>
      <c r="K31" s="1">
        <v>1.63</v>
      </c>
      <c r="L31" s="3">
        <v>14764.8</v>
      </c>
      <c r="M31" s="16">
        <v>0</v>
      </c>
      <c r="N31">
        <f t="shared" si="2"/>
        <v>0</v>
      </c>
      <c r="O31" s="17"/>
      <c r="P31" s="1">
        <v>1.63</v>
      </c>
      <c r="Q31" s="3">
        <v>14764.8</v>
      </c>
      <c r="R31" s="17">
        <v>1.7396116357185499E-6</v>
      </c>
      <c r="S31">
        <f t="shared" si="3"/>
        <v>2.5685017879057245E-2</v>
      </c>
      <c r="U31" s="1">
        <v>1.63</v>
      </c>
      <c r="V31" s="3">
        <v>14764.8</v>
      </c>
      <c r="W31" s="17">
        <v>9.6551647512483501E-8</v>
      </c>
      <c r="X31">
        <f t="shared" si="4"/>
        <v>1.4255657651923164E-3</v>
      </c>
      <c r="Z31" s="1">
        <v>1.63</v>
      </c>
      <c r="AA31" s="3">
        <v>14764.8</v>
      </c>
      <c r="AB31" s="16">
        <v>0</v>
      </c>
      <c r="AC31">
        <f t="shared" si="5"/>
        <v>0</v>
      </c>
      <c r="AE31" s="1">
        <v>1.63</v>
      </c>
      <c r="AF31" s="3">
        <v>14764.8</v>
      </c>
      <c r="AG31" s="16">
        <v>0</v>
      </c>
      <c r="AH31">
        <f t="shared" si="6"/>
        <v>0</v>
      </c>
      <c r="AJ31" s="1">
        <v>1.63</v>
      </c>
      <c r="AK31" s="3">
        <v>14764.8</v>
      </c>
      <c r="AL31" s="17">
        <v>1.01705505280633E-6</v>
      </c>
      <c r="AM31">
        <f t="shared" si="7"/>
        <v>1.50166144436749E-2</v>
      </c>
      <c r="AO31" s="1">
        <v>1.63</v>
      </c>
      <c r="AP31" s="3">
        <v>14764.8</v>
      </c>
      <c r="AQ31" s="17">
        <v>3.68736040446745E-9</v>
      </c>
      <c r="AR31">
        <f t="shared" si="8"/>
        <v>5.4443138899881004E-5</v>
      </c>
      <c r="AT31" s="1">
        <v>1.63</v>
      </c>
      <c r="AU31" s="3">
        <v>14764.8</v>
      </c>
      <c r="AV31" s="17">
        <v>1.12066768081244E-7</v>
      </c>
      <c r="AW31">
        <f t="shared" si="9"/>
        <v>1.6546434173659514E-3</v>
      </c>
    </row>
    <row r="32" spans="1:49" x14ac:dyDescent="0.3">
      <c r="A32" s="1">
        <v>1.79</v>
      </c>
      <c r="B32" s="16">
        <v>17194.400000000001</v>
      </c>
      <c r="C32" s="17">
        <v>1.1372003221454899E-5</v>
      </c>
      <c r="D32">
        <f t="shared" si="0"/>
        <v>0.19553477219098414</v>
      </c>
      <c r="F32" s="1">
        <v>1.79</v>
      </c>
      <c r="G32" s="3">
        <v>17194.400000000001</v>
      </c>
      <c r="H32" s="16">
        <v>0</v>
      </c>
      <c r="I32" s="17">
        <f t="shared" si="1"/>
        <v>0</v>
      </c>
      <c r="K32" s="1">
        <v>1.79</v>
      </c>
      <c r="L32" s="3">
        <v>17194.400000000001</v>
      </c>
      <c r="M32" s="16">
        <v>0</v>
      </c>
      <c r="N32">
        <f t="shared" si="2"/>
        <v>0</v>
      </c>
      <c r="O32" s="17"/>
      <c r="P32" s="1">
        <v>1.79</v>
      </c>
      <c r="Q32" s="3">
        <v>17194.400000000001</v>
      </c>
      <c r="R32" s="17">
        <v>3.10000715987363E-6</v>
      </c>
      <c r="S32">
        <f t="shared" si="3"/>
        <v>5.3302763109731151E-2</v>
      </c>
      <c r="U32" s="1">
        <v>1.79</v>
      </c>
      <c r="V32" s="3">
        <v>17194.400000000001</v>
      </c>
      <c r="W32" s="17">
        <v>1.71530695301258E-7</v>
      </c>
      <c r="X32">
        <f t="shared" si="4"/>
        <v>2.9493673872879509E-3</v>
      </c>
      <c r="Z32" s="1">
        <v>1.79</v>
      </c>
      <c r="AA32" s="3">
        <v>17194.400000000001</v>
      </c>
      <c r="AB32" s="16">
        <v>0</v>
      </c>
      <c r="AC32">
        <f t="shared" si="5"/>
        <v>0</v>
      </c>
      <c r="AE32" s="1">
        <v>1.79</v>
      </c>
      <c r="AF32" s="3">
        <v>17194.400000000001</v>
      </c>
      <c r="AG32" s="16">
        <v>0</v>
      </c>
      <c r="AH32">
        <f t="shared" si="6"/>
        <v>0</v>
      </c>
      <c r="AJ32" s="1">
        <v>1.79</v>
      </c>
      <c r="AK32" s="3">
        <v>17194.400000000001</v>
      </c>
      <c r="AL32" s="17">
        <v>9.8402738813209993E-7</v>
      </c>
      <c r="AM32">
        <f t="shared" si="7"/>
        <v>1.6919760522498582E-2</v>
      </c>
      <c r="AO32" s="1">
        <v>1.79</v>
      </c>
      <c r="AP32" s="3">
        <v>17194.400000000001</v>
      </c>
      <c r="AQ32" s="17">
        <v>3.1475196185884699E-9</v>
      </c>
      <c r="AR32">
        <f t="shared" si="8"/>
        <v>5.4119711329857594E-5</v>
      </c>
      <c r="AT32" s="1">
        <v>1.79</v>
      </c>
      <c r="AU32" s="3">
        <v>17194.400000000001</v>
      </c>
      <c r="AV32" s="17">
        <v>6.4402025253145196E-7</v>
      </c>
      <c r="AW32">
        <f t="shared" si="9"/>
        <v>1.1073541830126798E-2</v>
      </c>
    </row>
    <row r="33" spans="1:49" x14ac:dyDescent="0.3">
      <c r="A33" s="1">
        <v>1.97</v>
      </c>
      <c r="B33" s="16">
        <v>18224.400000000001</v>
      </c>
      <c r="C33" s="17">
        <v>1.00238912274787E-5</v>
      </c>
      <c r="D33">
        <f t="shared" si="0"/>
        <v>0.18267940328606283</v>
      </c>
      <c r="F33" s="1">
        <v>1.97</v>
      </c>
      <c r="G33" s="3">
        <v>18224.400000000001</v>
      </c>
      <c r="H33" s="16">
        <v>0</v>
      </c>
      <c r="I33" s="17">
        <f t="shared" si="1"/>
        <v>0</v>
      </c>
      <c r="K33" s="1">
        <v>1.97</v>
      </c>
      <c r="L33" s="3">
        <v>18224.400000000001</v>
      </c>
      <c r="M33" s="16">
        <v>0</v>
      </c>
      <c r="N33">
        <f t="shared" si="2"/>
        <v>0</v>
      </c>
      <c r="O33" s="17"/>
      <c r="P33" s="1">
        <v>1.97</v>
      </c>
      <c r="Q33" s="3">
        <v>18224.400000000001</v>
      </c>
      <c r="R33" s="17">
        <v>4.2012797270467898E-6</v>
      </c>
      <c r="S33">
        <f t="shared" si="3"/>
        <v>7.656580225759152E-2</v>
      </c>
      <c r="U33" s="1">
        <v>1.97</v>
      </c>
      <c r="V33" s="3">
        <v>18224.400000000001</v>
      </c>
      <c r="W33" s="17">
        <v>3.0694604279197202E-7</v>
      </c>
      <c r="X33">
        <f t="shared" si="4"/>
        <v>5.5939074622580152E-3</v>
      </c>
      <c r="Z33" s="1">
        <v>1.97</v>
      </c>
      <c r="AA33" s="3">
        <v>18224.400000000001</v>
      </c>
      <c r="AB33" s="17">
        <v>1.62149378084246E-12</v>
      </c>
      <c r="AC33">
        <f t="shared" si="5"/>
        <v>2.9550751259585331E-8</v>
      </c>
      <c r="AE33" s="1">
        <v>1.97</v>
      </c>
      <c r="AF33" s="3">
        <v>18224.400000000001</v>
      </c>
      <c r="AG33" s="16">
        <v>0</v>
      </c>
      <c r="AH33">
        <f t="shared" si="6"/>
        <v>0</v>
      </c>
      <c r="AJ33" s="1">
        <v>1.97</v>
      </c>
      <c r="AK33" s="3">
        <v>18224.400000000001</v>
      </c>
      <c r="AL33" s="17">
        <v>9.6039489086853598E-7</v>
      </c>
      <c r="AM33">
        <f t="shared" si="7"/>
        <v>1.7502620649144547E-2</v>
      </c>
      <c r="AO33" s="1">
        <v>1.97</v>
      </c>
      <c r="AP33" s="3">
        <v>18224.400000000001</v>
      </c>
      <c r="AQ33" s="17">
        <v>2.8385016279678398E-9</v>
      </c>
      <c r="AR33">
        <f t="shared" si="8"/>
        <v>5.1729989068737108E-5</v>
      </c>
      <c r="AT33" s="1">
        <v>1.97</v>
      </c>
      <c r="AU33" s="3">
        <v>18224.400000000001</v>
      </c>
      <c r="AV33" s="17">
        <v>1.76806793466925E-6</v>
      </c>
      <c r="AW33">
        <f t="shared" si="9"/>
        <v>3.2221977268586284E-2</v>
      </c>
    </row>
    <row r="34" spans="1:49" x14ac:dyDescent="0.3">
      <c r="A34" s="1">
        <v>2.1800000000000002</v>
      </c>
      <c r="B34" s="16">
        <v>26209.5</v>
      </c>
      <c r="C34" s="17">
        <v>8.9550306205874795E-6</v>
      </c>
      <c r="D34">
        <f t="shared" si="0"/>
        <v>0.23470687505028753</v>
      </c>
      <c r="F34" s="1">
        <v>2.1800000000000002</v>
      </c>
      <c r="G34" s="3">
        <v>26209.5</v>
      </c>
      <c r="H34" s="16">
        <v>0</v>
      </c>
      <c r="I34" s="17">
        <f t="shared" si="1"/>
        <v>0</v>
      </c>
      <c r="K34" s="1">
        <v>2.1800000000000002</v>
      </c>
      <c r="L34" s="3">
        <v>26209.5</v>
      </c>
      <c r="M34" s="16">
        <v>0</v>
      </c>
      <c r="N34">
        <f t="shared" si="2"/>
        <v>0</v>
      </c>
      <c r="O34" s="17"/>
      <c r="P34" s="1">
        <v>2.1800000000000002</v>
      </c>
      <c r="Q34" s="3">
        <v>26209.5</v>
      </c>
      <c r="R34" s="17">
        <v>4.9786485979925499E-6</v>
      </c>
      <c r="S34">
        <f t="shared" si="3"/>
        <v>0.13048789042908573</v>
      </c>
      <c r="U34" s="1">
        <v>2.1800000000000002</v>
      </c>
      <c r="V34" s="3">
        <v>26209.5</v>
      </c>
      <c r="W34" s="17">
        <v>7.3361479514525E-7</v>
      </c>
      <c r="X34">
        <f t="shared" si="4"/>
        <v>1.922767697335943E-2</v>
      </c>
      <c r="Z34" s="1">
        <v>2.1800000000000002</v>
      </c>
      <c r="AA34" s="3">
        <v>26209.5</v>
      </c>
      <c r="AB34" s="17">
        <v>3.0335348091523098E-12</v>
      </c>
      <c r="AC34">
        <f t="shared" si="5"/>
        <v>7.9507430580477459E-8</v>
      </c>
      <c r="AE34" s="1">
        <v>2.1800000000000002</v>
      </c>
      <c r="AF34" s="3">
        <v>26209.5</v>
      </c>
      <c r="AG34" s="16">
        <v>0</v>
      </c>
      <c r="AH34">
        <f t="shared" si="6"/>
        <v>0</v>
      </c>
      <c r="AJ34" s="1">
        <v>2.1800000000000002</v>
      </c>
      <c r="AK34" s="3">
        <v>26209.5</v>
      </c>
      <c r="AL34" s="17">
        <v>9.3017058339769395E-7</v>
      </c>
      <c r="AM34">
        <f t="shared" si="7"/>
        <v>2.4379305905561859E-2</v>
      </c>
      <c r="AO34" s="1">
        <v>2.1800000000000002</v>
      </c>
      <c r="AP34" s="3">
        <v>26209.5</v>
      </c>
      <c r="AQ34" s="17">
        <v>2.5835609471305101E-9</v>
      </c>
      <c r="AR34">
        <f t="shared" si="8"/>
        <v>6.7713840643817097E-5</v>
      </c>
      <c r="AT34" s="1">
        <v>2.1800000000000002</v>
      </c>
      <c r="AU34" s="3">
        <v>26209.5</v>
      </c>
      <c r="AV34" s="17">
        <v>7.2096459304748297E-6</v>
      </c>
      <c r="AW34">
        <f t="shared" si="9"/>
        <v>0.18896121501478005</v>
      </c>
    </row>
    <row r="35" spans="1:49" x14ac:dyDescent="0.3">
      <c r="A35" s="1">
        <v>2.4</v>
      </c>
      <c r="B35" s="16">
        <v>26259.8</v>
      </c>
      <c r="C35" s="17">
        <v>7.2047841147423801E-6</v>
      </c>
      <c r="D35">
        <f t="shared" si="0"/>
        <v>0.18919618989631196</v>
      </c>
      <c r="F35" s="1">
        <v>2.4</v>
      </c>
      <c r="G35" s="3">
        <v>26259.8</v>
      </c>
      <c r="H35" s="16">
        <v>0</v>
      </c>
      <c r="I35" s="17">
        <f t="shared" si="1"/>
        <v>0</v>
      </c>
      <c r="K35" s="1">
        <v>2.4</v>
      </c>
      <c r="L35" s="3">
        <v>26259.8</v>
      </c>
      <c r="M35" s="16">
        <v>0</v>
      </c>
      <c r="N35">
        <f t="shared" si="2"/>
        <v>0</v>
      </c>
      <c r="O35" s="17"/>
      <c r="P35" s="1">
        <v>2.4</v>
      </c>
      <c r="Q35" s="3">
        <v>26259.8</v>
      </c>
      <c r="R35" s="17">
        <v>1.00533793084752E-5</v>
      </c>
      <c r="S35">
        <f t="shared" si="3"/>
        <v>0.26399972996469706</v>
      </c>
      <c r="U35" s="1">
        <v>2.4</v>
      </c>
      <c r="V35" s="3">
        <v>26259.8</v>
      </c>
      <c r="W35" s="17">
        <v>1.2925111828386899E-6</v>
      </c>
      <c r="X35">
        <f t="shared" si="4"/>
        <v>3.3941085159107431E-2</v>
      </c>
      <c r="Z35" s="1">
        <v>2.4</v>
      </c>
      <c r="AA35" s="3">
        <v>26259.8</v>
      </c>
      <c r="AB35" s="17">
        <v>2.9265054012131399E-11</v>
      </c>
      <c r="AC35">
        <f t="shared" si="5"/>
        <v>7.6849446534776808E-7</v>
      </c>
      <c r="AE35" s="1">
        <v>2.4</v>
      </c>
      <c r="AF35" s="3">
        <v>26259.8</v>
      </c>
      <c r="AG35" s="16">
        <v>0</v>
      </c>
      <c r="AH35">
        <f t="shared" si="6"/>
        <v>0</v>
      </c>
      <c r="AJ35" s="1">
        <v>2.4</v>
      </c>
      <c r="AK35" s="3">
        <v>26259.8</v>
      </c>
      <c r="AL35" s="17">
        <v>9.0649397736694302E-7</v>
      </c>
      <c r="AM35">
        <f t="shared" si="7"/>
        <v>2.3804350546860451E-2</v>
      </c>
      <c r="AO35" s="1">
        <v>2.4</v>
      </c>
      <c r="AP35" s="3">
        <v>26259.8</v>
      </c>
      <c r="AQ35" s="17">
        <v>2.26255891113216E-9</v>
      </c>
      <c r="AR35">
        <f t="shared" si="8"/>
        <v>5.9414344494548296E-5</v>
      </c>
      <c r="AT35" s="1">
        <v>2.4</v>
      </c>
      <c r="AU35" s="3">
        <v>26259.8</v>
      </c>
      <c r="AV35" s="17">
        <v>1.7312627478235102E-5</v>
      </c>
      <c r="AW35">
        <f t="shared" si="9"/>
        <v>0.45462613505295812</v>
      </c>
    </row>
    <row r="36" spans="1:49" x14ac:dyDescent="0.3">
      <c r="A36" s="1">
        <v>2.64</v>
      </c>
      <c r="B36" s="16">
        <v>21437.5</v>
      </c>
      <c r="C36" s="17">
        <v>6.1173693210459397E-6</v>
      </c>
      <c r="D36">
        <f t="shared" si="0"/>
        <v>0.13114110481992233</v>
      </c>
      <c r="F36" s="1">
        <v>2.64</v>
      </c>
      <c r="G36" s="3">
        <v>21437.5</v>
      </c>
      <c r="H36" s="16">
        <v>0</v>
      </c>
      <c r="I36" s="17">
        <f t="shared" si="1"/>
        <v>0</v>
      </c>
      <c r="K36" s="1">
        <v>2.64</v>
      </c>
      <c r="L36" s="3">
        <v>21437.5</v>
      </c>
      <c r="M36" s="16">
        <v>0</v>
      </c>
      <c r="N36">
        <f t="shared" si="2"/>
        <v>0</v>
      </c>
      <c r="O36" s="17"/>
      <c r="P36" s="1">
        <v>2.64</v>
      </c>
      <c r="Q36" s="3">
        <v>21437.5</v>
      </c>
      <c r="R36" s="17">
        <v>1.37281843057214E-5</v>
      </c>
      <c r="S36">
        <f t="shared" si="3"/>
        <v>0.2942979510539025</v>
      </c>
      <c r="U36" s="1">
        <v>2.64</v>
      </c>
      <c r="V36" s="3">
        <v>21437.5</v>
      </c>
      <c r="W36" s="17">
        <v>1.8035080912152601E-6</v>
      </c>
      <c r="X36">
        <f t="shared" si="4"/>
        <v>3.8662704705427139E-2</v>
      </c>
      <c r="Z36" s="1">
        <v>2.64</v>
      </c>
      <c r="AA36" s="3">
        <v>21437.5</v>
      </c>
      <c r="AB36" s="17">
        <v>4.8260292055667999E-11</v>
      </c>
      <c r="AC36">
        <f t="shared" si="5"/>
        <v>1.0345800109433827E-6</v>
      </c>
      <c r="AE36" s="1">
        <v>2.64</v>
      </c>
      <c r="AF36" s="3">
        <v>21437.5</v>
      </c>
      <c r="AG36" s="16">
        <v>0</v>
      </c>
      <c r="AH36">
        <f t="shared" si="6"/>
        <v>0</v>
      </c>
      <c r="AJ36" s="1">
        <v>2.64</v>
      </c>
      <c r="AK36" s="3">
        <v>21437.5</v>
      </c>
      <c r="AL36" s="17">
        <v>8.7720575595527503E-7</v>
      </c>
      <c r="AM36">
        <f t="shared" si="7"/>
        <v>1.8805098393291208E-2</v>
      </c>
      <c r="AO36" s="1">
        <v>2.64</v>
      </c>
      <c r="AP36" s="3">
        <v>21437.5</v>
      </c>
      <c r="AQ36" s="17">
        <v>1.9864815374005802E-9</v>
      </c>
      <c r="AR36">
        <f t="shared" si="8"/>
        <v>4.2585197958024938E-5</v>
      </c>
      <c r="AT36" s="1">
        <v>2.64</v>
      </c>
      <c r="AU36" s="3">
        <v>21437.5</v>
      </c>
      <c r="AV36" s="17">
        <v>1.8755135880858099E-5</v>
      </c>
      <c r="AW36">
        <f t="shared" si="9"/>
        <v>0.40206322544589551</v>
      </c>
    </row>
    <row r="37" spans="1:49" x14ac:dyDescent="0.3">
      <c r="A37" s="1">
        <v>2.91</v>
      </c>
      <c r="B37" s="16">
        <v>23243.4</v>
      </c>
      <c r="C37" s="17">
        <v>4.9491259701850798E-6</v>
      </c>
      <c r="D37">
        <f t="shared" si="0"/>
        <v>0.11503451457539988</v>
      </c>
      <c r="F37" s="1">
        <v>2.91</v>
      </c>
      <c r="G37" s="3">
        <v>23243.4</v>
      </c>
      <c r="H37" s="16">
        <v>0</v>
      </c>
      <c r="I37" s="17">
        <f t="shared" si="1"/>
        <v>0</v>
      </c>
      <c r="K37" s="1">
        <v>2.91</v>
      </c>
      <c r="L37" s="3">
        <v>23243.4</v>
      </c>
      <c r="M37" s="16">
        <v>0</v>
      </c>
      <c r="N37">
        <f t="shared" si="2"/>
        <v>0</v>
      </c>
      <c r="O37" s="17"/>
      <c r="P37" s="1">
        <v>2.91</v>
      </c>
      <c r="Q37" s="3">
        <v>23243.4</v>
      </c>
      <c r="R37" s="17">
        <v>1.9712794888931899E-5</v>
      </c>
      <c r="S37">
        <f t="shared" si="3"/>
        <v>0.45819237672139973</v>
      </c>
      <c r="U37" s="1">
        <v>2.91</v>
      </c>
      <c r="V37" s="3">
        <v>23243.4</v>
      </c>
      <c r="W37" s="17">
        <v>3.1804308244156099E-6</v>
      </c>
      <c r="X37">
        <f t="shared" si="4"/>
        <v>7.3924025824221792E-2</v>
      </c>
      <c r="Z37" s="1">
        <v>2.91</v>
      </c>
      <c r="AA37" s="3">
        <v>23243.4</v>
      </c>
      <c r="AB37" s="17">
        <v>2.7642733624600802E-10</v>
      </c>
      <c r="AC37">
        <f t="shared" si="5"/>
        <v>6.4251111473004633E-6</v>
      </c>
      <c r="AE37" s="1">
        <v>2.91</v>
      </c>
      <c r="AF37" s="3">
        <v>23243.4</v>
      </c>
      <c r="AG37" s="16">
        <v>0</v>
      </c>
      <c r="AH37">
        <f t="shared" si="6"/>
        <v>0</v>
      </c>
      <c r="AJ37" s="1">
        <v>2.91</v>
      </c>
      <c r="AK37" s="3">
        <v>23243.4</v>
      </c>
      <c r="AL37" s="17">
        <v>8.6380546791600199E-7</v>
      </c>
      <c r="AM37">
        <f t="shared" si="7"/>
        <v>2.0077776012958803E-2</v>
      </c>
      <c r="AO37" s="1">
        <v>2.91</v>
      </c>
      <c r="AP37" s="3">
        <v>23243.4</v>
      </c>
      <c r="AQ37" s="17">
        <v>1.57263428039761E-9</v>
      </c>
      <c r="AR37">
        <f t="shared" si="8"/>
        <v>3.6553367632993811E-5</v>
      </c>
      <c r="AT37" s="1">
        <v>2.91</v>
      </c>
      <c r="AU37" s="3">
        <v>23243.4</v>
      </c>
      <c r="AV37" s="17">
        <v>2.2590488574144601E-5</v>
      </c>
      <c r="AW37">
        <f t="shared" si="9"/>
        <v>0.52507976212427265</v>
      </c>
    </row>
    <row r="38" spans="1:49" x14ac:dyDescent="0.3">
      <c r="A38" s="1">
        <v>3.21</v>
      </c>
      <c r="B38" s="16">
        <v>27428.3</v>
      </c>
      <c r="C38" s="17">
        <v>4.1888244397017904E-6</v>
      </c>
      <c r="D38">
        <f t="shared" si="0"/>
        <v>0.11489233337947262</v>
      </c>
      <c r="F38" s="1">
        <v>3.21</v>
      </c>
      <c r="G38" s="3">
        <v>27428.3</v>
      </c>
      <c r="H38" s="17">
        <v>1.9228333694907701E-13</v>
      </c>
      <c r="I38" s="17">
        <f t="shared" si="1"/>
        <v>5.2740050508403689E-9</v>
      </c>
      <c r="K38" s="1">
        <v>3.21</v>
      </c>
      <c r="L38" s="3">
        <v>27428.3</v>
      </c>
      <c r="M38" s="17">
        <v>2.98403342993714E-11</v>
      </c>
      <c r="N38">
        <f t="shared" si="2"/>
        <v>8.184696412634486E-7</v>
      </c>
      <c r="O38" s="17"/>
      <c r="P38" s="1">
        <v>3.21</v>
      </c>
      <c r="Q38" s="3">
        <v>27428.3</v>
      </c>
      <c r="R38" s="17">
        <v>2.46092944570132E-5</v>
      </c>
      <c r="S38">
        <f t="shared" si="3"/>
        <v>0.67499111115529509</v>
      </c>
      <c r="U38" s="1">
        <v>3.21</v>
      </c>
      <c r="V38" s="3">
        <v>27428.3</v>
      </c>
      <c r="W38" s="17">
        <v>4.0604573679075699E-6</v>
      </c>
      <c r="X38">
        <f t="shared" si="4"/>
        <v>0.1113714428241792</v>
      </c>
      <c r="Z38" s="1">
        <v>3.21</v>
      </c>
      <c r="AA38" s="3">
        <v>27428.3</v>
      </c>
      <c r="AB38" s="17">
        <v>4.6310946331083299E-10</v>
      </c>
      <c r="AC38">
        <f t="shared" si="5"/>
        <v>1.2702305292528519E-5</v>
      </c>
      <c r="AE38" s="1">
        <v>3.21</v>
      </c>
      <c r="AF38" s="3">
        <v>27428.3</v>
      </c>
      <c r="AG38" s="16">
        <v>0</v>
      </c>
      <c r="AH38">
        <f t="shared" si="6"/>
        <v>0</v>
      </c>
      <c r="AJ38" s="1">
        <v>3.21</v>
      </c>
      <c r="AK38" s="3">
        <v>27428.3</v>
      </c>
      <c r="AL38" s="17">
        <v>8.4828510760349305E-7</v>
      </c>
      <c r="AM38">
        <f t="shared" si="7"/>
        <v>2.3267018416880888E-2</v>
      </c>
      <c r="AO38" s="1">
        <v>3.21</v>
      </c>
      <c r="AP38" s="3">
        <v>27428.3</v>
      </c>
      <c r="AQ38" s="17">
        <v>1.2413625686126101E-9</v>
      </c>
      <c r="AR38">
        <f t="shared" si="8"/>
        <v>3.404846494067725E-5</v>
      </c>
      <c r="AT38" s="1">
        <v>3.21</v>
      </c>
      <c r="AU38" s="3">
        <v>27428.3</v>
      </c>
      <c r="AV38" s="17">
        <v>3.4285808046755499E-5</v>
      </c>
      <c r="AW38">
        <f t="shared" si="9"/>
        <v>0.94040142884882383</v>
      </c>
    </row>
    <row r="39" spans="1:49" x14ac:dyDescent="0.3">
      <c r="A39" s="1">
        <v>3.54</v>
      </c>
      <c r="B39" s="16">
        <v>28450.5</v>
      </c>
      <c r="C39" s="17">
        <v>3.3048442219039801E-6</v>
      </c>
      <c r="D39">
        <f t="shared" si="0"/>
        <v>9.4024470535279181E-2</v>
      </c>
      <c r="F39" s="1">
        <v>3.54</v>
      </c>
      <c r="G39" s="3">
        <v>28450.5</v>
      </c>
      <c r="H39" s="17">
        <v>1.1113727481438599E-12</v>
      </c>
      <c r="I39" s="17">
        <f t="shared" si="1"/>
        <v>3.1619110371066885E-8</v>
      </c>
      <c r="K39" s="1">
        <v>3.54</v>
      </c>
      <c r="L39" s="3">
        <v>28450.5</v>
      </c>
      <c r="M39" s="17">
        <v>7.2453933172006095E-10</v>
      </c>
      <c r="N39">
        <f t="shared" si="2"/>
        <v>2.0613506257101593E-5</v>
      </c>
      <c r="O39" s="17"/>
      <c r="P39" s="1">
        <v>3.54</v>
      </c>
      <c r="Q39" s="3">
        <v>28450.5</v>
      </c>
      <c r="R39" s="17">
        <v>3.4861796942933402E-5</v>
      </c>
      <c r="S39">
        <f t="shared" si="3"/>
        <v>0.99183555392492673</v>
      </c>
      <c r="U39" s="1">
        <v>3.54</v>
      </c>
      <c r="V39" s="3">
        <v>28450.5</v>
      </c>
      <c r="W39" s="17">
        <v>5.3038774422666496E-6</v>
      </c>
      <c r="X39">
        <f t="shared" si="4"/>
        <v>0.15089796517120732</v>
      </c>
      <c r="Z39" s="1">
        <v>3.54</v>
      </c>
      <c r="AA39" s="3">
        <v>28450.5</v>
      </c>
      <c r="AB39" s="17">
        <v>2.4558743895755902E-9</v>
      </c>
      <c r="AC39">
        <f t="shared" si="5"/>
        <v>6.987085432062033E-5</v>
      </c>
      <c r="AE39" s="1">
        <v>3.54</v>
      </c>
      <c r="AF39" s="3">
        <v>28450.5</v>
      </c>
      <c r="AG39" s="16">
        <v>0</v>
      </c>
      <c r="AH39">
        <f t="shared" si="6"/>
        <v>0</v>
      </c>
      <c r="AJ39" s="1">
        <v>3.54</v>
      </c>
      <c r="AK39" s="3">
        <v>28450.5</v>
      </c>
      <c r="AL39" s="17">
        <v>8.2073183103448503E-7</v>
      </c>
      <c r="AM39">
        <f t="shared" si="7"/>
        <v>2.3350230958846616E-2</v>
      </c>
      <c r="AO39" s="1">
        <v>3.54</v>
      </c>
      <c r="AP39" s="3">
        <v>28450.5</v>
      </c>
      <c r="AQ39" s="17">
        <v>9.2099555238773899E-10</v>
      </c>
      <c r="AR39">
        <f t="shared" si="8"/>
        <v>2.6202783963207368E-5</v>
      </c>
      <c r="AT39" s="1">
        <v>3.54</v>
      </c>
      <c r="AU39" s="3">
        <v>28450.5</v>
      </c>
      <c r="AV39" s="17">
        <v>4.0956249895859098E-5</v>
      </c>
      <c r="AW39">
        <f t="shared" si="9"/>
        <v>1.1652257876621392</v>
      </c>
    </row>
    <row r="40" spans="1:49" x14ac:dyDescent="0.3">
      <c r="A40" s="1">
        <v>3.9</v>
      </c>
      <c r="B40" s="16">
        <v>27544.1</v>
      </c>
      <c r="C40" s="17">
        <v>2.6902766366012302E-6</v>
      </c>
      <c r="D40">
        <f t="shared" si="0"/>
        <v>7.4101248706207934E-2</v>
      </c>
      <c r="F40" s="1">
        <v>3.9</v>
      </c>
      <c r="G40" s="3">
        <v>27544.1</v>
      </c>
      <c r="H40" s="17">
        <v>2.6683296894200202E-10</v>
      </c>
      <c r="I40" s="17">
        <f t="shared" si="1"/>
        <v>7.349673979835398E-6</v>
      </c>
      <c r="K40" s="1">
        <v>3.9</v>
      </c>
      <c r="L40" s="3">
        <v>27544.1</v>
      </c>
      <c r="M40" s="17">
        <v>2.1433205088848501E-9</v>
      </c>
      <c r="N40">
        <f t="shared" si="2"/>
        <v>5.9035834428775194E-5</v>
      </c>
      <c r="O40" s="17"/>
      <c r="P40" s="1">
        <v>3.9</v>
      </c>
      <c r="Q40" s="3">
        <v>27544.1</v>
      </c>
      <c r="R40" s="17">
        <v>3.9338394179371403E-5</v>
      </c>
      <c r="S40">
        <f t="shared" si="3"/>
        <v>1.0835406631160238</v>
      </c>
      <c r="U40" s="1">
        <v>3.9</v>
      </c>
      <c r="V40" s="3">
        <v>27544.1</v>
      </c>
      <c r="W40" s="17">
        <v>6.4564072346025804E-6</v>
      </c>
      <c r="X40">
        <f t="shared" si="4"/>
        <v>0.17783592651061692</v>
      </c>
      <c r="Z40" s="1">
        <v>3.9</v>
      </c>
      <c r="AA40" s="3">
        <v>27544.1</v>
      </c>
      <c r="AB40" s="17">
        <v>5.9645228448937099E-9</v>
      </c>
      <c r="AC40">
        <f t="shared" si="5"/>
        <v>1.6428741369203684E-4</v>
      </c>
      <c r="AE40" s="1">
        <v>3.9</v>
      </c>
      <c r="AF40" s="3">
        <v>27544.1</v>
      </c>
      <c r="AG40" s="17">
        <v>6.3476408294712398E-11</v>
      </c>
      <c r="AH40">
        <f t="shared" si="6"/>
        <v>1.7484005377103877E-6</v>
      </c>
      <c r="AJ40" s="1">
        <v>3.9</v>
      </c>
      <c r="AK40" s="3">
        <v>27544.1</v>
      </c>
      <c r="AL40" s="17">
        <v>8.0102011307636399E-7</v>
      </c>
      <c r="AM40">
        <f t="shared" si="7"/>
        <v>2.2063378096586678E-2</v>
      </c>
      <c r="AO40" s="1">
        <v>3.9</v>
      </c>
      <c r="AP40" s="3">
        <v>27544.1</v>
      </c>
      <c r="AQ40" s="17">
        <v>7.2088115545147401E-10</v>
      </c>
      <c r="AR40">
        <f t="shared" si="8"/>
        <v>1.9856022633870944E-5</v>
      </c>
      <c r="AT40" s="1">
        <v>3.9</v>
      </c>
      <c r="AU40" s="3">
        <v>27544.1</v>
      </c>
      <c r="AV40" s="17">
        <v>4.3223896259180298E-5</v>
      </c>
      <c r="AW40">
        <f t="shared" si="9"/>
        <v>1.190563320952488</v>
      </c>
    </row>
    <row r="41" spans="1:49" x14ac:dyDescent="0.3">
      <c r="A41" s="1">
        <v>4.3</v>
      </c>
      <c r="B41" s="16">
        <v>30331.8</v>
      </c>
      <c r="C41" s="17">
        <v>2.1080351108213599E-6</v>
      </c>
      <c r="D41">
        <f t="shared" si="0"/>
        <v>6.3940499374411319E-2</v>
      </c>
      <c r="F41" s="1">
        <v>4.3</v>
      </c>
      <c r="G41" s="3">
        <v>30331.8</v>
      </c>
      <c r="H41" s="17">
        <v>2.11406621892001E-8</v>
      </c>
      <c r="I41" s="17">
        <f t="shared" si="1"/>
        <v>6.412343373903796E-4</v>
      </c>
      <c r="K41" s="1">
        <v>4.3</v>
      </c>
      <c r="L41" s="3">
        <v>30331.8</v>
      </c>
      <c r="M41" s="17">
        <v>3.8101096598138801E-9</v>
      </c>
      <c r="N41">
        <f t="shared" si="2"/>
        <v>1.1556748417954265E-4</v>
      </c>
      <c r="O41" s="17"/>
      <c r="P41" s="1">
        <v>4.3</v>
      </c>
      <c r="Q41" s="3">
        <v>30331.8</v>
      </c>
      <c r="R41" s="17">
        <v>4.5035881571201501E-5</v>
      </c>
      <c r="S41">
        <f t="shared" si="3"/>
        <v>1.3660193526413698</v>
      </c>
      <c r="U41" s="1">
        <v>4.3</v>
      </c>
      <c r="V41" s="3">
        <v>30331.8</v>
      </c>
      <c r="W41" s="17">
        <v>8.8854778138166708E-6</v>
      </c>
      <c r="X41">
        <f t="shared" si="4"/>
        <v>0.26951253595312447</v>
      </c>
      <c r="Z41" s="1">
        <v>4.3</v>
      </c>
      <c r="AA41" s="3">
        <v>30331.8</v>
      </c>
      <c r="AB41" s="17">
        <v>1.0430075424389399E-8</v>
      </c>
      <c r="AC41">
        <f t="shared" si="5"/>
        <v>3.1636296175749438E-4</v>
      </c>
      <c r="AE41" s="1">
        <v>4.3</v>
      </c>
      <c r="AF41" s="3">
        <v>30331.8</v>
      </c>
      <c r="AG41" s="17">
        <v>3.9427586472382801E-10</v>
      </c>
      <c r="AH41">
        <f t="shared" si="6"/>
        <v>1.1959096673630207E-5</v>
      </c>
      <c r="AJ41" s="1">
        <v>4.3</v>
      </c>
      <c r="AK41" s="3">
        <v>30331.8</v>
      </c>
      <c r="AL41" s="17">
        <v>7.8415586108882297E-7</v>
      </c>
      <c r="AM41">
        <f t="shared" si="7"/>
        <v>2.378485874737396E-2</v>
      </c>
      <c r="AO41" s="1">
        <v>4.3</v>
      </c>
      <c r="AP41" s="3">
        <v>30331.8</v>
      </c>
      <c r="AQ41" s="17">
        <v>6.2986885331544698E-10</v>
      </c>
      <c r="AR41">
        <f t="shared" si="8"/>
        <v>1.9105056084993475E-5</v>
      </c>
      <c r="AT41" s="1">
        <v>4.3</v>
      </c>
      <c r="AU41" s="3">
        <v>30331.8</v>
      </c>
      <c r="AV41" s="17">
        <v>6.9492373992453805E-5</v>
      </c>
      <c r="AW41">
        <f t="shared" si="9"/>
        <v>2.1078287894643104</v>
      </c>
    </row>
    <row r="42" spans="1:49" x14ac:dyDescent="0.3">
      <c r="A42" s="1">
        <v>4.7300000000000004</v>
      </c>
      <c r="B42" s="16">
        <v>23552.7</v>
      </c>
      <c r="C42" s="17">
        <v>1.71509873202892E-6</v>
      </c>
      <c r="D42">
        <f t="shared" si="0"/>
        <v>4.0395205905857545E-2</v>
      </c>
      <c r="F42" s="1">
        <v>4.7300000000000004</v>
      </c>
      <c r="G42" s="3">
        <v>23552.7</v>
      </c>
      <c r="H42" s="17">
        <v>2.90398630954835E-7</v>
      </c>
      <c r="I42" s="17">
        <f t="shared" si="1"/>
        <v>6.8396718352899425E-3</v>
      </c>
      <c r="K42" s="1">
        <v>4.7300000000000004</v>
      </c>
      <c r="L42" s="3">
        <v>23552.7</v>
      </c>
      <c r="M42" s="17">
        <v>8.7199798084281894E-9</v>
      </c>
      <c r="N42">
        <f t="shared" si="2"/>
        <v>2.0537906843396664E-4</v>
      </c>
      <c r="O42" s="17"/>
      <c r="P42" s="1">
        <v>4.7300000000000004</v>
      </c>
      <c r="Q42" s="3">
        <v>23552.7</v>
      </c>
      <c r="R42" s="17">
        <v>5.1292867729337199E-5</v>
      </c>
      <c r="S42">
        <f t="shared" si="3"/>
        <v>1.2080855257687604</v>
      </c>
      <c r="U42" s="1">
        <v>4.7300000000000004</v>
      </c>
      <c r="V42" s="3">
        <v>23552.7</v>
      </c>
      <c r="W42" s="17">
        <v>1.1116869814101499E-5</v>
      </c>
      <c r="X42">
        <f t="shared" si="4"/>
        <v>0.26183229967058841</v>
      </c>
      <c r="Z42" s="1">
        <v>4.7300000000000004</v>
      </c>
      <c r="AA42" s="3">
        <v>23552.7</v>
      </c>
      <c r="AB42" s="17">
        <v>2.8405366728440899E-8</v>
      </c>
      <c r="AC42">
        <f t="shared" si="5"/>
        <v>6.6902308094495E-4</v>
      </c>
      <c r="AE42" s="1">
        <v>4.7300000000000004</v>
      </c>
      <c r="AF42" s="3">
        <v>23552.7</v>
      </c>
      <c r="AG42" s="17">
        <v>2.58541550638576E-8</v>
      </c>
      <c r="AH42">
        <f t="shared" si="6"/>
        <v>6.0893515797251887E-4</v>
      </c>
      <c r="AJ42" s="1">
        <v>4.7300000000000004</v>
      </c>
      <c r="AK42" s="3">
        <v>23552.7</v>
      </c>
      <c r="AL42" s="17">
        <v>7.8415586108882297E-7</v>
      </c>
      <c r="AM42">
        <f t="shared" si="7"/>
        <v>1.8468987749466721E-2</v>
      </c>
      <c r="AO42" s="1">
        <v>4.7300000000000004</v>
      </c>
      <c r="AP42" s="3">
        <v>23552.7</v>
      </c>
      <c r="AQ42" s="17">
        <v>5.66274977303178E-10</v>
      </c>
      <c r="AR42">
        <f t="shared" si="8"/>
        <v>1.333730465792856E-5</v>
      </c>
      <c r="AT42" s="1">
        <v>4.7300000000000004</v>
      </c>
      <c r="AU42" s="3">
        <v>23552.7</v>
      </c>
      <c r="AV42" s="17">
        <v>6.5092202247913396E-5</v>
      </c>
      <c r="AW42">
        <f t="shared" si="9"/>
        <v>1.5330971118844299</v>
      </c>
    </row>
    <row r="43" spans="1:49" x14ac:dyDescent="0.3">
      <c r="A43" s="1">
        <v>5.22</v>
      </c>
      <c r="B43" s="16">
        <v>29533.5</v>
      </c>
      <c r="C43" s="17">
        <v>1.31622155708229E-6</v>
      </c>
      <c r="D43">
        <f t="shared" si="0"/>
        <v>3.8872629356089816E-2</v>
      </c>
      <c r="F43" s="1">
        <v>5.22</v>
      </c>
      <c r="G43" s="3">
        <v>29533.5</v>
      </c>
      <c r="H43" s="17">
        <v>1.7618610499984101E-6</v>
      </c>
      <c r="I43" s="17">
        <f t="shared" si="1"/>
        <v>5.2033923320128045E-2</v>
      </c>
      <c r="K43" s="1">
        <v>5.22</v>
      </c>
      <c r="L43" s="3">
        <v>29533.5</v>
      </c>
      <c r="M43" s="17">
        <v>8.0488347837744199E-8</v>
      </c>
      <c r="N43">
        <f t="shared" si="2"/>
        <v>2.3771026208660182E-3</v>
      </c>
      <c r="O43" s="17"/>
      <c r="P43" s="1">
        <v>5.22</v>
      </c>
      <c r="Q43" s="3">
        <v>29533.5</v>
      </c>
      <c r="R43" s="17">
        <v>5.6249635215436501E-5</v>
      </c>
      <c r="S43">
        <f t="shared" si="3"/>
        <v>1.6612486016350938</v>
      </c>
      <c r="U43" s="1">
        <v>5.22</v>
      </c>
      <c r="V43" s="3">
        <v>29533.5</v>
      </c>
      <c r="W43" s="17">
        <v>1.2958785129248701E-5</v>
      </c>
      <c r="X43">
        <f t="shared" si="4"/>
        <v>0.38271828061466651</v>
      </c>
      <c r="Z43" s="1">
        <v>5.22</v>
      </c>
      <c r="AA43" s="3">
        <v>29533.5</v>
      </c>
      <c r="AB43" s="17">
        <v>6.3545228068305806E-8</v>
      </c>
      <c r="AC43">
        <f t="shared" si="5"/>
        <v>1.8767129931553095E-3</v>
      </c>
      <c r="AE43" s="1">
        <v>5.22</v>
      </c>
      <c r="AF43" s="3">
        <v>29533.5</v>
      </c>
      <c r="AG43" s="17">
        <v>1.11819220651184E-7</v>
      </c>
      <c r="AH43">
        <f t="shared" si="6"/>
        <v>3.3024129531017427E-3</v>
      </c>
      <c r="AJ43" s="1">
        <v>5.22</v>
      </c>
      <c r="AK43" s="3">
        <v>29533.5</v>
      </c>
      <c r="AL43" s="17">
        <v>7.9168843810600995E-7</v>
      </c>
      <c r="AM43">
        <f t="shared" si="7"/>
        <v>2.3381330486803846E-2</v>
      </c>
      <c r="AO43" s="1">
        <v>5.22</v>
      </c>
      <c r="AP43" s="3">
        <v>29533.5</v>
      </c>
      <c r="AQ43" s="17">
        <v>5.42078977859146E-10</v>
      </c>
      <c r="AR43">
        <f t="shared" si="8"/>
        <v>1.6009489492603089E-5</v>
      </c>
      <c r="AT43" s="1">
        <v>5.22</v>
      </c>
      <c r="AU43" s="3">
        <v>29533.5</v>
      </c>
      <c r="AV43" s="17">
        <v>5.6187366859622097E-5</v>
      </c>
      <c r="AW43">
        <f t="shared" si="9"/>
        <v>1.6594095991486493</v>
      </c>
    </row>
    <row r="44" spans="1:49" x14ac:dyDescent="0.3">
      <c r="A44" s="1">
        <v>5.75</v>
      </c>
      <c r="B44" s="16">
        <v>26173.7</v>
      </c>
      <c r="C44" s="17">
        <v>1.07350570878946E-6</v>
      </c>
      <c r="D44">
        <f t="shared" si="0"/>
        <v>2.809761637014269E-2</v>
      </c>
      <c r="F44" s="1">
        <v>5.75</v>
      </c>
      <c r="G44" s="3">
        <v>26173.7</v>
      </c>
      <c r="H44" s="17">
        <v>8.9623976255131208E-6</v>
      </c>
      <c r="I44" s="17">
        <f t="shared" si="1"/>
        <v>0.23457910673089277</v>
      </c>
      <c r="K44" s="1">
        <v>5.75</v>
      </c>
      <c r="L44" s="3">
        <v>26173.7</v>
      </c>
      <c r="M44" s="17">
        <v>1.09503036444202E-6</v>
      </c>
      <c r="N44">
        <f t="shared" si="2"/>
        <v>2.8660996249796102E-2</v>
      </c>
      <c r="O44" s="17"/>
      <c r="P44" s="1">
        <v>5.75</v>
      </c>
      <c r="Q44" s="3">
        <v>26173.7</v>
      </c>
      <c r="R44" s="17">
        <v>6.4711175016917596E-5</v>
      </c>
      <c r="S44">
        <f t="shared" si="3"/>
        <v>1.6937308815402961</v>
      </c>
      <c r="U44" s="1">
        <v>5.75</v>
      </c>
      <c r="V44" s="3">
        <v>26173.7</v>
      </c>
      <c r="W44" s="17">
        <v>1.42778161891206E-5</v>
      </c>
      <c r="X44">
        <f t="shared" si="4"/>
        <v>0.37370327758918587</v>
      </c>
      <c r="Z44" s="1">
        <v>5.75</v>
      </c>
      <c r="AA44" s="3">
        <v>26173.7</v>
      </c>
      <c r="AB44" s="17">
        <v>1.3525791349922E-7</v>
      </c>
      <c r="AC44">
        <f t="shared" si="5"/>
        <v>3.5402000505545344E-3</v>
      </c>
      <c r="AE44" s="1">
        <v>5.75</v>
      </c>
      <c r="AF44" s="3">
        <v>26173.7</v>
      </c>
      <c r="AG44" s="17">
        <v>6.6574449289433303E-7</v>
      </c>
      <c r="AH44">
        <f t="shared" si="6"/>
        <v>1.7424996633668404E-2</v>
      </c>
      <c r="AJ44" s="1">
        <v>5.75</v>
      </c>
      <c r="AK44" s="3">
        <v>26173.7</v>
      </c>
      <c r="AL44" s="17">
        <v>7.9956382613135904E-7</v>
      </c>
      <c r="AM44">
        <f t="shared" si="7"/>
        <v>2.0927543716014352E-2</v>
      </c>
      <c r="AO44" s="1">
        <v>5.75</v>
      </c>
      <c r="AP44" s="3">
        <v>26173.7</v>
      </c>
      <c r="AQ44" s="17">
        <v>5.3351402230373696E-10</v>
      </c>
      <c r="AR44">
        <f t="shared" si="8"/>
        <v>1.396403596557132E-5</v>
      </c>
      <c r="AT44" s="1">
        <v>5.75</v>
      </c>
      <c r="AU44" s="3">
        <v>26173.7</v>
      </c>
      <c r="AV44" s="17">
        <v>5.9979707427124099E-5</v>
      </c>
      <c r="AW44">
        <f t="shared" si="9"/>
        <v>1.5698908682853181</v>
      </c>
    </row>
    <row r="45" spans="1:49" x14ac:dyDescent="0.3">
      <c r="A45" s="1">
        <v>6.34</v>
      </c>
      <c r="B45" s="16">
        <v>25247.7</v>
      </c>
      <c r="C45" s="17">
        <v>8.1508986600570595E-7</v>
      </c>
      <c r="D45">
        <f t="shared" si="0"/>
        <v>2.0579144409952264E-2</v>
      </c>
      <c r="F45" s="1">
        <v>6.34</v>
      </c>
      <c r="G45" s="3">
        <v>25247.7</v>
      </c>
      <c r="H45" s="17">
        <v>2.79826424296229E-5</v>
      </c>
      <c r="I45" s="17">
        <f t="shared" si="1"/>
        <v>0.70649736127039009</v>
      </c>
      <c r="K45" s="1">
        <v>6.34</v>
      </c>
      <c r="L45" s="3">
        <v>25247.7</v>
      </c>
      <c r="M45" s="17">
        <v>8.1002668164306596E-6</v>
      </c>
      <c r="N45">
        <f t="shared" si="2"/>
        <v>0.20451310650119636</v>
      </c>
      <c r="O45" s="17"/>
      <c r="P45" s="1">
        <v>6.34</v>
      </c>
      <c r="Q45" s="3">
        <v>25247.7</v>
      </c>
      <c r="R45" s="17">
        <v>7.3358641029283296E-5</v>
      </c>
      <c r="S45">
        <f t="shared" si="3"/>
        <v>1.852136961115036</v>
      </c>
      <c r="U45" s="1">
        <v>6.34</v>
      </c>
      <c r="V45" s="3">
        <v>25247.7</v>
      </c>
      <c r="W45" s="17">
        <v>1.50849841881447E-5</v>
      </c>
      <c r="X45">
        <f t="shared" si="4"/>
        <v>0.38086115528702097</v>
      </c>
      <c r="Z45" s="1">
        <v>6.34</v>
      </c>
      <c r="AA45" s="3">
        <v>25247.7</v>
      </c>
      <c r="AB45" s="17">
        <v>2.3819455605505E-7</v>
      </c>
      <c r="AC45">
        <f t="shared" si="5"/>
        <v>6.013864692911086E-3</v>
      </c>
      <c r="AE45" s="1">
        <v>6.34</v>
      </c>
      <c r="AF45" s="3">
        <v>25247.7</v>
      </c>
      <c r="AG45" s="17">
        <v>2.4561447310664699E-6</v>
      </c>
      <c r="AH45">
        <f t="shared" si="6"/>
        <v>6.2012005326546916E-2</v>
      </c>
      <c r="AJ45" s="1">
        <v>6.34</v>
      </c>
      <c r="AK45" s="3">
        <v>25247.7</v>
      </c>
      <c r="AL45" s="17">
        <v>8.1149349479603203E-7</v>
      </c>
      <c r="AM45">
        <f t="shared" si="7"/>
        <v>2.0488344308561779E-2</v>
      </c>
      <c r="AO45" s="1">
        <v>6.34</v>
      </c>
      <c r="AP45" s="3">
        <v>25247.7</v>
      </c>
      <c r="AQ45" s="17">
        <v>5.3832767436374004E-10</v>
      </c>
      <c r="AR45">
        <f t="shared" si="8"/>
        <v>1.35915356240334E-5</v>
      </c>
      <c r="AT45" s="1">
        <v>6.34</v>
      </c>
      <c r="AU45" s="3">
        <v>25247.7</v>
      </c>
      <c r="AV45" s="17">
        <v>7.3114568899368903E-5</v>
      </c>
      <c r="AW45">
        <f t="shared" si="9"/>
        <v>1.8459747012005963</v>
      </c>
    </row>
    <row r="46" spans="1:49" x14ac:dyDescent="0.3">
      <c r="A46" s="1">
        <v>6.98</v>
      </c>
      <c r="B46" s="16">
        <v>25289.1</v>
      </c>
      <c r="C46" s="17">
        <v>5.69915712467363E-7</v>
      </c>
      <c r="D46">
        <f t="shared" si="0"/>
        <v>1.4412655444158389E-2</v>
      </c>
      <c r="F46" s="1">
        <v>6.98</v>
      </c>
      <c r="G46" s="3">
        <v>25289.1</v>
      </c>
      <c r="H46" s="17">
        <v>4.2077613234253E-5</v>
      </c>
      <c r="I46" s="17">
        <f t="shared" si="1"/>
        <v>1.0641049688423474</v>
      </c>
      <c r="K46" s="1">
        <v>6.98</v>
      </c>
      <c r="L46" s="3">
        <v>25289.1</v>
      </c>
      <c r="M46" s="17">
        <v>3.8537563664868003E-5</v>
      </c>
      <c r="N46">
        <f t="shared" si="2"/>
        <v>0.9745803012772134</v>
      </c>
      <c r="O46" s="17"/>
      <c r="P46" s="1">
        <v>6.98</v>
      </c>
      <c r="Q46" s="3">
        <v>25289.1</v>
      </c>
      <c r="R46" s="17">
        <v>7.6647131834044305E-5</v>
      </c>
      <c r="S46">
        <f t="shared" si="3"/>
        <v>1.9383369816643297</v>
      </c>
      <c r="U46" s="1">
        <v>6.98</v>
      </c>
      <c r="V46" s="3">
        <v>25289.1</v>
      </c>
      <c r="W46" s="17">
        <v>1.55081438448059E-5</v>
      </c>
      <c r="X46">
        <f t="shared" si="4"/>
        <v>0.39218700050568089</v>
      </c>
      <c r="Z46" s="1">
        <v>6.98</v>
      </c>
      <c r="AA46" s="3">
        <v>25289.1</v>
      </c>
      <c r="AB46" s="17">
        <v>4.0011504374748702E-7</v>
      </c>
      <c r="AC46">
        <f t="shared" si="5"/>
        <v>1.0118549352834573E-2</v>
      </c>
      <c r="AE46" s="1">
        <v>6.98</v>
      </c>
      <c r="AF46" s="3">
        <v>25289.1</v>
      </c>
      <c r="AG46" s="17">
        <v>5.0415602374522298E-6</v>
      </c>
      <c r="AH46">
        <f t="shared" si="6"/>
        <v>0.12749652100095318</v>
      </c>
      <c r="AJ46" s="1">
        <v>6.98</v>
      </c>
      <c r="AK46" s="3">
        <v>25289.1</v>
      </c>
      <c r="AL46" s="17">
        <v>8.1668015623420203E-7</v>
      </c>
      <c r="AM46">
        <f t="shared" si="7"/>
        <v>2.0653106139022357E-2</v>
      </c>
      <c r="AO46" s="1">
        <v>6.98</v>
      </c>
      <c r="AP46" s="3">
        <v>25289.1</v>
      </c>
      <c r="AQ46" s="17">
        <v>5.4640372902263902E-10</v>
      </c>
      <c r="AR46">
        <f t="shared" si="8"/>
        <v>1.3818058543626419E-5</v>
      </c>
      <c r="AT46" s="1">
        <v>6.98</v>
      </c>
      <c r="AU46" s="3">
        <v>25289.1</v>
      </c>
      <c r="AV46" s="17">
        <v>7.3751494436474801E-5</v>
      </c>
      <c r="AW46">
        <f t="shared" si="9"/>
        <v>1.8651089179534548</v>
      </c>
    </row>
    <row r="47" spans="1:49" x14ac:dyDescent="0.3">
      <c r="A47" s="1">
        <v>7.7</v>
      </c>
      <c r="B47" s="16">
        <v>20909.099999999999</v>
      </c>
      <c r="C47" s="17">
        <v>2.8046586245152599E-7</v>
      </c>
      <c r="D47">
        <f t="shared" si="0"/>
        <v>5.8642887645852021E-3</v>
      </c>
      <c r="F47" s="1">
        <v>7.7</v>
      </c>
      <c r="G47" s="3">
        <v>20909.099999999999</v>
      </c>
      <c r="H47" s="17">
        <v>5.8422774430080601E-5</v>
      </c>
      <c r="I47" s="17">
        <f t="shared" si="1"/>
        <v>1.2215676328359981</v>
      </c>
      <c r="K47" s="1">
        <v>7.7</v>
      </c>
      <c r="L47" s="3">
        <v>20909.099999999999</v>
      </c>
      <c r="M47" s="17">
        <v>9.7905253635319702E-5</v>
      </c>
      <c r="N47">
        <f t="shared" si="2"/>
        <v>2.0471107387862633</v>
      </c>
      <c r="O47" s="17"/>
      <c r="P47" s="1">
        <v>7.7</v>
      </c>
      <c r="Q47" s="3">
        <v>20909.099999999999</v>
      </c>
      <c r="R47" s="17">
        <v>7.82281370286409E-5</v>
      </c>
      <c r="S47">
        <f t="shared" si="3"/>
        <v>1.6356799399455553</v>
      </c>
      <c r="U47" s="1">
        <v>7.7</v>
      </c>
      <c r="V47" s="3">
        <v>20909.099999999999</v>
      </c>
      <c r="W47" s="17">
        <v>1.5636105745282601E-5</v>
      </c>
      <c r="X47">
        <f t="shared" si="4"/>
        <v>0.32693689863868841</v>
      </c>
      <c r="Z47" s="1">
        <v>7.7</v>
      </c>
      <c r="AA47" s="3">
        <v>20909.099999999999</v>
      </c>
      <c r="AB47" s="17">
        <v>5.8164087166334104E-7</v>
      </c>
      <c r="AC47">
        <f t="shared" si="5"/>
        <v>1.2161587149695964E-2</v>
      </c>
      <c r="AE47" s="1">
        <v>7.7</v>
      </c>
      <c r="AF47" s="3">
        <v>20909.099999999999</v>
      </c>
      <c r="AG47" s="17">
        <v>1.06002035761816E-5</v>
      </c>
      <c r="AH47">
        <f t="shared" si="6"/>
        <v>0.22164071659473866</v>
      </c>
      <c r="AJ47" s="1">
        <v>7.7</v>
      </c>
      <c r="AK47" s="3">
        <v>20909.099999999999</v>
      </c>
      <c r="AL47" s="17">
        <v>8.2544380334056499E-7</v>
      </c>
      <c r="AM47">
        <f t="shared" si="7"/>
        <v>1.7259287028428206E-2</v>
      </c>
      <c r="AO47" s="1">
        <v>7.7</v>
      </c>
      <c r="AP47" s="3">
        <v>20909.099999999999</v>
      </c>
      <c r="AQ47" s="17">
        <v>5.7680794276437197E-10</v>
      </c>
      <c r="AR47">
        <f t="shared" si="8"/>
        <v>1.206053495605453E-5</v>
      </c>
      <c r="AT47" s="1">
        <v>7.7</v>
      </c>
      <c r="AU47" s="3">
        <v>20909.099999999999</v>
      </c>
      <c r="AV47" s="17">
        <v>7.5452029586042501E-5</v>
      </c>
      <c r="AW47">
        <f t="shared" si="9"/>
        <v>1.577634031817521</v>
      </c>
    </row>
    <row r="48" spans="1:49" x14ac:dyDescent="0.3">
      <c r="A48" s="1">
        <v>8.48</v>
      </c>
      <c r="B48" s="16">
        <v>19586.5</v>
      </c>
      <c r="C48" s="17">
        <v>1.55198278843077E-7</v>
      </c>
      <c r="D48">
        <f t="shared" si="0"/>
        <v>3.0397910885599276E-3</v>
      </c>
      <c r="F48" s="1">
        <v>8.48</v>
      </c>
      <c r="G48" s="3">
        <v>19586.5</v>
      </c>
      <c r="H48" s="17">
        <v>7.9340048505383801E-5</v>
      </c>
      <c r="I48" s="17">
        <f t="shared" si="1"/>
        <v>1.5539938600506997</v>
      </c>
      <c r="K48" s="1">
        <v>8.48</v>
      </c>
      <c r="L48" s="3">
        <v>19586.5</v>
      </c>
      <c r="M48" s="16">
        <v>1.7684316219678301E-4</v>
      </c>
      <c r="N48">
        <f t="shared" si="2"/>
        <v>3.4637385963672904</v>
      </c>
      <c r="O48" s="17"/>
      <c r="P48" s="1">
        <v>8.48</v>
      </c>
      <c r="Q48" s="3">
        <v>19586.5</v>
      </c>
      <c r="R48" s="17">
        <v>7.9303220560966595E-5</v>
      </c>
      <c r="S48">
        <f t="shared" si="3"/>
        <v>1.5532725295173722</v>
      </c>
      <c r="U48" s="1">
        <v>8.48</v>
      </c>
      <c r="V48" s="3">
        <v>19586.5</v>
      </c>
      <c r="W48" s="17">
        <v>1.5711808179981399E-5</v>
      </c>
      <c r="X48">
        <f t="shared" si="4"/>
        <v>0.30773933091720568</v>
      </c>
      <c r="Z48" s="1">
        <v>8.48</v>
      </c>
      <c r="AA48" s="3">
        <v>19586.5</v>
      </c>
      <c r="AB48" s="17">
        <v>7.5736169431989004E-7</v>
      </c>
      <c r="AC48">
        <f t="shared" si="5"/>
        <v>1.4834064825796526E-2</v>
      </c>
      <c r="AE48" s="1">
        <v>8.48</v>
      </c>
      <c r="AF48" s="3">
        <v>19586.5</v>
      </c>
      <c r="AG48" s="17">
        <v>1.6934471566826699E-5</v>
      </c>
      <c r="AH48">
        <f t="shared" si="6"/>
        <v>0.33168702734365113</v>
      </c>
      <c r="AJ48" s="1">
        <v>8.48</v>
      </c>
      <c r="AK48" s="3">
        <v>19586.5</v>
      </c>
      <c r="AL48" s="17">
        <v>8.3837533790898302E-7</v>
      </c>
      <c r="AM48">
        <f t="shared" si="7"/>
        <v>1.6420838555954297E-2</v>
      </c>
      <c r="AO48" s="1">
        <v>8.48</v>
      </c>
      <c r="AP48" s="3">
        <v>19586.5</v>
      </c>
      <c r="AQ48" s="17">
        <v>6.2671764810090804E-10</v>
      </c>
      <c r="AR48">
        <f t="shared" si="8"/>
        <v>1.2275205214528435E-5</v>
      </c>
      <c r="AT48" s="1">
        <v>8.48</v>
      </c>
      <c r="AU48" s="3">
        <v>19586.5</v>
      </c>
      <c r="AV48" s="17">
        <v>7.5844719395195406E-5</v>
      </c>
      <c r="AW48">
        <f t="shared" si="9"/>
        <v>1.4855325964339949</v>
      </c>
    </row>
    <row r="49" spans="1:49" x14ac:dyDescent="0.3">
      <c r="A49" s="1">
        <v>9.35</v>
      </c>
      <c r="B49" s="16">
        <v>22744.9</v>
      </c>
      <c r="C49" s="17">
        <v>1.8359384231674501E-7</v>
      </c>
      <c r="D49">
        <f t="shared" si="0"/>
        <v>4.1758235841101339E-3</v>
      </c>
      <c r="F49" s="1">
        <v>9.35</v>
      </c>
      <c r="G49" s="3">
        <v>22744.9</v>
      </c>
      <c r="H49" s="17">
        <v>9.8491316691604801E-5</v>
      </c>
      <c r="I49" s="17">
        <f t="shared" si="1"/>
        <v>2.2401751490188824</v>
      </c>
      <c r="K49" s="1">
        <v>9.35</v>
      </c>
      <c r="L49" s="3">
        <v>22744.9</v>
      </c>
      <c r="M49" s="16">
        <v>2.84362027903751E-4</v>
      </c>
      <c r="N49">
        <f t="shared" si="2"/>
        <v>6.4677858884680264</v>
      </c>
      <c r="O49" s="17"/>
      <c r="P49" s="1">
        <v>9.35</v>
      </c>
      <c r="Q49" s="3">
        <v>22744.9</v>
      </c>
      <c r="R49" s="17">
        <v>7.9366460768750505E-5</v>
      </c>
      <c r="S49">
        <f t="shared" si="3"/>
        <v>1.8051822135391535</v>
      </c>
      <c r="U49" s="1">
        <v>9.35</v>
      </c>
      <c r="V49" s="3">
        <v>22744.9</v>
      </c>
      <c r="W49" s="17">
        <v>1.57770861353803E-5</v>
      </c>
      <c r="X49">
        <f t="shared" si="4"/>
        <v>0.35884824644061142</v>
      </c>
      <c r="Z49" s="1">
        <v>9.35</v>
      </c>
      <c r="AA49" s="3">
        <v>22744.9</v>
      </c>
      <c r="AB49" s="17">
        <v>1.1094488183497299E-6</v>
      </c>
      <c r="AC49">
        <f t="shared" si="5"/>
        <v>2.5234302428482774E-2</v>
      </c>
      <c r="AE49" s="1">
        <v>9.35</v>
      </c>
      <c r="AF49" s="3">
        <v>22744.9</v>
      </c>
      <c r="AG49" s="17">
        <v>2.6371238165134701E-5</v>
      </c>
      <c r="AH49">
        <f t="shared" si="6"/>
        <v>0.59981117494217229</v>
      </c>
      <c r="AJ49" s="1">
        <v>9.35</v>
      </c>
      <c r="AK49" s="3">
        <v>22744.9</v>
      </c>
      <c r="AL49" s="17">
        <v>8.4674577658136203E-7</v>
      </c>
      <c r="AM49">
        <f t="shared" si="7"/>
        <v>1.9259148013765423E-2</v>
      </c>
      <c r="AO49" s="1">
        <v>9.35</v>
      </c>
      <c r="AP49" s="3">
        <v>22744.9</v>
      </c>
      <c r="AQ49" s="17">
        <v>6.9293145815473096E-10</v>
      </c>
      <c r="AR49">
        <f t="shared" si="8"/>
        <v>1.5760656722583542E-5</v>
      </c>
      <c r="AT49" s="1">
        <v>9.35</v>
      </c>
      <c r="AU49" s="3">
        <v>22744.9</v>
      </c>
      <c r="AV49" s="17">
        <v>7.7240202701009202E-5</v>
      </c>
      <c r="AW49">
        <f t="shared" si="9"/>
        <v>1.7568206864141842</v>
      </c>
    </row>
    <row r="50" spans="1:49" x14ac:dyDescent="0.3">
      <c r="A50" s="1">
        <v>10.3</v>
      </c>
      <c r="B50" s="16">
        <v>20984.400000000001</v>
      </c>
      <c r="C50" s="17">
        <v>2.4704406601455499E-7</v>
      </c>
      <c r="D50">
        <f t="shared" si="0"/>
        <v>5.184071498875828E-3</v>
      </c>
      <c r="F50" s="1">
        <v>10.3</v>
      </c>
      <c r="G50" s="3">
        <v>20984.400000000001</v>
      </c>
      <c r="H50" s="16">
        <v>1.1994562296878699E-4</v>
      </c>
      <c r="I50" s="17">
        <f t="shared" si="1"/>
        <v>2.516986930626214</v>
      </c>
      <c r="K50" s="1">
        <v>10.3</v>
      </c>
      <c r="L50" s="3">
        <v>20984.400000000001</v>
      </c>
      <c r="M50" s="16">
        <v>3.6109358383724601E-4</v>
      </c>
      <c r="N50">
        <f t="shared" si="2"/>
        <v>7.5773322006743058</v>
      </c>
      <c r="O50" s="17"/>
      <c r="P50" s="1">
        <v>10.3</v>
      </c>
      <c r="Q50" s="3">
        <v>20984.400000000001</v>
      </c>
      <c r="R50" s="17">
        <v>7.7532494743018406E-5</v>
      </c>
      <c r="S50">
        <f t="shared" si="3"/>
        <v>1.6269728826853955</v>
      </c>
      <c r="U50" s="1">
        <v>10.3</v>
      </c>
      <c r="V50" s="3">
        <v>20984.400000000001</v>
      </c>
      <c r="W50" s="17">
        <v>1.5856359585479501E-5</v>
      </c>
      <c r="X50">
        <f t="shared" si="4"/>
        <v>0.33273619208553606</v>
      </c>
      <c r="Z50" s="1">
        <v>10.3</v>
      </c>
      <c r="AA50" s="3">
        <v>20984.400000000001</v>
      </c>
      <c r="AB50" s="17">
        <v>1.3410465819196E-6</v>
      </c>
      <c r="AC50">
        <f t="shared" si="5"/>
        <v>2.8141057893633657E-2</v>
      </c>
      <c r="AE50" s="1">
        <v>10.3</v>
      </c>
      <c r="AF50" s="3">
        <v>20984.400000000001</v>
      </c>
      <c r="AG50" s="17">
        <v>3.8781232595786402E-5</v>
      </c>
      <c r="AH50">
        <f t="shared" si="6"/>
        <v>0.81380089728302019</v>
      </c>
      <c r="AJ50" s="1">
        <v>10.3</v>
      </c>
      <c r="AK50" s="3">
        <v>20984.400000000001</v>
      </c>
      <c r="AL50" s="17">
        <v>8.6453020319238301E-7</v>
      </c>
      <c r="AM50">
        <f t="shared" si="7"/>
        <v>1.8141647595870242E-2</v>
      </c>
      <c r="AO50" s="1">
        <v>10.3</v>
      </c>
      <c r="AP50" s="3">
        <v>20984.400000000001</v>
      </c>
      <c r="AQ50" s="17">
        <v>7.8151038053866204E-10</v>
      </c>
      <c r="AR50">
        <f t="shared" si="8"/>
        <v>1.6399526429375501E-5</v>
      </c>
      <c r="AT50" s="1">
        <v>10.3</v>
      </c>
      <c r="AU50" s="3">
        <v>20984.400000000001</v>
      </c>
      <c r="AV50" s="17">
        <v>8.3409228108496204E-5</v>
      </c>
      <c r="AW50">
        <f t="shared" si="9"/>
        <v>1.7502926063199278</v>
      </c>
    </row>
    <row r="51" spans="1:49" x14ac:dyDescent="0.3">
      <c r="A51" s="1">
        <v>11.4</v>
      </c>
      <c r="B51" s="16">
        <v>18582.599999999999</v>
      </c>
      <c r="C51" s="17">
        <v>2.9364749332365298E-7</v>
      </c>
      <c r="D51">
        <f t="shared" si="0"/>
        <v>5.4567339094361133E-3</v>
      </c>
      <c r="F51" s="1">
        <v>11.4</v>
      </c>
      <c r="G51" s="3">
        <v>18582.599999999999</v>
      </c>
      <c r="H51" s="16">
        <v>1.4849379587260301E-4</v>
      </c>
      <c r="I51" s="17">
        <f t="shared" si="1"/>
        <v>2.7594008111822323</v>
      </c>
      <c r="K51" s="1">
        <v>11.4</v>
      </c>
      <c r="L51" s="3">
        <v>18582.599999999999</v>
      </c>
      <c r="M51" s="16">
        <v>4.3130581016707399E-4</v>
      </c>
      <c r="N51">
        <f t="shared" si="2"/>
        <v>8.0147833480106687</v>
      </c>
      <c r="O51" s="17"/>
      <c r="P51" s="1">
        <v>11.4</v>
      </c>
      <c r="Q51" s="3">
        <v>18582.599999999999</v>
      </c>
      <c r="R51" s="17">
        <v>7.6520651418476594E-5</v>
      </c>
      <c r="S51">
        <f t="shared" si="3"/>
        <v>1.4219526570489831</v>
      </c>
      <c r="U51" s="1">
        <v>11.4</v>
      </c>
      <c r="V51" s="3">
        <v>18582.599999999999</v>
      </c>
      <c r="W51" s="17">
        <v>1.5636980034286299E-5</v>
      </c>
      <c r="X51">
        <f t="shared" si="4"/>
        <v>0.29057574518512858</v>
      </c>
      <c r="Z51" s="1">
        <v>11.4</v>
      </c>
      <c r="AA51" s="3">
        <v>18582.599999999999</v>
      </c>
      <c r="AB51" s="17">
        <v>1.6357721639876099E-6</v>
      </c>
      <c r="AC51">
        <f t="shared" si="5"/>
        <v>3.0396899814516157E-2</v>
      </c>
      <c r="AE51" s="1">
        <v>11.4</v>
      </c>
      <c r="AF51" s="3">
        <v>18582.599999999999</v>
      </c>
      <c r="AG51" s="17">
        <v>5.3518100982185197E-5</v>
      </c>
      <c r="AH51">
        <f t="shared" si="6"/>
        <v>0.99450546331155454</v>
      </c>
      <c r="AJ51" s="1">
        <v>11.4</v>
      </c>
      <c r="AK51" s="3">
        <v>18582.599999999999</v>
      </c>
      <c r="AL51" s="17">
        <v>8.7416435143690901E-7</v>
      </c>
      <c r="AM51">
        <f t="shared" si="7"/>
        <v>1.6244246477011504E-2</v>
      </c>
      <c r="AO51" s="1">
        <v>11.4</v>
      </c>
      <c r="AP51" s="3">
        <v>18582.599999999999</v>
      </c>
      <c r="AQ51" s="17">
        <v>8.4728612777798701E-10</v>
      </c>
      <c r="AR51">
        <f t="shared" si="8"/>
        <v>1.5744779198047221E-5</v>
      </c>
      <c r="AT51" s="1">
        <v>11.4</v>
      </c>
      <c r="AU51" s="3">
        <v>18582.599999999999</v>
      </c>
      <c r="AV51" s="17">
        <v>8.8427379501487295E-5</v>
      </c>
      <c r="AW51">
        <f t="shared" si="9"/>
        <v>1.6432106223243377</v>
      </c>
    </row>
    <row r="52" spans="1:49" x14ac:dyDescent="0.3">
      <c r="A52" s="1">
        <v>12.5</v>
      </c>
      <c r="B52" s="16">
        <v>9307.66</v>
      </c>
      <c r="C52" s="17">
        <v>3.24140108973734E-7</v>
      </c>
      <c r="D52">
        <f t="shared" si="0"/>
        <v>3.0169859266904651E-3</v>
      </c>
      <c r="F52" s="1">
        <v>12.5</v>
      </c>
      <c r="G52" s="3">
        <v>9307.66</v>
      </c>
      <c r="H52" s="16">
        <v>1.7193711560354601E-4</v>
      </c>
      <c r="I52" s="17">
        <f t="shared" si="1"/>
        <v>1.600332213418501</v>
      </c>
      <c r="K52" s="1">
        <v>12.5</v>
      </c>
      <c r="L52" s="3">
        <v>9307.66</v>
      </c>
      <c r="M52" s="16">
        <v>4.8915868686591501E-4</v>
      </c>
      <c r="N52">
        <f t="shared" si="2"/>
        <v>4.5529227433944026</v>
      </c>
      <c r="O52" s="17"/>
      <c r="P52" s="1">
        <v>12.5</v>
      </c>
      <c r="Q52" s="3">
        <v>9307.66</v>
      </c>
      <c r="R52" s="17">
        <v>7.1271714172415802E-5</v>
      </c>
      <c r="S52">
        <f t="shared" si="3"/>
        <v>0.66337288313402765</v>
      </c>
      <c r="U52" s="1">
        <v>12.5</v>
      </c>
      <c r="V52" s="3">
        <v>9307.66</v>
      </c>
      <c r="W52" s="17">
        <v>1.4839563191793101E-5</v>
      </c>
      <c r="X52">
        <f t="shared" si="4"/>
        <v>0.13812160873772497</v>
      </c>
      <c r="Z52" s="1">
        <v>12.5</v>
      </c>
      <c r="AA52" s="3">
        <v>9307.66</v>
      </c>
      <c r="AB52" s="17">
        <v>1.80738343881418E-6</v>
      </c>
      <c r="AC52">
        <f t="shared" si="5"/>
        <v>1.6822510538113192E-2</v>
      </c>
      <c r="AE52" s="1">
        <v>12.5</v>
      </c>
      <c r="AF52" s="3">
        <v>9307.66</v>
      </c>
      <c r="AG52" s="17">
        <v>6.8513510919222605E-5</v>
      </c>
      <c r="AH52">
        <f t="shared" si="6"/>
        <v>0.63770046504241151</v>
      </c>
      <c r="AJ52" s="1">
        <v>12.5</v>
      </c>
      <c r="AK52" s="3">
        <v>9307.66</v>
      </c>
      <c r="AL52" s="17">
        <v>9.0468388425426296E-7</v>
      </c>
      <c r="AM52">
        <f t="shared" si="7"/>
        <v>8.4204900021180324E-3</v>
      </c>
      <c r="AO52" s="1">
        <v>12.5</v>
      </c>
      <c r="AP52" s="3">
        <v>9307.66</v>
      </c>
      <c r="AQ52" s="17">
        <v>9.4171082426217402E-10</v>
      </c>
      <c r="AR52">
        <f t="shared" si="8"/>
        <v>8.7651241705520668E-6</v>
      </c>
      <c r="AT52" s="1">
        <v>12.5</v>
      </c>
      <c r="AU52" s="3">
        <v>9307.66</v>
      </c>
      <c r="AV52" s="17">
        <v>8.3389429250157999E-5</v>
      </c>
      <c r="AW52">
        <f t="shared" si="9"/>
        <v>0.77616045505452558</v>
      </c>
    </row>
    <row r="53" spans="1:49" x14ac:dyDescent="0.3">
      <c r="A53" s="1">
        <v>13.8</v>
      </c>
      <c r="B53" s="16">
        <v>6399.11</v>
      </c>
      <c r="C53" s="17">
        <v>2.9102767909424102E-7</v>
      </c>
      <c r="D53">
        <f t="shared" si="0"/>
        <v>1.8623181315687485E-3</v>
      </c>
      <c r="F53" s="1">
        <v>13.8</v>
      </c>
      <c r="G53" s="3">
        <v>6399.11</v>
      </c>
      <c r="H53" s="16">
        <v>1.96578237503524E-4</v>
      </c>
      <c r="I53" s="17">
        <f t="shared" si="1"/>
        <v>1.2579257653911753</v>
      </c>
      <c r="K53" s="1">
        <v>13.8</v>
      </c>
      <c r="L53" s="3">
        <v>6399.11</v>
      </c>
      <c r="M53" s="16">
        <v>5.2160317877648595E-4</v>
      </c>
      <c r="N53">
        <f t="shared" si="2"/>
        <v>3.3377961173403987</v>
      </c>
      <c r="O53" s="17"/>
      <c r="P53" s="1">
        <v>13.8</v>
      </c>
      <c r="Q53" s="3">
        <v>6399.11</v>
      </c>
      <c r="R53" s="17">
        <v>6.2928433559490506E-5</v>
      </c>
      <c r="S53">
        <f t="shared" si="3"/>
        <v>0.40268596847487126</v>
      </c>
      <c r="U53" s="1">
        <v>13.8</v>
      </c>
      <c r="V53" s="3">
        <v>6399.11</v>
      </c>
      <c r="W53" s="17">
        <v>1.27999104994984E-5</v>
      </c>
      <c r="X53">
        <f t="shared" si="4"/>
        <v>8.1908035276445204E-2</v>
      </c>
      <c r="Z53" s="1">
        <v>13.8</v>
      </c>
      <c r="AA53" s="3">
        <v>6399.11</v>
      </c>
      <c r="AB53" s="17">
        <v>1.89317473225599E-6</v>
      </c>
      <c r="AC53">
        <f t="shared" si="5"/>
        <v>1.2114633360926629E-2</v>
      </c>
      <c r="AE53" s="1">
        <v>13.8</v>
      </c>
      <c r="AF53" s="3">
        <v>6399.11</v>
      </c>
      <c r="AG53" s="17">
        <v>8.0794234574554997E-5</v>
      </c>
      <c r="AH53">
        <f t="shared" si="6"/>
        <v>0.51701119440838061</v>
      </c>
      <c r="AJ53" s="1">
        <v>13.8</v>
      </c>
      <c r="AK53" s="3">
        <v>6399.11</v>
      </c>
      <c r="AL53" s="17">
        <v>9.7155195847959E-7</v>
      </c>
      <c r="AM53">
        <f t="shared" si="7"/>
        <v>6.217067853026329E-3</v>
      </c>
      <c r="AO53" s="1">
        <v>13.8</v>
      </c>
      <c r="AP53" s="3">
        <v>6399.11</v>
      </c>
      <c r="AQ53" s="17">
        <v>1.02988995620562E-9</v>
      </c>
      <c r="AR53">
        <f t="shared" si="8"/>
        <v>6.5903791176549445E-6</v>
      </c>
      <c r="AT53" s="1">
        <v>13.8</v>
      </c>
      <c r="AU53" s="3">
        <v>6399.11</v>
      </c>
      <c r="AV53" s="17">
        <v>6.6970198673963393E-5</v>
      </c>
      <c r="AW53">
        <f t="shared" si="9"/>
        <v>0.42854966803654587</v>
      </c>
    </row>
    <row r="54" spans="1:49" x14ac:dyDescent="0.3">
      <c r="A54" s="1">
        <v>15.2</v>
      </c>
      <c r="B54" s="16">
        <v>3763.58</v>
      </c>
      <c r="C54" s="17">
        <v>2.0135051195093E-7</v>
      </c>
      <c r="D54">
        <f t="shared" si="0"/>
        <v>7.5779875976828112E-4</v>
      </c>
      <c r="F54" s="1">
        <v>15.2</v>
      </c>
      <c r="G54" s="3">
        <v>3763.58</v>
      </c>
      <c r="H54" s="16">
        <v>1.9018442202547699E-4</v>
      </c>
      <c r="I54" s="17">
        <f t="shared" si="1"/>
        <v>0.7157742870466447</v>
      </c>
      <c r="K54" s="1">
        <v>15.2</v>
      </c>
      <c r="L54" s="3">
        <v>3763.58</v>
      </c>
      <c r="M54" s="16">
        <v>4.85863237324205E-4</v>
      </c>
      <c r="N54">
        <f t="shared" si="2"/>
        <v>1.8285851627286314</v>
      </c>
      <c r="O54" s="17"/>
      <c r="P54" s="1">
        <v>15.2</v>
      </c>
      <c r="Q54" s="3">
        <v>3763.58</v>
      </c>
      <c r="R54" s="17">
        <v>4.06761016465819E-5</v>
      </c>
      <c r="S54">
        <f t="shared" si="3"/>
        <v>0.1530877626350427</v>
      </c>
      <c r="U54" s="1">
        <v>15.2</v>
      </c>
      <c r="V54" s="3">
        <v>3763.58</v>
      </c>
      <c r="W54" s="17">
        <v>9.7422865339916994E-6</v>
      </c>
      <c r="X54">
        <f t="shared" si="4"/>
        <v>3.6665874753600482E-2</v>
      </c>
      <c r="Z54" s="1">
        <v>15.2</v>
      </c>
      <c r="AA54" s="3">
        <v>3763.58</v>
      </c>
      <c r="AB54" s="17">
        <v>1.7434918038345601E-6</v>
      </c>
      <c r="AC54">
        <f t="shared" si="5"/>
        <v>6.561770883075674E-3</v>
      </c>
      <c r="AE54" s="1">
        <v>15.2</v>
      </c>
      <c r="AF54" s="3">
        <v>3763.58</v>
      </c>
      <c r="AG54" s="17">
        <v>8.1440588451151406E-5</v>
      </c>
      <c r="AH54">
        <f t="shared" si="6"/>
        <v>0.3065081698829844</v>
      </c>
      <c r="AJ54" s="1">
        <v>15.2</v>
      </c>
      <c r="AK54" s="3">
        <v>3763.58</v>
      </c>
      <c r="AL54" s="17">
        <v>1.0804785590460201E-6</v>
      </c>
      <c r="AM54">
        <f t="shared" si="7"/>
        <v>4.0664674952544198E-3</v>
      </c>
      <c r="AO54" s="1">
        <v>15.2</v>
      </c>
      <c r="AP54" s="3">
        <v>3763.58</v>
      </c>
      <c r="AQ54" s="17">
        <v>1.0602728035078E-9</v>
      </c>
      <c r="AR54">
        <f t="shared" si="8"/>
        <v>3.9904215178258859E-6</v>
      </c>
      <c r="AT54" s="1">
        <v>15.2</v>
      </c>
      <c r="AU54" s="3">
        <v>3763.58</v>
      </c>
      <c r="AV54" s="17">
        <v>5.0652950896378702E-5</v>
      </c>
      <c r="AW54">
        <f t="shared" si="9"/>
        <v>0.19063643293459295</v>
      </c>
    </row>
    <row r="55" spans="1:49" x14ac:dyDescent="0.3">
      <c r="A55" s="1">
        <v>16.7</v>
      </c>
      <c r="B55" s="16">
        <v>2309.4899999999998</v>
      </c>
      <c r="C55" s="17">
        <v>1.03628283697634E-7</v>
      </c>
      <c r="D55">
        <f t="shared" si="0"/>
        <v>2.3932848491684872E-4</v>
      </c>
      <c r="F55" s="1">
        <v>16.7</v>
      </c>
      <c r="G55" s="3">
        <v>2309.4899999999998</v>
      </c>
      <c r="H55" s="16">
        <v>1.43915330968576E-4</v>
      </c>
      <c r="I55" s="17">
        <f t="shared" si="1"/>
        <v>0.33237101771861655</v>
      </c>
      <c r="K55" s="1">
        <v>16.7</v>
      </c>
      <c r="L55" s="3">
        <v>2309.4899999999998</v>
      </c>
      <c r="M55" s="16">
        <v>4.0095337203556903E-4</v>
      </c>
      <c r="N55">
        <f t="shared" si="2"/>
        <v>0.92599780318242619</v>
      </c>
      <c r="O55" s="17"/>
      <c r="P55" s="1">
        <v>16.7</v>
      </c>
      <c r="Q55" s="3">
        <v>2309.4899999999998</v>
      </c>
      <c r="R55" s="17">
        <v>2.40186309163119E-5</v>
      </c>
      <c r="S55">
        <f t="shared" si="3"/>
        <v>5.5470787914913167E-2</v>
      </c>
      <c r="U55" s="1">
        <v>16.7</v>
      </c>
      <c r="V55" s="3">
        <v>2309.4899999999998</v>
      </c>
      <c r="W55" s="17">
        <v>6.7208674086043502E-6</v>
      </c>
      <c r="X55">
        <f t="shared" si="4"/>
        <v>1.552177607149766E-2</v>
      </c>
      <c r="Z55" s="1">
        <v>16.7</v>
      </c>
      <c r="AA55" s="3">
        <v>2309.4899999999998</v>
      </c>
      <c r="AB55" s="17">
        <v>1.3563444275065699E-6</v>
      </c>
      <c r="AC55">
        <f t="shared" si="5"/>
        <v>3.1324638918821478E-3</v>
      </c>
      <c r="AE55" s="1">
        <v>16.7</v>
      </c>
      <c r="AF55" s="3">
        <v>2309.4899999999998</v>
      </c>
      <c r="AG55" s="17">
        <v>7.3684341931994107E-5</v>
      </c>
      <c r="AH55">
        <f t="shared" si="6"/>
        <v>0.17017325084852106</v>
      </c>
      <c r="AJ55" s="1">
        <v>16.7</v>
      </c>
      <c r="AK55" s="3">
        <v>2309.4899999999998</v>
      </c>
      <c r="AL55" s="17">
        <v>1.1403768646066201E-6</v>
      </c>
      <c r="AM55">
        <f t="shared" si="7"/>
        <v>2.6336889650403427E-3</v>
      </c>
      <c r="AO55" s="1">
        <v>16.7</v>
      </c>
      <c r="AP55" s="3">
        <v>2309.4899999999998</v>
      </c>
      <c r="AQ55" s="17">
        <v>8.9435627377668502E-10</v>
      </c>
      <c r="AR55">
        <f t="shared" si="8"/>
        <v>2.0655068707245161E-6</v>
      </c>
      <c r="AT55" s="1">
        <v>16.7</v>
      </c>
      <c r="AU55" s="3">
        <v>2309.4899999999998</v>
      </c>
      <c r="AV55" s="17">
        <v>3.7840773458709803E-5</v>
      </c>
      <c r="AW55">
        <f t="shared" si="9"/>
        <v>8.7392887895155688E-2</v>
      </c>
    </row>
    <row r="56" spans="1:49" x14ac:dyDescent="0.3">
      <c r="A56" s="1">
        <v>18.5</v>
      </c>
      <c r="B56" s="16">
        <v>2779.3</v>
      </c>
      <c r="C56" s="17">
        <v>4.6288003153776001E-8</v>
      </c>
      <c r="D56">
        <f t="shared" si="0"/>
        <v>1.2864824716528965E-4</v>
      </c>
      <c r="F56" s="1">
        <v>18.5</v>
      </c>
      <c r="G56" s="3">
        <v>2779.3</v>
      </c>
      <c r="H56" s="16">
        <v>1.04986261796062E-4</v>
      </c>
      <c r="I56" s="17">
        <f t="shared" si="1"/>
        <v>0.29178831740979516</v>
      </c>
      <c r="K56" s="1">
        <v>18.5</v>
      </c>
      <c r="L56" s="3">
        <v>2779.3</v>
      </c>
      <c r="M56" s="16">
        <v>2.8563677682180298E-4</v>
      </c>
      <c r="N56">
        <f t="shared" si="2"/>
        <v>0.79387029382083707</v>
      </c>
      <c r="O56" s="17"/>
      <c r="P56" s="1">
        <v>18.5</v>
      </c>
      <c r="Q56" s="3">
        <v>2779.3</v>
      </c>
      <c r="R56" s="17">
        <v>1.5316778325252E-5</v>
      </c>
      <c r="S56">
        <f t="shared" si="3"/>
        <v>4.2569921999372887E-2</v>
      </c>
      <c r="U56" s="1">
        <v>18.5</v>
      </c>
      <c r="V56" s="3">
        <v>2779.3</v>
      </c>
      <c r="W56" s="17">
        <v>4.4584027894262602E-6</v>
      </c>
      <c r="X56">
        <f t="shared" si="4"/>
        <v>1.2391238872652406E-2</v>
      </c>
      <c r="Z56" s="1">
        <v>18.5</v>
      </c>
      <c r="AA56" s="3">
        <v>2779.3</v>
      </c>
      <c r="AB56" s="17">
        <v>9.2472510444861599E-7</v>
      </c>
      <c r="AC56">
        <f t="shared" si="5"/>
        <v>2.5700884827940386E-3</v>
      </c>
      <c r="AE56" s="1">
        <v>18.5</v>
      </c>
      <c r="AF56" s="3">
        <v>2779.3</v>
      </c>
      <c r="AG56" s="17">
        <v>5.94645566468724E-5</v>
      </c>
      <c r="AH56">
        <f t="shared" si="6"/>
        <v>0.16526984228865246</v>
      </c>
      <c r="AJ56" s="1">
        <v>18.5</v>
      </c>
      <c r="AK56" s="3">
        <v>2779.3</v>
      </c>
      <c r="AL56" s="17">
        <v>1.1650777742309199E-6</v>
      </c>
      <c r="AM56">
        <f t="shared" si="7"/>
        <v>3.2381006579199961E-3</v>
      </c>
      <c r="AO56" s="1">
        <v>18.5</v>
      </c>
      <c r="AP56" s="3">
        <v>2779.3</v>
      </c>
      <c r="AQ56" s="17">
        <v>6.17449943456097E-10</v>
      </c>
      <c r="AR56">
        <f t="shared" si="8"/>
        <v>1.7160786278475304E-6</v>
      </c>
      <c r="AT56" s="1">
        <v>18.5</v>
      </c>
      <c r="AU56" s="3">
        <v>2779.3</v>
      </c>
      <c r="AV56" s="17">
        <v>2.6563343749278699E-5</v>
      </c>
      <c r="AW56">
        <f t="shared" si="9"/>
        <v>7.3827501282370298E-2</v>
      </c>
    </row>
    <row r="57" spans="1:49" x14ac:dyDescent="0.3">
      <c r="A57" s="1">
        <v>20.3</v>
      </c>
      <c r="B57" s="16">
        <v>990.51300000000003</v>
      </c>
      <c r="C57" s="17">
        <v>2.3092651360866299E-8</v>
      </c>
      <c r="D57">
        <f t="shared" si="0"/>
        <v>2.287357137740576E-5</v>
      </c>
      <c r="F57" s="1">
        <v>20.3</v>
      </c>
      <c r="G57" s="3">
        <v>990.51300000000003</v>
      </c>
      <c r="H57" s="17">
        <v>8.4508708051010006E-5</v>
      </c>
      <c r="I57" s="17">
        <f t="shared" si="1"/>
        <v>8.3706973937730078E-2</v>
      </c>
      <c r="K57" s="1">
        <v>20.3</v>
      </c>
      <c r="L57" s="3">
        <v>990.51300000000003</v>
      </c>
      <c r="M57" s="16">
        <v>1.9751832577774201E-4</v>
      </c>
      <c r="N57">
        <f t="shared" si="2"/>
        <v>0.19564446942108857</v>
      </c>
      <c r="O57" s="17"/>
      <c r="P57" s="1">
        <v>20.3</v>
      </c>
      <c r="Q57" s="3">
        <v>990.51300000000003</v>
      </c>
      <c r="R57" s="17">
        <v>4.5988279100426597E-6</v>
      </c>
      <c r="S57">
        <f t="shared" si="3"/>
        <v>4.5551988296600853E-3</v>
      </c>
      <c r="U57" s="1">
        <v>20.3</v>
      </c>
      <c r="V57" s="3">
        <v>990.51300000000003</v>
      </c>
      <c r="W57" s="17">
        <v>3.2000570276176701E-6</v>
      </c>
      <c r="X57">
        <f t="shared" si="4"/>
        <v>3.1696980865966616E-3</v>
      </c>
      <c r="Z57" s="1">
        <v>20.3</v>
      </c>
      <c r="AA57" s="3">
        <v>990.51300000000003</v>
      </c>
      <c r="AB57" s="17">
        <v>4.7260230363850098E-7</v>
      </c>
      <c r="AC57">
        <f t="shared" si="5"/>
        <v>4.6811872558388253E-4</v>
      </c>
      <c r="AE57" s="1">
        <v>20.3</v>
      </c>
      <c r="AF57" s="3">
        <v>990.51300000000003</v>
      </c>
      <c r="AG57" s="17">
        <v>5.1061956251118699E-5</v>
      </c>
      <c r="AH57">
        <f t="shared" si="6"/>
        <v>5.0577531472164337E-2</v>
      </c>
      <c r="AJ57" s="1">
        <v>20.3</v>
      </c>
      <c r="AK57" s="3">
        <v>990.51300000000003</v>
      </c>
      <c r="AL57" s="17">
        <v>1.19204153362579E-6</v>
      </c>
      <c r="AM57">
        <f t="shared" si="7"/>
        <v>1.1807326355962823E-3</v>
      </c>
      <c r="AO57" s="1">
        <v>20.3</v>
      </c>
      <c r="AP57" s="3">
        <v>990.51300000000003</v>
      </c>
      <c r="AQ57" s="17">
        <v>4.2000197314939302E-10</v>
      </c>
      <c r="AR57">
        <f t="shared" si="8"/>
        <v>4.1601741443012474E-7</v>
      </c>
      <c r="AT57" s="1">
        <v>20.3</v>
      </c>
      <c r="AU57" s="3">
        <v>990.51300000000003</v>
      </c>
      <c r="AV57" s="17">
        <v>1.9207955807632901E-5</v>
      </c>
      <c r="AW57">
        <f t="shared" si="9"/>
        <v>1.9025729930885887E-2</v>
      </c>
    </row>
    <row r="58" spans="1:49" x14ac:dyDescent="0.3">
      <c r="A58" s="1">
        <v>22.4</v>
      </c>
      <c r="B58" s="16">
        <v>497.63499999999999</v>
      </c>
      <c r="C58" s="17">
        <v>1.1779556497435601E-8</v>
      </c>
      <c r="D58">
        <f t="shared" si="0"/>
        <v>5.861919597601365E-6</v>
      </c>
      <c r="F58" s="1">
        <v>22.4</v>
      </c>
      <c r="G58" s="3">
        <v>497.63499999999999</v>
      </c>
      <c r="H58" s="17">
        <v>6.3774154826108995E-5</v>
      </c>
      <c r="I58" s="17">
        <f t="shared" si="1"/>
        <v>3.1736251536890747E-2</v>
      </c>
      <c r="K58" s="1">
        <v>22.4</v>
      </c>
      <c r="L58" s="3">
        <v>497.63499999999999</v>
      </c>
      <c r="M58" s="16">
        <v>0</v>
      </c>
      <c r="N58">
        <f t="shared" si="2"/>
        <v>0</v>
      </c>
      <c r="O58" s="17"/>
      <c r="P58" s="1">
        <v>22.4</v>
      </c>
      <c r="Q58" s="3">
        <v>497.63499999999999</v>
      </c>
      <c r="R58" s="16">
        <v>0</v>
      </c>
      <c r="S58">
        <f t="shared" si="3"/>
        <v>0</v>
      </c>
      <c r="U58" s="1">
        <v>22.4</v>
      </c>
      <c r="V58" s="3">
        <v>497.63499999999999</v>
      </c>
      <c r="W58" s="17">
        <v>2.46834304279302E-6</v>
      </c>
      <c r="X58">
        <f t="shared" si="4"/>
        <v>1.2283338901003045E-3</v>
      </c>
      <c r="Z58" s="1">
        <v>22.4</v>
      </c>
      <c r="AA58" s="3">
        <v>497.63499999999999</v>
      </c>
      <c r="AB58" s="16">
        <v>0</v>
      </c>
      <c r="AC58">
        <f t="shared" si="5"/>
        <v>0</v>
      </c>
      <c r="AE58" s="1">
        <v>22.4</v>
      </c>
      <c r="AF58" s="3">
        <v>497.63499999999999</v>
      </c>
      <c r="AG58" s="16">
        <v>0</v>
      </c>
      <c r="AH58">
        <f t="shared" si="6"/>
        <v>0</v>
      </c>
      <c r="AJ58" s="1">
        <v>22.4</v>
      </c>
      <c r="AK58" s="3">
        <v>497.63499999999999</v>
      </c>
      <c r="AL58" s="16">
        <v>0</v>
      </c>
      <c r="AM58">
        <f t="shared" si="7"/>
        <v>0</v>
      </c>
      <c r="AO58" s="1">
        <v>22.4</v>
      </c>
      <c r="AP58" s="3">
        <v>497.63499999999999</v>
      </c>
      <c r="AQ58" s="16">
        <v>0</v>
      </c>
      <c r="AR58">
        <f t="shared" si="8"/>
        <v>0</v>
      </c>
      <c r="AT58" s="1">
        <v>22.4</v>
      </c>
      <c r="AU58" s="3">
        <v>497.63499999999999</v>
      </c>
      <c r="AV58" s="16">
        <v>0</v>
      </c>
      <c r="AW58">
        <f t="shared" si="9"/>
        <v>0</v>
      </c>
    </row>
    <row r="59" spans="1:49" x14ac:dyDescent="0.3">
      <c r="A59" s="1">
        <v>24.7</v>
      </c>
      <c r="B59" s="16">
        <v>248.98</v>
      </c>
      <c r="C59" s="17">
        <v>6.2337973646842903E-9</v>
      </c>
      <c r="D59">
        <f t="shared" si="0"/>
        <v>1.5520908678590944E-6</v>
      </c>
      <c r="F59" s="1">
        <v>24.7</v>
      </c>
      <c r="G59" s="3">
        <v>248.98</v>
      </c>
      <c r="H59" s="17">
        <v>5.5022953433134197E-5</v>
      </c>
      <c r="I59" s="17">
        <f t="shared" si="1"/>
        <v>1.3699614945781752E-2</v>
      </c>
      <c r="K59" s="1">
        <v>24.7</v>
      </c>
      <c r="L59" s="3">
        <v>248.98</v>
      </c>
      <c r="M59" s="16">
        <v>0</v>
      </c>
      <c r="N59">
        <f t="shared" si="2"/>
        <v>0</v>
      </c>
      <c r="O59" s="17"/>
      <c r="P59" s="1">
        <v>24.7</v>
      </c>
      <c r="Q59" s="3">
        <v>248.98</v>
      </c>
      <c r="R59" s="16">
        <v>0</v>
      </c>
      <c r="S59">
        <f t="shared" si="3"/>
        <v>0</v>
      </c>
      <c r="U59" s="1">
        <v>24.7</v>
      </c>
      <c r="V59" s="3">
        <v>248.98</v>
      </c>
      <c r="W59" s="17">
        <v>1.9795297784635799E-6</v>
      </c>
      <c r="X59">
        <f t="shared" si="4"/>
        <v>4.9286332424186216E-4</v>
      </c>
      <c r="Z59" s="1">
        <v>24.7</v>
      </c>
      <c r="AA59" s="3">
        <v>248.98</v>
      </c>
      <c r="AB59" s="16">
        <v>0</v>
      </c>
      <c r="AC59">
        <f t="shared" si="5"/>
        <v>0</v>
      </c>
      <c r="AE59" s="1">
        <v>24.7</v>
      </c>
      <c r="AF59" s="3">
        <v>248.98</v>
      </c>
      <c r="AG59" s="16">
        <v>0</v>
      </c>
      <c r="AH59">
        <f t="shared" si="6"/>
        <v>0</v>
      </c>
      <c r="AJ59" s="1">
        <v>24.7</v>
      </c>
      <c r="AK59" s="3">
        <v>248.98</v>
      </c>
      <c r="AL59" s="16">
        <v>0</v>
      </c>
      <c r="AM59">
        <f t="shared" si="7"/>
        <v>0</v>
      </c>
      <c r="AO59" s="1">
        <v>24.7</v>
      </c>
      <c r="AP59" s="3">
        <v>248.98</v>
      </c>
      <c r="AQ59" s="16">
        <v>0</v>
      </c>
      <c r="AR59">
        <f t="shared" si="8"/>
        <v>0</v>
      </c>
      <c r="AT59" s="1">
        <v>24.7</v>
      </c>
      <c r="AU59" s="3">
        <v>248.98</v>
      </c>
      <c r="AV59" s="16">
        <v>0</v>
      </c>
      <c r="AW59">
        <f t="shared" si="9"/>
        <v>0</v>
      </c>
    </row>
    <row r="60" spans="1:49" x14ac:dyDescent="0.3">
      <c r="A60" s="1">
        <v>27.2</v>
      </c>
      <c r="B60" s="16">
        <v>0</v>
      </c>
      <c r="C60" s="17">
        <v>3.6214315183585698E-9</v>
      </c>
      <c r="D60">
        <f t="shared" si="0"/>
        <v>0</v>
      </c>
      <c r="F60" s="1">
        <v>27.2</v>
      </c>
      <c r="G60" s="3">
        <v>0</v>
      </c>
      <c r="H60" s="17">
        <v>4.8729127160101297E-5</v>
      </c>
      <c r="I60" s="17">
        <f t="shared" si="1"/>
        <v>0</v>
      </c>
      <c r="K60" s="1">
        <v>27.2</v>
      </c>
      <c r="L60" s="3">
        <v>0</v>
      </c>
      <c r="M60" s="16">
        <v>0</v>
      </c>
      <c r="N60">
        <f t="shared" si="2"/>
        <v>0</v>
      </c>
      <c r="O60" s="17"/>
      <c r="P60" s="1">
        <v>27.2</v>
      </c>
      <c r="Q60" s="3">
        <v>0</v>
      </c>
      <c r="R60" s="16">
        <v>0</v>
      </c>
      <c r="S60">
        <f t="shared" si="3"/>
        <v>0</v>
      </c>
      <c r="U60" s="1">
        <v>27.2</v>
      </c>
      <c r="V60" s="3">
        <v>0</v>
      </c>
      <c r="W60" s="17">
        <v>1.7302172513322101E-6</v>
      </c>
      <c r="X60">
        <f t="shared" si="4"/>
        <v>0</v>
      </c>
      <c r="Z60" s="1">
        <v>27.2</v>
      </c>
      <c r="AA60" s="3">
        <v>0</v>
      </c>
      <c r="AB60" s="16">
        <v>0</v>
      </c>
      <c r="AC60">
        <f t="shared" si="5"/>
        <v>0</v>
      </c>
      <c r="AE60" s="1">
        <v>27.2</v>
      </c>
      <c r="AF60" s="3">
        <v>0</v>
      </c>
      <c r="AG60" s="16">
        <v>0</v>
      </c>
      <c r="AH60">
        <f t="shared" si="6"/>
        <v>0</v>
      </c>
      <c r="AJ60" s="1">
        <v>27.2</v>
      </c>
      <c r="AK60" s="3">
        <v>0</v>
      </c>
      <c r="AL60" s="16">
        <v>0</v>
      </c>
      <c r="AM60">
        <f t="shared" si="7"/>
        <v>0</v>
      </c>
      <c r="AO60" s="1">
        <v>27.2</v>
      </c>
      <c r="AP60" s="3">
        <v>0</v>
      </c>
      <c r="AQ60" s="16">
        <v>0</v>
      </c>
      <c r="AR60">
        <f t="shared" si="8"/>
        <v>0</v>
      </c>
      <c r="AT60" s="1">
        <v>27.2</v>
      </c>
      <c r="AU60" s="3">
        <v>0</v>
      </c>
      <c r="AV60" s="16">
        <v>0</v>
      </c>
      <c r="AW60">
        <f t="shared" si="9"/>
        <v>0</v>
      </c>
    </row>
    <row r="61" spans="1:49" x14ac:dyDescent="0.3">
      <c r="A61" s="1">
        <v>29</v>
      </c>
      <c r="B61" s="16">
        <v>0</v>
      </c>
      <c r="C61" s="17">
        <v>2.3727822309188901E-9</v>
      </c>
      <c r="D61">
        <f t="shared" si="0"/>
        <v>0</v>
      </c>
      <c r="F61" s="1">
        <v>29</v>
      </c>
      <c r="G61" s="3">
        <v>0</v>
      </c>
      <c r="H61" s="17">
        <v>4.5833977375086503E-5</v>
      </c>
      <c r="I61" s="17">
        <f t="shared" si="1"/>
        <v>0</v>
      </c>
      <c r="K61" s="1">
        <v>29</v>
      </c>
      <c r="L61" s="3">
        <v>0</v>
      </c>
      <c r="M61" s="16">
        <v>0</v>
      </c>
      <c r="N61">
        <f t="shared" si="2"/>
        <v>0</v>
      </c>
      <c r="O61" s="17"/>
      <c r="P61" s="1">
        <v>29</v>
      </c>
      <c r="Q61" s="3">
        <v>0</v>
      </c>
      <c r="R61" s="16">
        <v>0</v>
      </c>
      <c r="S61">
        <f t="shared" si="3"/>
        <v>0</v>
      </c>
      <c r="U61" s="1">
        <v>29</v>
      </c>
      <c r="V61" s="3">
        <v>0</v>
      </c>
      <c r="W61" s="17">
        <v>1.43807109012618E-6</v>
      </c>
      <c r="X61">
        <f t="shared" si="4"/>
        <v>0</v>
      </c>
      <c r="Z61" s="1">
        <v>29</v>
      </c>
      <c r="AA61" s="3">
        <v>0</v>
      </c>
      <c r="AB61" s="16">
        <v>0</v>
      </c>
      <c r="AC61">
        <f t="shared" si="5"/>
        <v>0</v>
      </c>
      <c r="AE61" s="1">
        <v>29</v>
      </c>
      <c r="AF61" s="3">
        <v>0</v>
      </c>
      <c r="AG61" s="16">
        <v>0</v>
      </c>
      <c r="AH61">
        <f t="shared" si="6"/>
        <v>0</v>
      </c>
      <c r="AJ61" s="1">
        <v>29</v>
      </c>
      <c r="AK61" s="3">
        <v>0</v>
      </c>
      <c r="AL61" s="16">
        <v>0</v>
      </c>
      <c r="AM61">
        <f t="shared" si="7"/>
        <v>0</v>
      </c>
      <c r="AO61" s="1">
        <v>29</v>
      </c>
      <c r="AP61" s="3">
        <v>0</v>
      </c>
      <c r="AQ61" s="16">
        <v>0</v>
      </c>
      <c r="AR61">
        <f t="shared" si="8"/>
        <v>0</v>
      </c>
      <c r="AT61" s="1">
        <v>29</v>
      </c>
      <c r="AU61" s="3">
        <v>0</v>
      </c>
      <c r="AV61" s="16">
        <v>0</v>
      </c>
      <c r="AW61">
        <f t="shared" si="9"/>
        <v>0</v>
      </c>
    </row>
    <row r="62" spans="1:49" x14ac:dyDescent="0.3">
      <c r="A62" s="1">
        <v>30</v>
      </c>
      <c r="B62" s="16">
        <v>0</v>
      </c>
      <c r="C62" s="17">
        <v>1.78793069390858E-9</v>
      </c>
      <c r="D62">
        <f t="shared" si="0"/>
        <v>0</v>
      </c>
      <c r="F62" s="1">
        <v>30</v>
      </c>
      <c r="G62" s="3">
        <v>0</v>
      </c>
      <c r="H62" s="17">
        <v>4.0764804268052403E-5</v>
      </c>
      <c r="I62" s="17">
        <f t="shared" si="1"/>
        <v>0</v>
      </c>
      <c r="K62" s="1">
        <v>30</v>
      </c>
      <c r="L62" s="3">
        <v>0</v>
      </c>
      <c r="M62" s="16">
        <v>0</v>
      </c>
      <c r="N62">
        <f t="shared" si="2"/>
        <v>0</v>
      </c>
      <c r="O62" s="17"/>
      <c r="P62" s="1">
        <v>30</v>
      </c>
      <c r="Q62" s="3">
        <v>0</v>
      </c>
      <c r="R62" s="16">
        <v>0</v>
      </c>
      <c r="S62">
        <f t="shared" si="3"/>
        <v>0</v>
      </c>
      <c r="U62" s="1">
        <v>30</v>
      </c>
      <c r="V62" s="3">
        <v>0</v>
      </c>
      <c r="W62" s="17">
        <v>1.2992026490354E-6</v>
      </c>
      <c r="X62">
        <f t="shared" si="4"/>
        <v>0</v>
      </c>
      <c r="Z62" s="1">
        <v>30</v>
      </c>
      <c r="AA62" s="3">
        <v>0</v>
      </c>
      <c r="AB62" s="16">
        <v>0</v>
      </c>
      <c r="AC62">
        <f t="shared" si="5"/>
        <v>0</v>
      </c>
      <c r="AE62" s="1">
        <v>30</v>
      </c>
      <c r="AF62" s="3">
        <v>0</v>
      </c>
      <c r="AG62" s="16">
        <v>0</v>
      </c>
      <c r="AH62">
        <f t="shared" si="6"/>
        <v>0</v>
      </c>
      <c r="AJ62" s="1">
        <v>30</v>
      </c>
      <c r="AK62" s="3">
        <v>0</v>
      </c>
      <c r="AL62" s="16">
        <v>0</v>
      </c>
      <c r="AM62">
        <f t="shared" si="7"/>
        <v>0</v>
      </c>
      <c r="AO62" s="1">
        <v>30</v>
      </c>
      <c r="AP62" s="3">
        <v>0</v>
      </c>
      <c r="AQ62" s="16">
        <v>0</v>
      </c>
      <c r="AR62">
        <f t="shared" si="8"/>
        <v>0</v>
      </c>
      <c r="AT62" s="1">
        <v>30</v>
      </c>
      <c r="AU62" s="3">
        <v>0</v>
      </c>
      <c r="AV62" s="16">
        <v>0</v>
      </c>
      <c r="AW62">
        <f t="shared" si="9"/>
        <v>0</v>
      </c>
    </row>
    <row r="63" spans="1:49" x14ac:dyDescent="0.3">
      <c r="B63" s="17"/>
      <c r="F63" s="17"/>
      <c r="G63" s="17"/>
      <c r="I63" s="17"/>
      <c r="K63" s="17"/>
      <c r="M63" s="17"/>
      <c r="O63" s="17"/>
      <c r="Q63" s="17"/>
    </row>
    <row r="64" spans="1:49" x14ac:dyDescent="0.3">
      <c r="A64" t="s">
        <v>62</v>
      </c>
      <c r="B64" s="17"/>
      <c r="D64">
        <f>SUM(D3:D63)</f>
        <v>173185.9215546104</v>
      </c>
      <c r="F64" s="17"/>
      <c r="G64" s="17"/>
      <c r="I64" s="17">
        <f>SUM(I3:I63)</f>
        <v>16.684162478022696</v>
      </c>
      <c r="K64" s="17"/>
      <c r="M64" s="17"/>
      <c r="N64">
        <f>SUM(N3:N63)</f>
        <v>40.416100283206347</v>
      </c>
      <c r="O64" s="17"/>
      <c r="Q64" s="17"/>
      <c r="S64">
        <f>SUM(S3:S63)</f>
        <v>23.184917716082321</v>
      </c>
      <c r="X64">
        <f>SUM(X3:X63)</f>
        <v>4.5851115762762991</v>
      </c>
      <c r="AC64">
        <f>SUM(AC3:AC63)</f>
        <v>0.17522740894376918</v>
      </c>
      <c r="AH64">
        <f>SUM(AH3:AH63)</f>
        <v>5.0195443119877048</v>
      </c>
      <c r="AM64">
        <f>SUM(AM3:AM63)</f>
        <v>534.37552409594093</v>
      </c>
      <c r="AR64">
        <f>SUM(AR3:AR63)</f>
        <v>10.244337586866523</v>
      </c>
      <c r="AW64">
        <f>SUM(AW3:AW63)</f>
        <v>25.282526972040436</v>
      </c>
    </row>
    <row r="65" spans="1:47" x14ac:dyDescent="0.3">
      <c r="F65" s="17"/>
      <c r="G65" s="17"/>
      <c r="I65" s="17"/>
      <c r="K65" s="17"/>
      <c r="M65" s="17"/>
      <c r="O65" s="17"/>
      <c r="Q65" s="17"/>
    </row>
    <row r="66" spans="1:47" x14ac:dyDescent="0.3">
      <c r="B66" s="17"/>
      <c r="F66" s="17"/>
      <c r="G66" s="17"/>
      <c r="I66" s="17"/>
      <c r="K66" s="17"/>
      <c r="M66" s="17"/>
      <c r="O66" s="17"/>
      <c r="Q66" s="17"/>
    </row>
    <row r="67" spans="1:47" x14ac:dyDescent="0.3">
      <c r="F67" s="17"/>
      <c r="G67" s="17"/>
      <c r="I67" s="17"/>
      <c r="K67" s="17"/>
      <c r="M67" s="17"/>
      <c r="O67" s="17"/>
      <c r="Q67" s="17"/>
    </row>
    <row r="68" spans="1:47" x14ac:dyDescent="0.3">
      <c r="F68" s="17"/>
      <c r="G68" s="17"/>
      <c r="I68" s="17"/>
      <c r="K68" s="17"/>
      <c r="M68" s="17"/>
      <c r="O68" s="17"/>
      <c r="Q68" s="17"/>
    </row>
    <row r="69" spans="1:47" x14ac:dyDescent="0.3">
      <c r="B69" s="17"/>
      <c r="F69" s="17"/>
      <c r="G69" s="17"/>
      <c r="I69" s="17"/>
      <c r="K69" s="17"/>
      <c r="M69" s="17"/>
      <c r="O69" s="17"/>
      <c r="Q69" s="17"/>
    </row>
    <row r="70" spans="1:47" ht="34" x14ac:dyDescent="0.35">
      <c r="A70" s="21" t="s">
        <v>60</v>
      </c>
      <c r="B70" s="17">
        <f>ABS((D64-activity_Ami!D242)/activity_Ami!D242)</f>
        <v>4.118598396871028</v>
      </c>
      <c r="F70" s="22" t="s">
        <v>60</v>
      </c>
      <c r="G70" s="17">
        <f>ABS((I64-activity_Ami!I242)/activity_Ami!I242)</f>
        <v>0.12937167896635163</v>
      </c>
      <c r="I70" s="17"/>
      <c r="K70" s="22" t="s">
        <v>60</v>
      </c>
      <c r="L70" s="16">
        <f>ABS((N64-activity_Ami!N242)/activity_Ami!N242)</f>
        <v>0.15743065020373287</v>
      </c>
      <c r="M70" s="17"/>
      <c r="O70" s="17"/>
      <c r="P70" s="23" t="s">
        <v>60</v>
      </c>
      <c r="Q70" s="17">
        <f>ABS((S64-activity_Ami!S242)/activity_Ami!S242)</f>
        <v>0.11597056420380981</v>
      </c>
      <c r="U70" s="23" t="s">
        <v>60</v>
      </c>
      <c r="V70" s="17">
        <f>ABS((X64-activity_Ami!X242)/activity_Ami!X242)</f>
        <v>0.11974572494930928</v>
      </c>
      <c r="Z70" s="23" t="s">
        <v>60</v>
      </c>
      <c r="AA70" s="17">
        <f>ABS((AC64-activity_Ami!AC242)/activity_Ami!AC242)</f>
        <v>0.16227227639966416</v>
      </c>
      <c r="AE70" s="23" t="s">
        <v>60</v>
      </c>
      <c r="AF70" s="17">
        <f>ABS((AH64-activity_Ami!AH242)/activity_Ami!AH242)</f>
        <v>0.15063935927601133</v>
      </c>
      <c r="AJ70" s="23" t="s">
        <v>60</v>
      </c>
      <c r="AK70" s="17">
        <f>ABS((AM64-activity_Ami!AM242)/activity_Ami!AM242)</f>
        <v>0.25068693376468909</v>
      </c>
      <c r="AO70" s="23" t="s">
        <v>60</v>
      </c>
      <c r="AP70" s="17">
        <f>ABS((AR64-activity_Ami!AR242)/activity_Ami!AR242)</f>
        <v>2.3255953573114295E-2</v>
      </c>
      <c r="AT70" s="23" t="s">
        <v>60</v>
      </c>
      <c r="AU70" s="17">
        <f>ABS((AW64-activity_Ami!AW242)/activity_Ami!AW242)</f>
        <v>0.11934829172850007</v>
      </c>
    </row>
    <row r="71" spans="1:47" ht="17" x14ac:dyDescent="0.35">
      <c r="A71" s="21"/>
      <c r="B71" s="17"/>
      <c r="F71" s="22"/>
      <c r="G71" s="17"/>
      <c r="I71" s="17"/>
      <c r="K71" s="22"/>
      <c r="L71" s="16"/>
      <c r="M71" s="17"/>
      <c r="O71" s="17"/>
      <c r="P71" s="23"/>
      <c r="Q71" s="17"/>
      <c r="U71" s="23"/>
      <c r="V71" s="17"/>
      <c r="Z71" s="23"/>
      <c r="AA71" s="17"/>
      <c r="AE71" s="23"/>
      <c r="AF71" s="17"/>
      <c r="AJ71" s="23"/>
      <c r="AK71" s="17"/>
      <c r="AO71" s="23"/>
      <c r="AP71" s="17"/>
      <c r="AT71" s="23"/>
      <c r="AU71" s="17"/>
    </row>
    <row r="72" spans="1:47" ht="17" x14ac:dyDescent="0.35">
      <c r="A72" s="21"/>
      <c r="B72" s="17"/>
      <c r="F72" s="22"/>
      <c r="G72" s="17"/>
      <c r="I72" s="17"/>
      <c r="K72" s="22"/>
      <c r="L72" s="16"/>
      <c r="M72" s="17"/>
      <c r="O72" s="17"/>
      <c r="P72" s="23"/>
      <c r="Q72" s="17"/>
      <c r="U72" s="23"/>
      <c r="V72" s="17"/>
      <c r="Z72" s="23"/>
      <c r="AA72" s="17"/>
      <c r="AE72" s="23"/>
      <c r="AF72" s="17"/>
      <c r="AJ72" s="23"/>
      <c r="AK72" s="17"/>
      <c r="AO72" s="23"/>
      <c r="AP72" s="17"/>
      <c r="AT72" s="23"/>
      <c r="AU72" s="17"/>
    </row>
    <row r="73" spans="1:47" ht="17" x14ac:dyDescent="0.35">
      <c r="A73" s="21"/>
      <c r="B73" s="17"/>
      <c r="F73" s="22"/>
      <c r="G73" s="17"/>
      <c r="I73" s="17"/>
      <c r="K73" s="22"/>
      <c r="L73" s="16"/>
      <c r="M73" s="17"/>
      <c r="O73" s="17"/>
      <c r="P73" s="23"/>
      <c r="Q73" s="17"/>
      <c r="U73" s="23"/>
      <c r="V73" s="17"/>
      <c r="Z73" s="23"/>
      <c r="AA73" s="17"/>
      <c r="AE73" s="23"/>
      <c r="AF73" s="17"/>
      <c r="AJ73" s="23"/>
      <c r="AK73" s="17"/>
      <c r="AO73" s="23"/>
      <c r="AP73" s="17"/>
      <c r="AT73" s="23"/>
      <c r="AU73" s="17"/>
    </row>
    <row r="74" spans="1:47" ht="17" x14ac:dyDescent="0.35">
      <c r="A74" s="21"/>
      <c r="B74" s="17"/>
      <c r="F74" s="22"/>
      <c r="G74" s="17"/>
      <c r="I74" s="17"/>
      <c r="K74" s="22"/>
      <c r="L74" s="16"/>
      <c r="M74" s="17"/>
      <c r="O74" s="17"/>
      <c r="P74" s="23"/>
      <c r="Q74" s="17"/>
      <c r="U74" s="23"/>
      <c r="V74" s="17"/>
      <c r="Z74" s="23"/>
      <c r="AA74" s="17"/>
      <c r="AE74" s="23"/>
      <c r="AF74" s="17"/>
      <c r="AJ74" s="23"/>
      <c r="AK74" s="17"/>
      <c r="AO74" s="23"/>
      <c r="AP74" s="17"/>
      <c r="AT74" s="23"/>
      <c r="AU74" s="17"/>
    </row>
    <row r="75" spans="1:47" ht="17" x14ac:dyDescent="0.35">
      <c r="A75" s="21"/>
      <c r="B75" s="17"/>
      <c r="F75" s="22"/>
      <c r="G75" s="17"/>
      <c r="I75" s="17"/>
      <c r="K75" s="22"/>
      <c r="L75" s="16"/>
      <c r="M75" s="17"/>
      <c r="O75" s="17"/>
      <c r="P75" s="23"/>
      <c r="Q75" s="17"/>
      <c r="U75" s="23"/>
      <c r="V75" s="17"/>
      <c r="Z75" s="23"/>
      <c r="AA75" s="17"/>
      <c r="AE75" s="23"/>
      <c r="AF75" s="17"/>
      <c r="AJ75" s="23"/>
      <c r="AK75" s="17"/>
      <c r="AO75" s="23"/>
      <c r="AP75" s="17"/>
      <c r="AT75" s="23"/>
      <c r="AU75" s="17"/>
    </row>
    <row r="76" spans="1:47" ht="17" x14ac:dyDescent="0.35">
      <c r="A76" s="21"/>
      <c r="B76" s="17"/>
      <c r="F76" s="22"/>
      <c r="G76" s="17"/>
      <c r="I76" s="17"/>
      <c r="K76" s="22"/>
      <c r="L76" s="16"/>
      <c r="M76" s="17"/>
      <c r="O76" s="17"/>
      <c r="P76" s="23"/>
      <c r="Q76" s="17"/>
      <c r="U76" s="23"/>
      <c r="V76" s="17"/>
      <c r="Z76" s="23"/>
      <c r="AA76" s="17"/>
      <c r="AE76" s="23"/>
      <c r="AF76" s="17"/>
      <c r="AJ76" s="23"/>
      <c r="AK76" s="17"/>
      <c r="AO76" s="23"/>
      <c r="AP76" s="17"/>
      <c r="AT76" s="23"/>
      <c r="AU76" s="17"/>
    </row>
    <row r="77" spans="1:47" x14ac:dyDescent="0.3">
      <c r="A77" t="s">
        <v>64</v>
      </c>
      <c r="B77" s="17">
        <f>activity_Ami!D242/D64</f>
        <v>0.19536598155684468</v>
      </c>
      <c r="F77" s="17" t="s">
        <v>64</v>
      </c>
      <c r="G77" s="17">
        <f>activity_Ami!I242/I64</f>
        <v>0.88544809350562248</v>
      </c>
      <c r="I77" s="17"/>
      <c r="K77" s="17" t="s">
        <v>64</v>
      </c>
      <c r="L77">
        <f>activity_Ami!N242/N64</f>
        <v>0.86398264969393923</v>
      </c>
      <c r="M77" s="17"/>
      <c r="O77" s="17"/>
      <c r="P77" t="s">
        <v>64</v>
      </c>
      <c r="Q77" s="17">
        <f>activity_Ami!S242/S64</f>
        <v>0.89608098284693638</v>
      </c>
      <c r="U77" t="s">
        <v>64</v>
      </c>
      <c r="V77">
        <f>activity_Ami!X242/X64</f>
        <v>0.89305989540194031</v>
      </c>
      <c r="Z77" t="s">
        <v>64</v>
      </c>
      <c r="AA77">
        <f>activity_Ami!AC242/AC64</f>
        <v>0.86038359539786147</v>
      </c>
      <c r="AE77" t="s">
        <v>64</v>
      </c>
      <c r="AF77">
        <f>activity_Ami!AH242/AH64</f>
        <v>0.86908203855394406</v>
      </c>
      <c r="AJ77" t="s">
        <v>64</v>
      </c>
      <c r="AK77">
        <f>activity_Ami!AM242/AM64</f>
        <v>1.3345556684660353</v>
      </c>
      <c r="AO77" t="s">
        <v>64</v>
      </c>
      <c r="AP77">
        <f>activity_Ami!AR242/AR64</f>
        <v>1.0238096701568737</v>
      </c>
      <c r="AT77" t="s">
        <v>64</v>
      </c>
      <c r="AU77">
        <f>activity_Ami!AW242/AW64</f>
        <v>0.89337698318706305</v>
      </c>
    </row>
    <row r="78" spans="1:47" x14ac:dyDescent="0.3">
      <c r="B78" s="17"/>
      <c r="F78" s="17"/>
      <c r="G78" s="17"/>
      <c r="I78" s="17"/>
      <c r="K78" s="17"/>
      <c r="M78" s="17"/>
      <c r="O78" s="17"/>
      <c r="Q78" s="17"/>
    </row>
    <row r="79" spans="1:47" x14ac:dyDescent="0.3">
      <c r="B79" s="17"/>
      <c r="F79" s="17"/>
      <c r="G79" s="17"/>
      <c r="I79" s="17"/>
      <c r="K79" s="17"/>
      <c r="M79" s="17"/>
      <c r="O79" s="17"/>
      <c r="Q79" s="17"/>
    </row>
    <row r="80" spans="1:47" x14ac:dyDescent="0.3">
      <c r="B80" s="17"/>
      <c r="F80" s="17"/>
      <c r="G80" s="17"/>
      <c r="I80" s="17"/>
      <c r="K80" s="17"/>
      <c r="M80" s="17"/>
      <c r="O80" s="17"/>
      <c r="Q80" s="17"/>
    </row>
    <row r="81" spans="1:17" x14ac:dyDescent="0.3">
      <c r="B81" s="17"/>
      <c r="F81" s="17"/>
      <c r="G81" s="17"/>
      <c r="I81" s="17"/>
      <c r="K81" s="17"/>
      <c r="M81" s="17"/>
      <c r="O81" s="17"/>
      <c r="Q81" s="17"/>
    </row>
    <row r="82" spans="1:17" x14ac:dyDescent="0.3">
      <c r="B82" s="17"/>
      <c r="F82" s="17"/>
      <c r="G82" s="17"/>
      <c r="I82" s="17"/>
      <c r="K82" s="17"/>
      <c r="M82" s="17"/>
      <c r="O82" s="17"/>
      <c r="Q82" s="17"/>
    </row>
    <row r="83" spans="1:17" x14ac:dyDescent="0.3">
      <c r="A83" t="s">
        <v>71</v>
      </c>
      <c r="B83" s="17">
        <f>0.1*(B70+G70+L70+Q70+V70+AA70+AF70+AK70+AP70+AU70)</f>
        <v>0.53473198299362124</v>
      </c>
      <c r="F83" s="17"/>
      <c r="G83" s="17"/>
      <c r="I83" s="17"/>
      <c r="K83" s="17"/>
      <c r="M83" s="17"/>
      <c r="O83" s="17"/>
      <c r="Q83" s="17"/>
    </row>
    <row r="84" spans="1:17" x14ac:dyDescent="0.3">
      <c r="B84" s="17"/>
      <c r="F84" s="17"/>
      <c r="G84" s="17"/>
      <c r="I84" s="17"/>
      <c r="K84" s="17"/>
      <c r="M84" s="17"/>
      <c r="O84" s="17"/>
      <c r="Q84" s="17"/>
    </row>
    <row r="85" spans="1:17" x14ac:dyDescent="0.3">
      <c r="B85" s="17"/>
      <c r="F85" s="17"/>
      <c r="G85" s="17"/>
      <c r="I85" s="17"/>
      <c r="K85" s="17"/>
      <c r="M85" s="17"/>
      <c r="O85" s="17"/>
      <c r="Q85" s="17"/>
    </row>
    <row r="86" spans="1:17" x14ac:dyDescent="0.3">
      <c r="B86" s="17"/>
      <c r="F86" s="17"/>
      <c r="G86" s="17"/>
      <c r="I86" s="17"/>
      <c r="K86" s="17"/>
      <c r="M86" s="17"/>
      <c r="O86" s="17"/>
      <c r="Q86" s="17"/>
    </row>
    <row r="87" spans="1:17" x14ac:dyDescent="0.3">
      <c r="B87" s="17"/>
      <c r="F87" s="17"/>
      <c r="G87" s="17"/>
      <c r="I87" s="17"/>
      <c r="K87" s="17"/>
      <c r="M87" s="17"/>
      <c r="O87" s="17"/>
      <c r="Q87" s="17"/>
    </row>
    <row r="88" spans="1:17" x14ac:dyDescent="0.3">
      <c r="B88" s="17"/>
      <c r="F88" s="17"/>
      <c r="G88" s="17"/>
      <c r="I88" s="17"/>
      <c r="K88" s="17"/>
      <c r="M88" s="17"/>
      <c r="O88" s="17"/>
      <c r="Q88" s="17"/>
    </row>
    <row r="89" spans="1:17" x14ac:dyDescent="0.3">
      <c r="B89" s="17"/>
      <c r="F89" s="17"/>
      <c r="G89" s="17"/>
      <c r="I89" s="17"/>
      <c r="K89" s="17"/>
      <c r="M89" s="17"/>
      <c r="O89" s="17"/>
      <c r="Q89" s="17"/>
    </row>
    <row r="90" spans="1:17" x14ac:dyDescent="0.3">
      <c r="B90" s="17"/>
      <c r="F90" s="17"/>
      <c r="G90" s="17"/>
      <c r="I90" s="17"/>
      <c r="K90" s="17"/>
      <c r="M90" s="17"/>
      <c r="O90" s="17"/>
      <c r="Q90" s="17"/>
    </row>
    <row r="91" spans="1:17" x14ac:dyDescent="0.3">
      <c r="A91" t="s">
        <v>73</v>
      </c>
      <c r="B91" s="17">
        <f>(((B77-1)^2+(G77-1)^2+(L77-1)^2+(Q77-1)^2+(V77-1)^2+(AA77-1)^2+(AF77-1)^2+(AK77-1)^2+(AP77-1)^2+(AU77-1)^2)/9)^0.5</f>
        <v>0.30944201163321677</v>
      </c>
      <c r="F91" s="17"/>
      <c r="G91" s="17"/>
      <c r="I91" s="17"/>
      <c r="K91" s="17"/>
      <c r="M91" s="17"/>
      <c r="O91" s="17"/>
      <c r="Q91" s="17"/>
    </row>
    <row r="92" spans="1:17" x14ac:dyDescent="0.3">
      <c r="B92" s="17"/>
      <c r="F92" s="17"/>
      <c r="G92" s="17"/>
      <c r="I92" s="17"/>
      <c r="K92" s="17"/>
      <c r="M92" s="17"/>
      <c r="O92" s="17"/>
      <c r="Q92" s="17"/>
    </row>
    <row r="93" spans="1:17" x14ac:dyDescent="0.3">
      <c r="B93" s="17"/>
      <c r="F93" s="17"/>
      <c r="G93" s="17"/>
      <c r="I93" s="17"/>
      <c r="K93" s="17"/>
      <c r="M93" s="17"/>
      <c r="O93" s="17"/>
      <c r="Q93" s="17"/>
    </row>
    <row r="94" spans="1:17" x14ac:dyDescent="0.3">
      <c r="B94" s="17"/>
      <c r="F94" s="17"/>
      <c r="G94" s="17"/>
      <c r="I94" s="17"/>
      <c r="K94" s="17"/>
      <c r="M94" s="17"/>
      <c r="O94" s="17"/>
      <c r="Q94" s="17"/>
    </row>
    <row r="95" spans="1:17" x14ac:dyDescent="0.3">
      <c r="B95" s="17"/>
      <c r="F95" s="17"/>
      <c r="G95" s="17"/>
      <c r="I95" s="17"/>
      <c r="K95" s="17"/>
      <c r="M95" s="17"/>
      <c r="O95" s="17"/>
      <c r="Q95" s="17"/>
    </row>
    <row r="96" spans="1:17" x14ac:dyDescent="0.3">
      <c r="B96" s="17"/>
      <c r="F96" s="17"/>
      <c r="G96" s="17"/>
      <c r="I96" s="17"/>
      <c r="K96" s="17"/>
      <c r="M96" s="17"/>
      <c r="O96" s="17"/>
      <c r="Q96" s="17"/>
    </row>
    <row r="97" spans="2:17" x14ac:dyDescent="0.3">
      <c r="B97" s="17"/>
      <c r="F97" s="17"/>
      <c r="G97" s="17"/>
      <c r="I97" s="17"/>
      <c r="K97" s="17"/>
      <c r="M97" s="17"/>
      <c r="O97" s="17"/>
      <c r="Q97" s="17"/>
    </row>
    <row r="98" spans="2:17" x14ac:dyDescent="0.3">
      <c r="B98" s="17"/>
      <c r="F98" s="17"/>
      <c r="G98" s="17"/>
      <c r="I98" s="17"/>
      <c r="K98" s="17"/>
      <c r="M98" s="17"/>
      <c r="O98" s="17"/>
      <c r="Q98" s="17"/>
    </row>
    <row r="99" spans="2:17" x14ac:dyDescent="0.3">
      <c r="B99" s="17"/>
      <c r="F99" s="17"/>
      <c r="G99" s="17"/>
      <c r="I99" s="17"/>
      <c r="K99" s="17"/>
      <c r="M99" s="17"/>
      <c r="O99" s="17"/>
      <c r="Q99" s="17"/>
    </row>
    <row r="100" spans="2:17" x14ac:dyDescent="0.3">
      <c r="B100" s="17"/>
      <c r="F100" s="17"/>
      <c r="G100" s="17"/>
      <c r="I100" s="17"/>
      <c r="K100" s="17"/>
      <c r="M100" s="17"/>
      <c r="O100" s="17"/>
      <c r="Q100" s="17"/>
    </row>
    <row r="101" spans="2:17" x14ac:dyDescent="0.3">
      <c r="B101" s="17"/>
      <c r="F101" s="17"/>
      <c r="G101" s="17"/>
      <c r="I101" s="17"/>
      <c r="K101" s="17"/>
      <c r="M101" s="17"/>
      <c r="O101" s="17"/>
      <c r="Q101" s="17"/>
    </row>
    <row r="102" spans="2:17" x14ac:dyDescent="0.3">
      <c r="B102" s="17"/>
      <c r="F102" s="17"/>
      <c r="G102" s="17"/>
      <c r="I102" s="17"/>
      <c r="K102" s="17"/>
      <c r="M102" s="17"/>
      <c r="O102" s="17"/>
      <c r="Q102" s="17"/>
    </row>
    <row r="103" spans="2:17" x14ac:dyDescent="0.3">
      <c r="B103" s="17"/>
      <c r="F103" s="17"/>
      <c r="G103" s="17"/>
      <c r="I103" s="17"/>
      <c r="K103" s="17"/>
      <c r="M103" s="17"/>
      <c r="O103" s="17"/>
      <c r="Q103" s="17"/>
    </row>
    <row r="104" spans="2:17" x14ac:dyDescent="0.3">
      <c r="B104" s="17"/>
      <c r="F104" s="17"/>
      <c r="G104" s="17"/>
      <c r="I104" s="17"/>
      <c r="K104" s="17"/>
      <c r="M104" s="17"/>
      <c r="O104" s="17"/>
      <c r="Q104" s="17"/>
    </row>
    <row r="105" spans="2:17" x14ac:dyDescent="0.3">
      <c r="B105" s="17"/>
      <c r="F105" s="17"/>
      <c r="G105" s="17"/>
      <c r="I105" s="17"/>
      <c r="K105" s="17"/>
      <c r="M105" s="17"/>
      <c r="O105" s="17"/>
      <c r="Q105" s="17"/>
    </row>
    <row r="106" spans="2:17" x14ac:dyDescent="0.3">
      <c r="B106" s="17"/>
      <c r="F106" s="17"/>
      <c r="G106" s="17"/>
      <c r="I106" s="17"/>
      <c r="K106" s="17"/>
      <c r="M106" s="17"/>
      <c r="O106" s="17"/>
      <c r="Q106" s="17"/>
    </row>
    <row r="107" spans="2:17" x14ac:dyDescent="0.3">
      <c r="B107" s="17"/>
      <c r="F107" s="17"/>
      <c r="G107" s="17"/>
      <c r="I107" s="17"/>
      <c r="K107" s="17"/>
      <c r="M107" s="17"/>
      <c r="O107" s="17"/>
      <c r="Q107" s="17"/>
    </row>
    <row r="108" spans="2:17" x14ac:dyDescent="0.3">
      <c r="B108" s="17"/>
      <c r="F108" s="17"/>
      <c r="G108" s="17"/>
      <c r="I108" s="17"/>
      <c r="K108" s="17"/>
      <c r="M108" s="17"/>
      <c r="O108" s="17"/>
      <c r="Q108" s="17"/>
    </row>
    <row r="109" spans="2:17" x14ac:dyDescent="0.3">
      <c r="B109" s="17"/>
      <c r="F109" s="17"/>
      <c r="G109" s="17"/>
      <c r="I109" s="17"/>
      <c r="K109" s="17"/>
      <c r="M109" s="17"/>
      <c r="O109" s="17"/>
      <c r="Q109" s="17"/>
    </row>
    <row r="110" spans="2:17" x14ac:dyDescent="0.3">
      <c r="B110" s="17"/>
      <c r="F110" s="17"/>
      <c r="G110" s="17"/>
      <c r="I110" s="17"/>
      <c r="K110" s="17"/>
      <c r="M110" s="17"/>
      <c r="O110" s="17"/>
      <c r="Q110" s="17"/>
    </row>
    <row r="111" spans="2:17" x14ac:dyDescent="0.3">
      <c r="B111" s="17"/>
      <c r="F111" s="17"/>
      <c r="G111" s="17"/>
      <c r="I111" s="17"/>
      <c r="K111" s="17"/>
      <c r="M111" s="17"/>
      <c r="O111" s="17"/>
      <c r="Q111" s="17"/>
    </row>
    <row r="112" spans="2:17" x14ac:dyDescent="0.3">
      <c r="B112" s="17"/>
      <c r="F112" s="17"/>
      <c r="G112" s="17"/>
      <c r="I112" s="17"/>
      <c r="K112" s="17"/>
      <c r="M112" s="17"/>
      <c r="O112" s="17"/>
      <c r="Q112" s="17"/>
    </row>
    <row r="113" spans="2:17" x14ac:dyDescent="0.3">
      <c r="B113" s="17"/>
      <c r="F113" s="17"/>
      <c r="G113" s="17"/>
      <c r="I113" s="17"/>
      <c r="K113" s="17"/>
      <c r="M113" s="17"/>
      <c r="O113" s="17"/>
      <c r="Q113" s="17"/>
    </row>
    <row r="114" spans="2:17" x14ac:dyDescent="0.3">
      <c r="B114" s="17"/>
      <c r="F114" s="17"/>
      <c r="G114" s="17"/>
      <c r="I114" s="17"/>
      <c r="K114" s="17"/>
      <c r="M114" s="17"/>
      <c r="O114" s="17"/>
      <c r="Q114" s="17"/>
    </row>
    <row r="115" spans="2:17" x14ac:dyDescent="0.3">
      <c r="B115" s="17"/>
      <c r="F115" s="17"/>
      <c r="G115" s="17"/>
      <c r="I115" s="17"/>
      <c r="K115" s="17"/>
      <c r="M115" s="17"/>
      <c r="O115" s="17"/>
      <c r="Q115" s="17"/>
    </row>
    <row r="116" spans="2:17" x14ac:dyDescent="0.3">
      <c r="B116" s="17"/>
      <c r="F116" s="17"/>
      <c r="G116" s="17"/>
      <c r="I116" s="17"/>
      <c r="K116" s="17"/>
      <c r="M116" s="17"/>
      <c r="O116" s="17"/>
      <c r="Q116" s="17"/>
    </row>
    <row r="117" spans="2:17" x14ac:dyDescent="0.3">
      <c r="B117" s="17"/>
      <c r="F117" s="17"/>
      <c r="G117" s="17"/>
      <c r="I117" s="17"/>
      <c r="K117" s="17"/>
      <c r="M117" s="17"/>
      <c r="O117" s="17"/>
      <c r="Q117" s="17"/>
    </row>
    <row r="118" spans="2:17" x14ac:dyDescent="0.3">
      <c r="B118" s="17"/>
      <c r="F118" s="17"/>
      <c r="G118" s="17"/>
      <c r="I118" s="17"/>
      <c r="K118" s="17"/>
      <c r="M118" s="17"/>
      <c r="O118" s="17"/>
      <c r="Q118" s="17"/>
    </row>
    <row r="119" spans="2:17" x14ac:dyDescent="0.3">
      <c r="B119" s="17"/>
      <c r="F119" s="17"/>
      <c r="G119" s="17"/>
      <c r="I119" s="17"/>
      <c r="K119" s="17"/>
      <c r="M119" s="17"/>
      <c r="O119" s="17"/>
      <c r="Q119" s="17"/>
    </row>
    <row r="120" spans="2:17" x14ac:dyDescent="0.3">
      <c r="B120" s="17"/>
      <c r="F120" s="17"/>
      <c r="G120" s="17"/>
      <c r="I120" s="17"/>
      <c r="K120" s="17"/>
      <c r="M120" s="17"/>
      <c r="O120" s="17"/>
      <c r="Q120" s="17"/>
    </row>
    <row r="121" spans="2:17" x14ac:dyDescent="0.3">
      <c r="B121" s="17"/>
      <c r="F121" s="17"/>
      <c r="G121" s="17"/>
      <c r="I121" s="17"/>
      <c r="K121" s="17"/>
      <c r="M121" s="17"/>
      <c r="O121" s="17"/>
      <c r="Q121" s="17"/>
    </row>
    <row r="122" spans="2:17" x14ac:dyDescent="0.3">
      <c r="B122" s="17"/>
      <c r="F122" s="17"/>
      <c r="G122" s="17"/>
      <c r="I122" s="17"/>
      <c r="K122" s="17"/>
      <c r="M122" s="17"/>
      <c r="O122" s="17"/>
      <c r="Q122" s="17"/>
    </row>
    <row r="123" spans="2:17" x14ac:dyDescent="0.3">
      <c r="B123" s="17"/>
      <c r="F123" s="17"/>
      <c r="G123" s="17"/>
      <c r="I123" s="17"/>
      <c r="K123" s="17"/>
      <c r="M123" s="17"/>
      <c r="O123" s="17"/>
      <c r="Q123" s="17"/>
    </row>
    <row r="124" spans="2:17" x14ac:dyDescent="0.3">
      <c r="B124" s="17"/>
      <c r="F124" s="17"/>
      <c r="G124" s="17"/>
      <c r="I124" s="17"/>
      <c r="K124" s="17"/>
      <c r="M124" s="17"/>
      <c r="O124" s="17"/>
      <c r="Q124" s="17"/>
    </row>
    <row r="125" spans="2:17" x14ac:dyDescent="0.3">
      <c r="B125" s="17"/>
      <c r="F125" s="17"/>
      <c r="G125" s="17"/>
      <c r="I125" s="17"/>
      <c r="K125" s="17"/>
      <c r="M125" s="17"/>
      <c r="O125" s="17"/>
      <c r="Q125" s="17"/>
    </row>
    <row r="126" spans="2:17" x14ac:dyDescent="0.3">
      <c r="B126" s="17"/>
      <c r="F126" s="17"/>
      <c r="G126" s="17"/>
      <c r="I126" s="17"/>
      <c r="K126" s="17"/>
      <c r="M126" s="17"/>
      <c r="O126" s="17"/>
      <c r="Q126" s="17"/>
    </row>
    <row r="127" spans="2:17" x14ac:dyDescent="0.3">
      <c r="B127" s="17"/>
      <c r="F127" s="17"/>
      <c r="G127" s="17"/>
      <c r="I127" s="17"/>
      <c r="K127" s="17"/>
      <c r="M127" s="17"/>
      <c r="O127" s="17"/>
      <c r="Q127" s="17"/>
    </row>
    <row r="128" spans="2:17" x14ac:dyDescent="0.3">
      <c r="B128" s="17"/>
      <c r="F128" s="17"/>
      <c r="G128" s="17"/>
      <c r="I128" s="17"/>
      <c r="K128" s="17"/>
      <c r="M128" s="17"/>
      <c r="O128" s="17"/>
      <c r="Q128" s="17"/>
    </row>
    <row r="129" spans="2:17" x14ac:dyDescent="0.3">
      <c r="B129" s="17"/>
      <c r="F129" s="17"/>
      <c r="G129" s="17"/>
      <c r="I129" s="17"/>
      <c r="K129" s="17"/>
      <c r="M129" s="17"/>
      <c r="O129" s="17"/>
      <c r="Q129" s="17"/>
    </row>
    <row r="130" spans="2:17" x14ac:dyDescent="0.3">
      <c r="B130" s="17"/>
      <c r="F130" s="17"/>
      <c r="G130" s="17"/>
      <c r="I130" s="17"/>
      <c r="K130" s="17"/>
      <c r="M130" s="17"/>
      <c r="O130" s="17"/>
      <c r="Q130" s="17"/>
    </row>
    <row r="131" spans="2:17" x14ac:dyDescent="0.3">
      <c r="B131" s="17"/>
      <c r="F131" s="17"/>
      <c r="G131" s="17"/>
      <c r="I131" s="17"/>
      <c r="K131" s="17"/>
      <c r="M131" s="17"/>
      <c r="O131" s="17"/>
      <c r="Q131" s="17"/>
    </row>
    <row r="132" spans="2:17" x14ac:dyDescent="0.3">
      <c r="B132" s="17"/>
      <c r="F132" s="17"/>
      <c r="G132" s="17"/>
      <c r="I132" s="17"/>
      <c r="K132" s="17"/>
      <c r="M132" s="17"/>
      <c r="O132" s="17"/>
      <c r="Q132" s="17"/>
    </row>
    <row r="133" spans="2:17" x14ac:dyDescent="0.3">
      <c r="B133" s="17"/>
      <c r="F133" s="17"/>
      <c r="G133" s="17"/>
      <c r="I133" s="17"/>
      <c r="K133" s="17"/>
      <c r="M133" s="17"/>
      <c r="O133" s="17"/>
      <c r="Q133" s="17"/>
    </row>
    <row r="134" spans="2:17" x14ac:dyDescent="0.3">
      <c r="B134" s="17"/>
      <c r="F134" s="17"/>
      <c r="G134" s="17"/>
      <c r="I134" s="17"/>
      <c r="K134" s="17"/>
      <c r="M134" s="17"/>
      <c r="O134" s="17"/>
      <c r="Q134" s="17"/>
    </row>
    <row r="135" spans="2:17" x14ac:dyDescent="0.3">
      <c r="B135" s="17"/>
      <c r="F135" s="17"/>
      <c r="G135" s="17"/>
      <c r="I135" s="17"/>
      <c r="K135" s="17"/>
      <c r="M135" s="17"/>
      <c r="O135" s="17"/>
      <c r="Q135" s="17"/>
    </row>
    <row r="136" spans="2:17" x14ac:dyDescent="0.3">
      <c r="B136" s="17"/>
      <c r="F136" s="17"/>
      <c r="G136" s="17"/>
      <c r="I136" s="17"/>
      <c r="K136" s="17"/>
      <c r="M136" s="17"/>
      <c r="O136" s="17"/>
      <c r="Q136" s="17"/>
    </row>
    <row r="137" spans="2:17" x14ac:dyDescent="0.3">
      <c r="B137" s="17"/>
      <c r="F137" s="17"/>
      <c r="G137" s="17"/>
      <c r="I137" s="17"/>
      <c r="K137" s="17"/>
      <c r="M137" s="17"/>
      <c r="O137" s="17"/>
      <c r="Q137" s="17"/>
    </row>
    <row r="138" spans="2:17" x14ac:dyDescent="0.3">
      <c r="B138" s="17"/>
      <c r="F138" s="17"/>
      <c r="G138" s="17"/>
      <c r="I138" s="17"/>
      <c r="K138" s="17"/>
      <c r="M138" s="17"/>
      <c r="O138" s="17"/>
      <c r="Q138" s="17"/>
    </row>
    <row r="139" spans="2:17" x14ac:dyDescent="0.3">
      <c r="B139" s="17"/>
      <c r="F139" s="17"/>
      <c r="G139" s="17"/>
      <c r="I139" s="17"/>
      <c r="K139" s="17"/>
      <c r="M139" s="17"/>
      <c r="O139" s="17"/>
      <c r="Q139" s="17"/>
    </row>
    <row r="140" spans="2:17" x14ac:dyDescent="0.3">
      <c r="B140" s="17"/>
      <c r="F140" s="17"/>
      <c r="G140" s="17"/>
      <c r="I140" s="17"/>
      <c r="K140" s="17"/>
      <c r="M140" s="17"/>
      <c r="O140" s="17"/>
      <c r="Q140" s="17"/>
    </row>
    <row r="141" spans="2:17" x14ac:dyDescent="0.3">
      <c r="B141" s="17"/>
      <c r="F141" s="17"/>
      <c r="G141" s="17"/>
      <c r="I141" s="17"/>
      <c r="K141" s="17"/>
      <c r="M141" s="17"/>
      <c r="O141" s="17"/>
      <c r="Q141" s="17"/>
    </row>
    <row r="142" spans="2:17" x14ac:dyDescent="0.3">
      <c r="B142" s="17"/>
      <c r="F142" s="17"/>
      <c r="G142" s="17"/>
      <c r="I142" s="17"/>
      <c r="K142" s="17"/>
      <c r="M142" s="17"/>
      <c r="O142" s="17"/>
      <c r="Q142" s="17"/>
    </row>
    <row r="143" spans="2:17" x14ac:dyDescent="0.3">
      <c r="B143" s="17"/>
      <c r="F143" s="17"/>
      <c r="G143" s="17"/>
      <c r="I143" s="17"/>
      <c r="K143" s="17"/>
      <c r="M143" s="17"/>
      <c r="O143" s="17"/>
      <c r="Q143" s="17"/>
    </row>
    <row r="144" spans="2:17" x14ac:dyDescent="0.3">
      <c r="B144" s="17"/>
      <c r="F144" s="17"/>
      <c r="G144" s="17"/>
      <c r="I144" s="17"/>
      <c r="K144" s="17"/>
      <c r="M144" s="17"/>
      <c r="O144" s="17"/>
      <c r="Q144" s="17"/>
    </row>
    <row r="145" spans="2:17" x14ac:dyDescent="0.3">
      <c r="B145" s="17"/>
      <c r="F145" s="17"/>
      <c r="G145" s="17"/>
      <c r="I145" s="17"/>
      <c r="K145" s="17"/>
      <c r="M145" s="17"/>
      <c r="O145" s="17"/>
      <c r="Q145" s="17"/>
    </row>
    <row r="146" spans="2:17" x14ac:dyDescent="0.3">
      <c r="B146" s="17"/>
      <c r="F146" s="17"/>
      <c r="G146" s="17"/>
      <c r="I146" s="17"/>
      <c r="K146" s="17"/>
      <c r="M146" s="17"/>
      <c r="O146" s="17"/>
      <c r="Q146" s="17"/>
    </row>
    <row r="147" spans="2:17" x14ac:dyDescent="0.3">
      <c r="B147" s="17"/>
      <c r="F147" s="17"/>
      <c r="G147" s="17"/>
      <c r="I147" s="17"/>
      <c r="K147" s="17"/>
      <c r="M147" s="17"/>
      <c r="O147" s="17"/>
      <c r="Q147" s="17"/>
    </row>
    <row r="148" spans="2:17" x14ac:dyDescent="0.3">
      <c r="B148" s="17"/>
      <c r="F148" s="17"/>
      <c r="G148" s="17"/>
      <c r="I148" s="17"/>
      <c r="K148" s="17"/>
      <c r="M148" s="17"/>
      <c r="O148" s="17"/>
      <c r="Q148" s="17"/>
    </row>
    <row r="149" spans="2:17" x14ac:dyDescent="0.3">
      <c r="B149" s="17"/>
      <c r="F149" s="17"/>
      <c r="G149" s="17"/>
      <c r="I149" s="17"/>
      <c r="K149" s="17"/>
      <c r="M149" s="17"/>
      <c r="O149" s="17"/>
      <c r="Q149" s="17"/>
    </row>
    <row r="150" spans="2:17" x14ac:dyDescent="0.3">
      <c r="B150" s="17"/>
      <c r="F150" s="17"/>
      <c r="G150" s="17"/>
      <c r="I150" s="17"/>
      <c r="K150" s="17"/>
      <c r="M150" s="17"/>
      <c r="O150" s="17"/>
      <c r="Q150" s="17"/>
    </row>
    <row r="151" spans="2:17" x14ac:dyDescent="0.3">
      <c r="B151" s="17"/>
      <c r="F151" s="17"/>
      <c r="G151" s="17"/>
      <c r="I151" s="17"/>
      <c r="K151" s="17"/>
      <c r="M151" s="17"/>
      <c r="O151" s="17"/>
      <c r="Q151" s="17"/>
    </row>
    <row r="152" spans="2:17" x14ac:dyDescent="0.3">
      <c r="B152" s="17"/>
      <c r="F152" s="17"/>
      <c r="G152" s="17"/>
      <c r="I152" s="17"/>
      <c r="K152" s="17"/>
      <c r="M152" s="17"/>
      <c r="O152" s="17"/>
      <c r="Q152" s="17"/>
    </row>
    <row r="153" spans="2:17" x14ac:dyDescent="0.3">
      <c r="B153" s="17"/>
      <c r="F153" s="17"/>
      <c r="G153" s="17"/>
      <c r="I153" s="17"/>
      <c r="K153" s="17"/>
      <c r="M153" s="17"/>
      <c r="O153" s="17"/>
      <c r="Q153" s="17"/>
    </row>
    <row r="154" spans="2:17" x14ac:dyDescent="0.3">
      <c r="B154" s="17"/>
      <c r="F154" s="17"/>
      <c r="G154" s="17"/>
      <c r="I154" s="17"/>
      <c r="K154" s="17"/>
      <c r="M154" s="17"/>
      <c r="O154" s="17"/>
      <c r="Q154" s="17"/>
    </row>
    <row r="155" spans="2:17" x14ac:dyDescent="0.3">
      <c r="B155" s="17"/>
      <c r="F155" s="17"/>
      <c r="G155" s="17"/>
      <c r="I155" s="17"/>
      <c r="K155" s="17"/>
      <c r="M155" s="17"/>
      <c r="O155" s="17"/>
      <c r="Q155" s="17"/>
    </row>
    <row r="156" spans="2:17" x14ac:dyDescent="0.3">
      <c r="B156" s="17"/>
      <c r="F156" s="17"/>
      <c r="G156" s="17"/>
      <c r="I156" s="17"/>
      <c r="K156" s="17"/>
      <c r="M156" s="17"/>
      <c r="O156" s="17"/>
      <c r="Q156" s="17"/>
    </row>
    <row r="157" spans="2:17" x14ac:dyDescent="0.3">
      <c r="B157" s="17"/>
      <c r="F157" s="17"/>
      <c r="G157" s="17"/>
      <c r="I157" s="17"/>
      <c r="K157" s="17"/>
      <c r="M157" s="17"/>
      <c r="O157" s="17"/>
      <c r="Q157" s="17"/>
    </row>
    <row r="158" spans="2:17" x14ac:dyDescent="0.3">
      <c r="B158" s="17"/>
      <c r="F158" s="17"/>
      <c r="G158" s="17"/>
      <c r="I158" s="17"/>
      <c r="K158" s="17"/>
      <c r="M158" s="17"/>
      <c r="O158" s="17"/>
      <c r="Q158" s="17"/>
    </row>
    <row r="159" spans="2:17" x14ac:dyDescent="0.3">
      <c r="B159" s="17"/>
      <c r="F159" s="17"/>
      <c r="G159" s="17"/>
      <c r="I159" s="17"/>
      <c r="K159" s="17"/>
      <c r="M159" s="17"/>
      <c r="O159" s="17"/>
      <c r="Q159" s="17"/>
    </row>
    <row r="160" spans="2:17" x14ac:dyDescent="0.3">
      <c r="B160" s="17"/>
      <c r="F160" s="17"/>
      <c r="G160" s="17"/>
      <c r="I160" s="17"/>
      <c r="K160" s="17"/>
      <c r="M160" s="17"/>
      <c r="O160" s="17"/>
      <c r="Q160" s="17"/>
    </row>
    <row r="161" spans="2:17" x14ac:dyDescent="0.3">
      <c r="B161" s="17"/>
      <c r="F161" s="17"/>
      <c r="G161" s="17"/>
      <c r="I161" s="17"/>
      <c r="K161" s="17"/>
      <c r="M161" s="17"/>
      <c r="O161" s="17"/>
      <c r="Q161" s="17"/>
    </row>
    <row r="162" spans="2:17" x14ac:dyDescent="0.3">
      <c r="B162" s="17"/>
      <c r="F162" s="17"/>
      <c r="G162" s="17"/>
      <c r="I162" s="17"/>
      <c r="K162" s="17"/>
      <c r="M162" s="17"/>
      <c r="O162" s="17"/>
      <c r="Q162" s="17"/>
    </row>
    <row r="163" spans="2:17" x14ac:dyDescent="0.3">
      <c r="B163" s="17"/>
      <c r="F163" s="17"/>
      <c r="G163" s="17"/>
      <c r="I163" s="17"/>
      <c r="K163" s="17"/>
      <c r="M163" s="17"/>
      <c r="O163" s="17"/>
      <c r="Q163" s="17"/>
    </row>
    <row r="164" spans="2:17" x14ac:dyDescent="0.3">
      <c r="B164" s="17"/>
      <c r="F164" s="17"/>
      <c r="G164" s="17"/>
      <c r="I164" s="17"/>
      <c r="K164" s="17"/>
      <c r="M164" s="17"/>
      <c r="O164" s="17"/>
      <c r="Q164" s="17"/>
    </row>
    <row r="165" spans="2:17" x14ac:dyDescent="0.3">
      <c r="B165" s="17"/>
      <c r="F165" s="17"/>
      <c r="G165" s="17"/>
      <c r="I165" s="17"/>
      <c r="K165" s="17"/>
      <c r="M165" s="17"/>
      <c r="O165" s="17"/>
      <c r="Q165" s="17"/>
    </row>
    <row r="166" spans="2:17" x14ac:dyDescent="0.3">
      <c r="B166" s="17"/>
      <c r="F166" s="17"/>
      <c r="G166" s="17"/>
      <c r="I166" s="17"/>
      <c r="K166" s="17"/>
      <c r="M166" s="17"/>
      <c r="O166" s="17"/>
      <c r="Q166" s="17"/>
    </row>
    <row r="167" spans="2:17" x14ac:dyDescent="0.3">
      <c r="B167" s="17"/>
      <c r="F167" s="17"/>
      <c r="G167" s="17"/>
      <c r="I167" s="17"/>
      <c r="K167" s="17"/>
      <c r="M167" s="17"/>
      <c r="O167" s="17"/>
      <c r="Q167" s="17"/>
    </row>
    <row r="168" spans="2:17" x14ac:dyDescent="0.3">
      <c r="B168" s="17"/>
      <c r="F168" s="17"/>
      <c r="G168" s="17"/>
      <c r="I168" s="17"/>
      <c r="K168" s="17"/>
      <c r="M168" s="17"/>
      <c r="O168" s="17"/>
      <c r="Q168" s="17"/>
    </row>
    <row r="169" spans="2:17" x14ac:dyDescent="0.3">
      <c r="B169" s="17"/>
      <c r="F169" s="17"/>
      <c r="G169" s="17"/>
      <c r="I169" s="17"/>
      <c r="K169" s="17"/>
      <c r="M169" s="17"/>
      <c r="O169" s="17"/>
      <c r="Q169" s="17"/>
    </row>
    <row r="170" spans="2:17" x14ac:dyDescent="0.3">
      <c r="B170" s="17"/>
      <c r="F170" s="17"/>
      <c r="G170" s="17"/>
      <c r="I170" s="17"/>
      <c r="K170" s="17"/>
      <c r="M170" s="17"/>
      <c r="O170" s="17"/>
      <c r="Q170" s="17"/>
    </row>
    <row r="171" spans="2:17" x14ac:dyDescent="0.3">
      <c r="B171" s="17"/>
      <c r="F171" s="16"/>
      <c r="G171" s="17"/>
      <c r="I171" s="16"/>
      <c r="K171" s="16"/>
      <c r="M171" s="16"/>
      <c r="O171" s="16"/>
      <c r="Q171" s="16"/>
    </row>
    <row r="172" spans="2:17" x14ac:dyDescent="0.3">
      <c r="B172" s="17"/>
      <c r="F172" s="16"/>
      <c r="G172" s="17"/>
      <c r="I172" s="16"/>
      <c r="K172" s="16"/>
      <c r="M172" s="16"/>
      <c r="O172" s="16"/>
      <c r="Q172" s="16"/>
    </row>
    <row r="173" spans="2:17" x14ac:dyDescent="0.3">
      <c r="B173" s="17"/>
      <c r="F173" s="16"/>
      <c r="G173" s="17"/>
      <c r="I173" s="16"/>
      <c r="K173" s="16"/>
      <c r="M173" s="16"/>
      <c r="O173" s="16"/>
      <c r="Q173" s="16"/>
    </row>
    <row r="174" spans="2:17" x14ac:dyDescent="0.3">
      <c r="B174" s="17"/>
      <c r="F174" s="16"/>
      <c r="G174" s="17"/>
      <c r="I174" s="16"/>
      <c r="K174" s="16"/>
      <c r="M174" s="16"/>
      <c r="O174" s="16"/>
      <c r="Q174" s="16"/>
    </row>
    <row r="175" spans="2:17" x14ac:dyDescent="0.3">
      <c r="B175" s="17"/>
      <c r="F175" s="16"/>
      <c r="G175" s="17"/>
      <c r="I175" s="16"/>
      <c r="K175" s="16"/>
      <c r="M175" s="16"/>
      <c r="O175" s="16"/>
      <c r="Q175" s="16"/>
    </row>
    <row r="176" spans="2:17" x14ac:dyDescent="0.3">
      <c r="B176" s="17"/>
      <c r="F176" s="16"/>
      <c r="G176" s="17"/>
      <c r="I176" s="16"/>
      <c r="K176" s="16"/>
      <c r="M176" s="16"/>
      <c r="O176" s="16"/>
      <c r="Q176" s="16"/>
    </row>
    <row r="177" spans="2:17" x14ac:dyDescent="0.3">
      <c r="B177" s="17"/>
      <c r="F177" s="16"/>
      <c r="G177" s="17"/>
      <c r="I177" s="16"/>
      <c r="K177" s="16"/>
      <c r="M177" s="16"/>
      <c r="O177" s="16"/>
      <c r="Q177" s="16"/>
    </row>
    <row r="178" spans="2:17" x14ac:dyDescent="0.3">
      <c r="B178" s="17"/>
      <c r="F178" s="16"/>
      <c r="G178" s="17"/>
      <c r="I178" s="16"/>
      <c r="K178" s="16"/>
      <c r="M178" s="16"/>
      <c r="O178" s="16"/>
      <c r="Q178" s="16"/>
    </row>
    <row r="179" spans="2:17" x14ac:dyDescent="0.3">
      <c r="B179" s="17"/>
      <c r="F179" s="16"/>
      <c r="G179" s="17"/>
      <c r="I179" s="16"/>
      <c r="K179" s="16"/>
      <c r="M179" s="16"/>
      <c r="O179" s="16"/>
      <c r="Q179" s="16"/>
    </row>
    <row r="180" spans="2:17" x14ac:dyDescent="0.3">
      <c r="B180" s="17"/>
      <c r="F180" s="16"/>
      <c r="G180" s="17"/>
      <c r="I180" s="16"/>
      <c r="K180" s="16"/>
      <c r="M180" s="16"/>
      <c r="O180" s="16"/>
      <c r="Q180" s="16"/>
    </row>
    <row r="181" spans="2:17" x14ac:dyDescent="0.3">
      <c r="B181" s="17"/>
      <c r="F181" s="16"/>
      <c r="G181" s="17"/>
      <c r="I181" s="16"/>
      <c r="K181" s="16"/>
      <c r="M181" s="16"/>
      <c r="O181" s="16"/>
      <c r="Q181" s="16"/>
    </row>
    <row r="182" spans="2:17" x14ac:dyDescent="0.3">
      <c r="B182" s="17"/>
      <c r="F182" s="16"/>
      <c r="G182" s="17"/>
      <c r="I182" s="16"/>
      <c r="K182" s="16"/>
      <c r="M182" s="16"/>
      <c r="O182" s="16"/>
      <c r="Q182" s="16"/>
    </row>
    <row r="183" spans="2:17" x14ac:dyDescent="0.3">
      <c r="B183" s="17"/>
      <c r="F183" s="16"/>
      <c r="G183" s="17"/>
      <c r="I183" s="16"/>
      <c r="K183" s="16"/>
      <c r="M183" s="16"/>
      <c r="O183" s="16"/>
      <c r="Q183" s="16"/>
    </row>
    <row r="184" spans="2:17" x14ac:dyDescent="0.3">
      <c r="B184" s="17"/>
      <c r="F184" s="16"/>
      <c r="G184" s="17"/>
      <c r="I184" s="16"/>
      <c r="K184" s="16"/>
      <c r="M184" s="16"/>
      <c r="O184" s="16"/>
      <c r="Q184" s="16"/>
    </row>
    <row r="185" spans="2:17" x14ac:dyDescent="0.3">
      <c r="B185" s="17"/>
      <c r="F185" s="16"/>
      <c r="G185" s="17"/>
      <c r="I185" s="16"/>
      <c r="K185" s="16"/>
      <c r="M185" s="16"/>
      <c r="O185" s="16"/>
      <c r="Q185" s="16"/>
    </row>
    <row r="186" spans="2:17" x14ac:dyDescent="0.3">
      <c r="B186" s="17"/>
      <c r="F186" s="16"/>
      <c r="G186" s="17"/>
      <c r="I186" s="16"/>
      <c r="K186" s="16"/>
      <c r="M186" s="16"/>
      <c r="O186" s="16"/>
      <c r="Q186" s="16"/>
    </row>
    <row r="187" spans="2:17" x14ac:dyDescent="0.3">
      <c r="B187" s="17"/>
      <c r="F187" s="16"/>
      <c r="G187" s="17"/>
      <c r="I187" s="16"/>
      <c r="K187" s="16"/>
      <c r="M187" s="16"/>
      <c r="O187" s="16"/>
      <c r="Q187" s="16"/>
    </row>
    <row r="188" spans="2:17" x14ac:dyDescent="0.3">
      <c r="B188" s="17"/>
      <c r="F188" s="16"/>
      <c r="G188" s="17"/>
      <c r="I188" s="16"/>
      <c r="K188" s="16"/>
      <c r="M188" s="16"/>
      <c r="O188" s="16"/>
      <c r="Q188" s="16"/>
    </row>
    <row r="189" spans="2:17" x14ac:dyDescent="0.3">
      <c r="B189" s="17"/>
      <c r="F189" s="16"/>
      <c r="G189" s="17"/>
      <c r="I189" s="16"/>
      <c r="K189" s="16"/>
      <c r="M189" s="16"/>
      <c r="O189" s="16"/>
      <c r="Q189" s="16"/>
    </row>
    <row r="190" spans="2:17" x14ac:dyDescent="0.3">
      <c r="B190" s="17"/>
      <c r="F190" s="16"/>
      <c r="G190" s="17"/>
      <c r="I190" s="16"/>
      <c r="K190" s="16"/>
      <c r="M190" s="16"/>
      <c r="O190" s="16"/>
      <c r="Q190" s="16"/>
    </row>
    <row r="191" spans="2:17" x14ac:dyDescent="0.3">
      <c r="B191" s="17"/>
      <c r="F191" s="16"/>
      <c r="G191" s="17"/>
      <c r="I191" s="16"/>
      <c r="K191" s="16"/>
      <c r="M191" s="16"/>
      <c r="O191" s="16"/>
      <c r="Q191" s="16"/>
    </row>
    <row r="192" spans="2:17" x14ac:dyDescent="0.3">
      <c r="B192" s="17"/>
      <c r="F192" s="16"/>
      <c r="G192" s="17"/>
      <c r="I192" s="16"/>
      <c r="K192" s="16"/>
      <c r="M192" s="16"/>
      <c r="O192" s="16"/>
      <c r="Q192" s="16"/>
    </row>
    <row r="193" spans="2:17" x14ac:dyDescent="0.3">
      <c r="B193" s="17"/>
      <c r="F193" s="16"/>
      <c r="G193" s="17"/>
      <c r="I193" s="16"/>
      <c r="K193" s="16"/>
      <c r="M193" s="16"/>
      <c r="O193" s="16"/>
      <c r="Q193" s="16"/>
    </row>
    <row r="194" spans="2:17" x14ac:dyDescent="0.3">
      <c r="B194" s="17"/>
      <c r="F194" s="16"/>
      <c r="G194" s="17"/>
      <c r="I194" s="16"/>
      <c r="K194" s="16"/>
      <c r="M194" s="16"/>
      <c r="O194" s="16"/>
      <c r="Q194" s="16"/>
    </row>
    <row r="195" spans="2:17" x14ac:dyDescent="0.3">
      <c r="B195" s="17"/>
      <c r="F195" s="16"/>
      <c r="G195" s="17"/>
      <c r="I195" s="16"/>
      <c r="K195" s="16"/>
      <c r="M195" s="16"/>
      <c r="O195" s="16"/>
      <c r="Q195" s="16"/>
    </row>
    <row r="196" spans="2:17" x14ac:dyDescent="0.3">
      <c r="B196" s="17"/>
      <c r="F196" s="16"/>
      <c r="G196" s="17"/>
      <c r="I196" s="16"/>
      <c r="K196" s="16"/>
      <c r="M196" s="16"/>
      <c r="O196" s="16"/>
      <c r="Q196" s="16"/>
    </row>
    <row r="197" spans="2:17" x14ac:dyDescent="0.3">
      <c r="B197" s="17"/>
      <c r="F197" s="16"/>
      <c r="G197" s="17"/>
      <c r="I197" s="16"/>
      <c r="K197" s="16"/>
      <c r="M197" s="16"/>
      <c r="O197" s="16"/>
      <c r="Q197" s="16"/>
    </row>
    <row r="198" spans="2:17" x14ac:dyDescent="0.3">
      <c r="B198" s="17"/>
      <c r="F198" s="16"/>
      <c r="G198" s="17"/>
      <c r="I198" s="16"/>
      <c r="K198" s="16"/>
      <c r="M198" s="16"/>
      <c r="O198" s="16"/>
      <c r="Q198" s="16"/>
    </row>
    <row r="199" spans="2:17" x14ac:dyDescent="0.3">
      <c r="B199" s="17"/>
      <c r="F199" s="16"/>
      <c r="G199" s="17"/>
      <c r="I199" s="16"/>
      <c r="K199" s="16"/>
      <c r="M199" s="16"/>
      <c r="O199" s="16"/>
      <c r="Q199" s="16"/>
    </row>
    <row r="200" spans="2:17" x14ac:dyDescent="0.3">
      <c r="B200" s="17"/>
      <c r="F200" s="16"/>
      <c r="G200" s="17"/>
      <c r="I200" s="16"/>
      <c r="K200" s="16"/>
      <c r="M200" s="16"/>
      <c r="O200" s="16"/>
      <c r="Q200" s="16"/>
    </row>
    <row r="201" spans="2:17" x14ac:dyDescent="0.3">
      <c r="B201" s="17"/>
      <c r="F201" s="16"/>
      <c r="G201" s="17"/>
      <c r="I201" s="16"/>
      <c r="K201" s="16"/>
      <c r="M201" s="16"/>
      <c r="O201" s="16"/>
      <c r="Q201" s="16"/>
    </row>
    <row r="202" spans="2:17" x14ac:dyDescent="0.3">
      <c r="B202" s="17"/>
      <c r="F202" s="16"/>
      <c r="G202" s="17"/>
      <c r="I202" s="16"/>
      <c r="K202" s="16"/>
      <c r="M202" s="16"/>
      <c r="O202" s="16"/>
      <c r="Q202" s="16"/>
    </row>
    <row r="203" spans="2:17" x14ac:dyDescent="0.3">
      <c r="B203" s="17"/>
      <c r="F203" s="16"/>
      <c r="G203" s="17"/>
      <c r="I203" s="16"/>
      <c r="K203" s="16"/>
      <c r="M203" s="16"/>
      <c r="O203" s="16"/>
      <c r="Q203" s="16"/>
    </row>
    <row r="204" spans="2:17" x14ac:dyDescent="0.3">
      <c r="B204" s="17"/>
      <c r="F204" s="16"/>
      <c r="G204" s="17"/>
      <c r="I204" s="16"/>
      <c r="K204" s="16"/>
      <c r="M204" s="16"/>
      <c r="O204" s="16"/>
      <c r="Q204" s="16"/>
    </row>
    <row r="205" spans="2:17" x14ac:dyDescent="0.3">
      <c r="B205" s="17"/>
      <c r="F205" s="16"/>
      <c r="G205" s="17"/>
      <c r="I205" s="16"/>
      <c r="K205" s="16"/>
      <c r="M205" s="16"/>
      <c r="O205" s="16"/>
      <c r="Q205" s="16"/>
    </row>
    <row r="206" spans="2:17" x14ac:dyDescent="0.3">
      <c r="B206" s="17"/>
      <c r="F206" s="16"/>
      <c r="G206" s="17"/>
      <c r="I206" s="16"/>
      <c r="K206" s="16"/>
      <c r="M206" s="16"/>
      <c r="O206" s="16"/>
      <c r="Q206" s="16"/>
    </row>
    <row r="207" spans="2:17" x14ac:dyDescent="0.3">
      <c r="B207" s="17"/>
      <c r="F207" s="16"/>
      <c r="G207" s="17"/>
      <c r="I207" s="16"/>
      <c r="K207" s="16"/>
      <c r="M207" s="16"/>
      <c r="O207" s="16"/>
      <c r="Q207" s="16"/>
    </row>
    <row r="208" spans="2:17" x14ac:dyDescent="0.3">
      <c r="B208" s="17"/>
      <c r="F208" s="16"/>
      <c r="G208" s="17"/>
      <c r="I208" s="16"/>
      <c r="K208" s="16"/>
      <c r="M208" s="16"/>
      <c r="O208" s="16"/>
      <c r="Q208" s="16"/>
    </row>
    <row r="209" spans="2:17" x14ac:dyDescent="0.3">
      <c r="B209" s="17"/>
      <c r="F209" s="16"/>
      <c r="G209" s="17"/>
      <c r="I209" s="16"/>
      <c r="K209" s="16"/>
      <c r="M209" s="16"/>
      <c r="O209" s="16"/>
      <c r="Q209" s="16"/>
    </row>
    <row r="210" spans="2:17" x14ac:dyDescent="0.3">
      <c r="B210" s="17"/>
      <c r="F210" s="16"/>
      <c r="G210" s="17"/>
      <c r="I210" s="16"/>
      <c r="K210" s="16"/>
      <c r="M210" s="16"/>
      <c r="O210" s="16"/>
      <c r="Q210" s="16"/>
    </row>
    <row r="211" spans="2:17" x14ac:dyDescent="0.3">
      <c r="B211" s="17"/>
      <c r="F211" s="16"/>
      <c r="G211" s="17"/>
      <c r="I211" s="16"/>
      <c r="K211" s="16"/>
      <c r="M211" s="16"/>
      <c r="O211" s="16"/>
      <c r="Q211" s="16"/>
    </row>
    <row r="212" spans="2:17" x14ac:dyDescent="0.3">
      <c r="B212" s="17"/>
      <c r="F212" s="16"/>
      <c r="G212" s="17"/>
      <c r="I212" s="16"/>
      <c r="K212" s="16"/>
      <c r="M212" s="16"/>
      <c r="O212" s="16"/>
      <c r="Q212" s="16"/>
    </row>
    <row r="213" spans="2:17" x14ac:dyDescent="0.3">
      <c r="B213" s="17"/>
      <c r="F213" s="16"/>
      <c r="G213" s="17"/>
      <c r="I213" s="16"/>
      <c r="K213" s="16"/>
      <c r="M213" s="16"/>
      <c r="O213" s="16"/>
      <c r="Q213" s="16"/>
    </row>
    <row r="214" spans="2:17" x14ac:dyDescent="0.3">
      <c r="B214" s="17"/>
      <c r="F214" s="16"/>
      <c r="G214" s="17"/>
      <c r="I214" s="16"/>
      <c r="K214" s="16"/>
      <c r="M214" s="16"/>
      <c r="O214" s="16"/>
      <c r="Q214" s="16"/>
    </row>
    <row r="215" spans="2:17" x14ac:dyDescent="0.3">
      <c r="B215" s="17"/>
      <c r="F215" s="16"/>
      <c r="G215" s="17"/>
      <c r="I215" s="16"/>
      <c r="K215" s="16"/>
      <c r="M215" s="16"/>
      <c r="O215" s="16"/>
      <c r="Q215" s="16"/>
    </row>
    <row r="216" spans="2:17" x14ac:dyDescent="0.3">
      <c r="B216" s="17"/>
      <c r="F216" s="16"/>
      <c r="G216" s="17"/>
      <c r="I216" s="16"/>
      <c r="K216" s="16"/>
      <c r="M216" s="16"/>
      <c r="O216" s="16"/>
      <c r="Q216" s="16"/>
    </row>
    <row r="217" spans="2:17" x14ac:dyDescent="0.3">
      <c r="B217" s="17"/>
      <c r="F217" s="16"/>
      <c r="G217" s="17"/>
      <c r="I217" s="16"/>
      <c r="K217" s="16"/>
      <c r="M217" s="16"/>
      <c r="O217" s="16"/>
      <c r="Q217" s="16"/>
    </row>
    <row r="218" spans="2:17" x14ac:dyDescent="0.3">
      <c r="B218" s="17"/>
      <c r="F218" s="16"/>
      <c r="G218" s="17"/>
      <c r="I218" s="16"/>
      <c r="K218" s="16"/>
      <c r="M218" s="16"/>
      <c r="O218" s="16"/>
      <c r="Q218" s="16"/>
    </row>
    <row r="219" spans="2:17" x14ac:dyDescent="0.3">
      <c r="B219" s="17"/>
      <c r="F219" s="16"/>
      <c r="G219" s="17"/>
      <c r="I219" s="16"/>
      <c r="K219" s="16"/>
      <c r="M219" s="16"/>
      <c r="O219" s="16"/>
      <c r="Q219" s="16"/>
    </row>
    <row r="220" spans="2:17" x14ac:dyDescent="0.3">
      <c r="B220" s="17"/>
      <c r="F220" s="16"/>
      <c r="G220" s="17"/>
      <c r="I220" s="16"/>
      <c r="K220" s="16"/>
      <c r="M220" s="16"/>
      <c r="O220" s="16"/>
      <c r="Q220" s="16"/>
    </row>
    <row r="221" spans="2:17" x14ac:dyDescent="0.3">
      <c r="B221" s="17"/>
      <c r="F221" s="16"/>
      <c r="G221" s="17"/>
      <c r="I221" s="16"/>
      <c r="K221" s="16"/>
      <c r="M221" s="16"/>
      <c r="O221" s="16"/>
      <c r="Q221" s="16"/>
    </row>
    <row r="222" spans="2:17" x14ac:dyDescent="0.3">
      <c r="B222" s="17"/>
      <c r="F222" s="16"/>
      <c r="G222" s="17"/>
      <c r="I222" s="16"/>
      <c r="K222" s="16"/>
      <c r="M222" s="16"/>
      <c r="O222" s="16"/>
      <c r="Q222" s="16"/>
    </row>
    <row r="223" spans="2:17" x14ac:dyDescent="0.3">
      <c r="B223" s="17"/>
      <c r="F223" s="16"/>
      <c r="G223" s="17"/>
      <c r="I223" s="16"/>
      <c r="K223" s="16"/>
      <c r="M223" s="16"/>
      <c r="O223" s="16"/>
      <c r="Q223" s="16"/>
    </row>
    <row r="224" spans="2:17" x14ac:dyDescent="0.3">
      <c r="B224" s="17"/>
      <c r="F224" s="16"/>
      <c r="G224" s="17"/>
      <c r="I224" s="16"/>
      <c r="K224" s="16"/>
      <c r="M224" s="16"/>
      <c r="O224" s="16"/>
      <c r="Q224" s="16"/>
    </row>
    <row r="225" spans="2:17" x14ac:dyDescent="0.3">
      <c r="B225" s="17"/>
      <c r="F225" s="16"/>
      <c r="G225" s="17"/>
      <c r="I225" s="16"/>
      <c r="K225" s="16"/>
      <c r="M225" s="16"/>
      <c r="O225" s="16"/>
      <c r="Q225" s="16"/>
    </row>
    <row r="226" spans="2:17" x14ac:dyDescent="0.3">
      <c r="B226" s="17"/>
      <c r="F226" s="16"/>
      <c r="G226" s="17"/>
      <c r="I226" s="16"/>
      <c r="K226" s="16"/>
      <c r="M226" s="16"/>
      <c r="O226" s="16"/>
      <c r="Q226" s="16"/>
    </row>
    <row r="227" spans="2:17" x14ac:dyDescent="0.3">
      <c r="B227" s="17"/>
      <c r="F227" s="16"/>
      <c r="G227" s="17"/>
      <c r="I227" s="16"/>
      <c r="K227" s="16"/>
      <c r="M227" s="16"/>
      <c r="O227" s="16"/>
      <c r="Q227" s="16"/>
    </row>
    <row r="228" spans="2:17" x14ac:dyDescent="0.3">
      <c r="B228" s="17"/>
      <c r="F228" s="16"/>
      <c r="G228" s="17"/>
      <c r="I228" s="16"/>
      <c r="K228" s="16"/>
      <c r="M228" s="16"/>
      <c r="O228" s="16"/>
      <c r="Q228" s="16"/>
    </row>
    <row r="229" spans="2:17" x14ac:dyDescent="0.3">
      <c r="B229" s="17"/>
      <c r="F229" s="16"/>
      <c r="G229" s="17"/>
      <c r="I229" s="16"/>
      <c r="K229" s="16"/>
      <c r="M229" s="16"/>
      <c r="O229" s="16"/>
      <c r="Q229" s="16"/>
    </row>
    <row r="230" spans="2:17" x14ac:dyDescent="0.3">
      <c r="B230" s="17"/>
      <c r="F230" s="16"/>
      <c r="G230" s="17"/>
      <c r="I230" s="16"/>
      <c r="K230" s="16"/>
      <c r="M230" s="16"/>
      <c r="O230" s="16"/>
      <c r="Q230" s="16"/>
    </row>
    <row r="231" spans="2:17" x14ac:dyDescent="0.3">
      <c r="B231" s="17"/>
      <c r="F231" s="16"/>
      <c r="G231" s="17"/>
      <c r="I231" s="16"/>
      <c r="K231" s="16"/>
      <c r="M231" s="16"/>
      <c r="O231" s="16"/>
      <c r="Q231" s="16"/>
    </row>
    <row r="232" spans="2:17" x14ac:dyDescent="0.3">
      <c r="B232" s="17"/>
      <c r="F232" s="16"/>
      <c r="G232" s="17"/>
      <c r="I232" s="16"/>
      <c r="K232" s="16"/>
      <c r="M232" s="16"/>
      <c r="O232" s="16"/>
      <c r="Q232" s="16"/>
    </row>
    <row r="233" spans="2:17" x14ac:dyDescent="0.3">
      <c r="B233" s="17"/>
      <c r="F233" s="16"/>
      <c r="G233" s="17"/>
      <c r="I233" s="16"/>
      <c r="K233" s="16"/>
      <c r="M233" s="16"/>
      <c r="O233" s="16"/>
      <c r="Q233" s="16"/>
    </row>
    <row r="234" spans="2:17" x14ac:dyDescent="0.3">
      <c r="B234" s="17"/>
      <c r="F234" s="16"/>
      <c r="G234" s="17"/>
      <c r="I234" s="16"/>
      <c r="K234" s="16"/>
      <c r="M234" s="16"/>
      <c r="O234" s="16"/>
      <c r="Q234" s="16"/>
    </row>
    <row r="235" spans="2:17" x14ac:dyDescent="0.3">
      <c r="B235" s="17"/>
      <c r="F235" s="16"/>
      <c r="G235" s="17"/>
      <c r="I235" s="16"/>
      <c r="K235" s="16"/>
      <c r="M235" s="16"/>
      <c r="O235" s="16"/>
      <c r="Q235" s="16"/>
    </row>
    <row r="236" spans="2:17" x14ac:dyDescent="0.3">
      <c r="B236" s="17"/>
      <c r="F236" s="16"/>
      <c r="G236" s="17"/>
      <c r="I236" s="16"/>
      <c r="K236" s="16"/>
      <c r="M236" s="16"/>
      <c r="O236" s="16"/>
      <c r="Q236" s="16"/>
    </row>
    <row r="237" spans="2:17" x14ac:dyDescent="0.3">
      <c r="B237" s="17"/>
      <c r="F237" s="16"/>
      <c r="G237" s="17"/>
      <c r="I237" s="16"/>
      <c r="K237" s="16"/>
      <c r="M237" s="16"/>
      <c r="O237" s="16"/>
      <c r="Q237" s="16"/>
    </row>
    <row r="238" spans="2:17" x14ac:dyDescent="0.3">
      <c r="B238" s="17"/>
      <c r="F238" s="16"/>
      <c r="G238" s="17"/>
      <c r="I238" s="16"/>
      <c r="K238" s="16"/>
      <c r="M238" s="16"/>
      <c r="O238" s="16"/>
      <c r="Q238" s="16"/>
    </row>
    <row r="239" spans="2:17" x14ac:dyDescent="0.3">
      <c r="B239" s="17"/>
      <c r="F239" s="16"/>
      <c r="G239" s="17"/>
      <c r="I239" s="16"/>
      <c r="K239" s="16"/>
      <c r="M239" s="16"/>
      <c r="O239" s="16"/>
      <c r="Q239" s="16"/>
    </row>
    <row r="240" spans="2:17" x14ac:dyDescent="0.3">
      <c r="B240" s="17"/>
      <c r="F240" s="16"/>
      <c r="G240" s="17"/>
      <c r="I240" s="16"/>
      <c r="K240" s="16"/>
      <c r="M240" s="16"/>
      <c r="O240" s="16"/>
      <c r="Q240" s="16"/>
    </row>
    <row r="241" spans="2:17" x14ac:dyDescent="0.3">
      <c r="B241" s="17"/>
      <c r="F241" s="16"/>
      <c r="G241" s="17"/>
      <c r="I241" s="16"/>
      <c r="K241" s="16"/>
      <c r="M241" s="16"/>
      <c r="O241" s="16"/>
      <c r="Q241" s="16"/>
    </row>
    <row r="242" spans="2:17" x14ac:dyDescent="0.3">
      <c r="B242" s="17"/>
      <c r="F242" s="16"/>
      <c r="G242" s="17"/>
      <c r="I242" s="16"/>
      <c r="K242" s="16"/>
      <c r="M242" s="16"/>
      <c r="O242" s="16"/>
      <c r="Q242" s="16"/>
    </row>
    <row r="243" spans="2:17" x14ac:dyDescent="0.3">
      <c r="B243" s="17"/>
      <c r="F243" s="16"/>
      <c r="G243" s="17"/>
      <c r="I243" s="16"/>
      <c r="K243" s="16"/>
      <c r="M243" s="16"/>
      <c r="O243" s="16"/>
      <c r="Q243" s="16"/>
    </row>
    <row r="244" spans="2:17" x14ac:dyDescent="0.3">
      <c r="B244" s="17"/>
      <c r="F244" s="16"/>
      <c r="G244" s="17"/>
      <c r="I244" s="16"/>
      <c r="K244" s="16"/>
      <c r="M244" s="16"/>
      <c r="O244" s="16"/>
      <c r="Q244" s="16"/>
    </row>
    <row r="245" spans="2:17" x14ac:dyDescent="0.3">
      <c r="B245" s="17"/>
      <c r="F245" s="16"/>
      <c r="G245" s="17"/>
      <c r="I245" s="16"/>
      <c r="K245" s="16"/>
      <c r="M245" s="16"/>
      <c r="O245" s="16"/>
      <c r="Q245" s="16"/>
    </row>
    <row r="246" spans="2:17" x14ac:dyDescent="0.3">
      <c r="B246" s="17"/>
      <c r="F246" s="16"/>
      <c r="G246" s="17"/>
      <c r="I246" s="16"/>
      <c r="K246" s="16"/>
      <c r="M246" s="16"/>
      <c r="O246" s="16"/>
      <c r="Q246" s="16"/>
    </row>
    <row r="247" spans="2:17" x14ac:dyDescent="0.3">
      <c r="B247" s="17"/>
      <c r="F247" s="16"/>
      <c r="G247" s="17"/>
      <c r="I247" s="16"/>
      <c r="K247" s="16"/>
      <c r="M247" s="16"/>
      <c r="O247" s="16"/>
      <c r="Q247" s="16"/>
    </row>
    <row r="248" spans="2:17" x14ac:dyDescent="0.3">
      <c r="B248" s="17"/>
      <c r="F248" s="16"/>
      <c r="G248" s="17"/>
      <c r="I248" s="16"/>
      <c r="K248" s="16"/>
      <c r="M248" s="16"/>
      <c r="O248" s="16"/>
      <c r="Q248" s="16"/>
    </row>
    <row r="249" spans="2:17" x14ac:dyDescent="0.3">
      <c r="B249" s="17"/>
      <c r="F249" s="16"/>
      <c r="G249" s="17"/>
      <c r="I249" s="16"/>
      <c r="K249" s="16"/>
      <c r="M249" s="16"/>
      <c r="O249" s="16"/>
      <c r="Q249" s="16"/>
    </row>
    <row r="250" spans="2:17" x14ac:dyDescent="0.3">
      <c r="B250" s="17"/>
      <c r="F250" s="16"/>
      <c r="G250" s="17"/>
      <c r="I250" s="16"/>
      <c r="K250" s="16"/>
      <c r="M250" s="16"/>
      <c r="O250" s="16"/>
      <c r="Q250" s="16"/>
    </row>
    <row r="251" spans="2:17" x14ac:dyDescent="0.3">
      <c r="B251" s="17"/>
    </row>
    <row r="252" spans="2:17" x14ac:dyDescent="0.3">
      <c r="B252" s="17"/>
    </row>
    <row r="253" spans="2:17" x14ac:dyDescent="0.3">
      <c r="B253" s="17"/>
      <c r="E253" s="17"/>
    </row>
    <row r="254" spans="2:17" x14ac:dyDescent="0.3">
      <c r="E254" s="17"/>
    </row>
    <row r="255" spans="2:17" x14ac:dyDescent="0.3">
      <c r="E255" s="17"/>
    </row>
    <row r="256" spans="2:17" x14ac:dyDescent="0.3">
      <c r="E256" s="17"/>
    </row>
    <row r="257" spans="5:5" x14ac:dyDescent="0.3">
      <c r="E257" s="17"/>
    </row>
    <row r="258" spans="5:5" x14ac:dyDescent="0.3">
      <c r="E258" s="17"/>
    </row>
    <row r="259" spans="5:5" x14ac:dyDescent="0.3">
      <c r="E259" s="17"/>
    </row>
    <row r="260" spans="5:5" x14ac:dyDescent="0.3">
      <c r="E260" s="17"/>
    </row>
    <row r="261" spans="5:5" x14ac:dyDescent="0.3">
      <c r="E261" s="17"/>
    </row>
    <row r="262" spans="5:5" x14ac:dyDescent="0.3">
      <c r="E262" s="17"/>
    </row>
    <row r="263" spans="5:5" x14ac:dyDescent="0.3">
      <c r="E263" s="17"/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62"/>
  <sheetViews>
    <sheetView topLeftCell="A49" workbookViewId="0">
      <selection activeCell="Q77" sqref="Q77"/>
    </sheetView>
  </sheetViews>
  <sheetFormatPr defaultRowHeight="14.5" x14ac:dyDescent="0.3"/>
  <cols>
    <col min="2" max="2" width="9.3984375" bestFit="1" customWidth="1"/>
    <col min="5" max="5" width="1.09765625" customWidth="1"/>
    <col min="7" max="7" width="10.3984375" bestFit="1" customWidth="1"/>
    <col min="9" max="9" width="9.3984375" bestFit="1" customWidth="1"/>
    <col min="10" max="10" width="1.09765625" customWidth="1"/>
    <col min="15" max="15" width="0.796875" customWidth="1"/>
    <col min="17" max="17" width="10.3984375" bestFit="1" customWidth="1"/>
    <col min="20" max="20" width="1.19921875" customWidth="1"/>
    <col min="25" max="25" width="1" customWidth="1"/>
    <col min="30" max="30" width="1.09765625" customWidth="1"/>
    <col min="35" max="35" width="0.796875" customWidth="1"/>
    <col min="40" max="40" width="0.69921875" customWidth="1"/>
    <col min="45" max="45" width="0.8984375" customWidth="1"/>
  </cols>
  <sheetData>
    <row r="1" spans="1:49" x14ac:dyDescent="0.3">
      <c r="A1" s="26" t="s">
        <v>42</v>
      </c>
      <c r="B1" s="26"/>
      <c r="C1" s="26"/>
      <c r="D1" s="27"/>
      <c r="F1" s="26" t="s">
        <v>14</v>
      </c>
      <c r="G1" s="26"/>
      <c r="H1" s="26"/>
      <c r="I1" s="27"/>
      <c r="K1" s="26" t="s">
        <v>1</v>
      </c>
      <c r="L1" s="26"/>
      <c r="M1" s="26"/>
      <c r="N1" s="27"/>
      <c r="P1" s="26" t="s">
        <v>8</v>
      </c>
      <c r="Q1" s="26"/>
      <c r="R1" s="26"/>
      <c r="S1" s="27"/>
      <c r="U1" s="26" t="s">
        <v>9</v>
      </c>
      <c r="V1" s="26"/>
      <c r="W1" s="26"/>
      <c r="X1" s="27"/>
      <c r="Z1" s="26" t="s">
        <v>10</v>
      </c>
      <c r="AA1" s="26"/>
      <c r="AB1" s="26"/>
      <c r="AC1" s="27"/>
      <c r="AE1" s="26" t="s">
        <v>5</v>
      </c>
      <c r="AF1" s="26"/>
      <c r="AG1" s="26"/>
      <c r="AH1" s="27"/>
      <c r="AJ1" s="26" t="s">
        <v>12</v>
      </c>
      <c r="AK1" s="26"/>
      <c r="AL1" s="26"/>
      <c r="AM1" s="27"/>
      <c r="AO1" s="26" t="s">
        <v>45</v>
      </c>
      <c r="AP1" s="26"/>
      <c r="AQ1" s="26"/>
      <c r="AR1" s="27"/>
      <c r="AT1" s="26" t="s">
        <v>44</v>
      </c>
      <c r="AU1" s="26"/>
      <c r="AV1" s="26"/>
      <c r="AW1" s="27"/>
    </row>
    <row r="2" spans="1:49" x14ac:dyDescent="0.3">
      <c r="A2" s="1" t="s">
        <v>55</v>
      </c>
      <c r="B2" s="1" t="s">
        <v>56</v>
      </c>
      <c r="C2" s="1" t="s">
        <v>57</v>
      </c>
      <c r="D2" s="1" t="s">
        <v>58</v>
      </c>
      <c r="F2" s="1" t="s">
        <v>55</v>
      </c>
      <c r="G2" s="1" t="s">
        <v>56</v>
      </c>
      <c r="H2" s="1" t="s">
        <v>57</v>
      </c>
      <c r="I2" s="1" t="s">
        <v>58</v>
      </c>
      <c r="K2" s="1" t="s">
        <v>55</v>
      </c>
      <c r="L2" s="1" t="s">
        <v>56</v>
      </c>
      <c r="M2" s="1" t="s">
        <v>57</v>
      </c>
      <c r="N2" s="1" t="s">
        <v>58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55</v>
      </c>
      <c r="V2" s="1" t="s">
        <v>56</v>
      </c>
      <c r="W2" s="1" t="s">
        <v>57</v>
      </c>
      <c r="X2" s="1" t="s">
        <v>58</v>
      </c>
      <c r="Z2" s="1" t="s">
        <v>55</v>
      </c>
      <c r="AA2" s="1" t="s">
        <v>56</v>
      </c>
      <c r="AB2" s="1" t="s">
        <v>57</v>
      </c>
      <c r="AC2" s="1" t="s">
        <v>58</v>
      </c>
      <c r="AE2" s="1" t="s">
        <v>55</v>
      </c>
      <c r="AF2" s="1" t="s">
        <v>56</v>
      </c>
      <c r="AG2" s="1" t="s">
        <v>57</v>
      </c>
      <c r="AH2" s="1" t="s">
        <v>58</v>
      </c>
      <c r="AJ2" s="1" t="s">
        <v>55</v>
      </c>
      <c r="AK2" s="1" t="s">
        <v>56</v>
      </c>
      <c r="AL2" s="1" t="s">
        <v>57</v>
      </c>
      <c r="AM2" s="1" t="s">
        <v>58</v>
      </c>
      <c r="AO2" s="1" t="s">
        <v>55</v>
      </c>
      <c r="AP2" s="1" t="s">
        <v>56</v>
      </c>
      <c r="AQ2" s="1" t="s">
        <v>57</v>
      </c>
      <c r="AR2" s="1" t="s">
        <v>58</v>
      </c>
      <c r="AT2" s="1" t="s">
        <v>55</v>
      </c>
      <c r="AU2" s="1" t="s">
        <v>56</v>
      </c>
      <c r="AV2" s="1" t="s">
        <v>57</v>
      </c>
      <c r="AW2" s="1" t="s">
        <v>58</v>
      </c>
    </row>
    <row r="3" spans="1:49" x14ac:dyDescent="0.3">
      <c r="A3" s="1">
        <v>1.39E-11</v>
      </c>
      <c r="B3" s="16">
        <v>0</v>
      </c>
      <c r="C3" s="16">
        <v>0</v>
      </c>
      <c r="D3">
        <f>B3*C3</f>
        <v>0</v>
      </c>
      <c r="F3" s="1">
        <v>1.39E-11</v>
      </c>
      <c r="G3" s="3">
        <v>0</v>
      </c>
      <c r="H3" s="16">
        <v>0</v>
      </c>
      <c r="I3" s="16">
        <f>G3*H3</f>
        <v>0</v>
      </c>
      <c r="K3" s="1">
        <v>1.39E-11</v>
      </c>
      <c r="L3" s="3">
        <v>0</v>
      </c>
      <c r="M3" s="16">
        <v>0</v>
      </c>
      <c r="N3">
        <f>L3*M3</f>
        <v>0</v>
      </c>
      <c r="O3" s="17"/>
      <c r="P3" s="1">
        <v>1.39E-11</v>
      </c>
      <c r="Q3" s="3">
        <v>0</v>
      </c>
      <c r="R3" s="16">
        <v>0</v>
      </c>
      <c r="S3">
        <f>Q3*R3</f>
        <v>0</v>
      </c>
      <c r="U3" s="1">
        <v>1.39E-11</v>
      </c>
      <c r="V3" s="3">
        <v>0</v>
      </c>
      <c r="W3" s="16">
        <v>0</v>
      </c>
      <c r="X3">
        <f>V3*W3</f>
        <v>0</v>
      </c>
      <c r="Z3" s="1">
        <v>1.39E-11</v>
      </c>
      <c r="AA3" s="3">
        <v>0</v>
      </c>
      <c r="AB3" s="16">
        <v>0</v>
      </c>
      <c r="AC3">
        <f>AA3*AB3</f>
        <v>0</v>
      </c>
      <c r="AE3" s="1">
        <v>1.39E-11</v>
      </c>
      <c r="AF3" s="3">
        <v>0</v>
      </c>
      <c r="AG3" s="16">
        <v>0</v>
      </c>
      <c r="AH3">
        <f>AF3*AG3</f>
        <v>0</v>
      </c>
      <c r="AJ3" s="1">
        <v>1.39E-11</v>
      </c>
      <c r="AK3" s="3">
        <v>0</v>
      </c>
      <c r="AL3" s="16">
        <v>0</v>
      </c>
      <c r="AM3">
        <f>AK3*AL3</f>
        <v>0</v>
      </c>
      <c r="AO3" s="1">
        <v>1.39E-11</v>
      </c>
      <c r="AP3" s="3">
        <v>0</v>
      </c>
      <c r="AQ3" s="16">
        <v>0</v>
      </c>
      <c r="AR3">
        <f>AP3*AQ3</f>
        <v>0</v>
      </c>
      <c r="AT3" s="1">
        <v>1.39E-11</v>
      </c>
      <c r="AU3" s="3">
        <v>0</v>
      </c>
      <c r="AV3" s="16">
        <v>0</v>
      </c>
      <c r="AW3">
        <f>AU3*AV3</f>
        <v>0</v>
      </c>
    </row>
    <row r="4" spans="1:49" x14ac:dyDescent="0.3">
      <c r="A4" s="1">
        <v>3.7800000000000001E-11</v>
      </c>
      <c r="B4" s="16">
        <v>0</v>
      </c>
      <c r="C4" s="16">
        <v>0.58526817936473197</v>
      </c>
      <c r="D4">
        <f t="shared" ref="D4:D62" si="0">B4*C4</f>
        <v>0</v>
      </c>
      <c r="F4" s="1">
        <v>3.7800000000000001E-11</v>
      </c>
      <c r="G4" s="3">
        <v>0</v>
      </c>
      <c r="H4" s="16">
        <v>0</v>
      </c>
      <c r="I4" s="16">
        <f t="shared" ref="I4:I62" si="1">G4*H4</f>
        <v>0</v>
      </c>
      <c r="K4" s="1">
        <v>3.7800000000000001E-11</v>
      </c>
      <c r="L4" s="3">
        <v>0</v>
      </c>
      <c r="M4" s="16">
        <v>0</v>
      </c>
      <c r="N4">
        <f t="shared" ref="N4:N62" si="2">L4*M4</f>
        <v>0</v>
      </c>
      <c r="O4" s="17"/>
      <c r="P4" s="1">
        <v>3.7800000000000001E-11</v>
      </c>
      <c r="Q4" s="3">
        <v>0</v>
      </c>
      <c r="R4" s="16">
        <v>0</v>
      </c>
      <c r="S4">
        <f t="shared" ref="S4:S62" si="3">Q4*R4</f>
        <v>0</v>
      </c>
      <c r="U4" s="1">
        <v>3.7800000000000001E-11</v>
      </c>
      <c r="V4" s="3">
        <v>0</v>
      </c>
      <c r="W4" s="16">
        <v>0</v>
      </c>
      <c r="X4">
        <f t="shared" ref="X4:X62" si="4">V4*W4</f>
        <v>0</v>
      </c>
      <c r="Z4" s="1">
        <v>3.7800000000000001E-11</v>
      </c>
      <c r="AA4" s="3">
        <v>0</v>
      </c>
      <c r="AB4" s="16">
        <v>0</v>
      </c>
      <c r="AC4">
        <f t="shared" ref="AC4:AC62" si="5">AA4*AB4</f>
        <v>0</v>
      </c>
      <c r="AE4" s="1">
        <v>3.7800000000000001E-11</v>
      </c>
      <c r="AF4" s="3">
        <v>0</v>
      </c>
      <c r="AG4" s="16">
        <v>0</v>
      </c>
      <c r="AH4">
        <f t="shared" ref="AH4:AH62" si="6">AF4*AG4</f>
        <v>0</v>
      </c>
      <c r="AJ4" s="1">
        <v>3.7800000000000001E-11</v>
      </c>
      <c r="AK4" s="3">
        <v>0</v>
      </c>
      <c r="AL4" s="16">
        <v>8.6655103819273105E-2</v>
      </c>
      <c r="AM4">
        <f t="shared" ref="AM4:AM62" si="7">AK4*AL4</f>
        <v>0</v>
      </c>
      <c r="AO4" s="1">
        <v>3.7800000000000001E-11</v>
      </c>
      <c r="AP4" s="3">
        <v>0</v>
      </c>
      <c r="AQ4" s="16">
        <v>1.1435215523944301E-3</v>
      </c>
      <c r="AR4">
        <f t="shared" ref="AR4:AR62" si="8">AP4*AQ4</f>
        <v>0</v>
      </c>
      <c r="AT4" s="1">
        <v>3.7800000000000001E-11</v>
      </c>
      <c r="AU4" s="3">
        <v>0</v>
      </c>
      <c r="AV4" s="16">
        <v>0</v>
      </c>
      <c r="AW4">
        <f t="shared" ref="AW4:AW62" si="9">AU4*AV4</f>
        <v>0</v>
      </c>
    </row>
    <row r="5" spans="1:49" x14ac:dyDescent="0.3">
      <c r="A5" s="1">
        <v>1.0300000000000001E-10</v>
      </c>
      <c r="B5" s="16">
        <v>0</v>
      </c>
      <c r="C5" s="16">
        <v>0.35843542413020901</v>
      </c>
      <c r="D5">
        <f t="shared" si="0"/>
        <v>0</v>
      </c>
      <c r="F5" s="1">
        <v>1.0300000000000001E-10</v>
      </c>
      <c r="G5" s="3">
        <v>0</v>
      </c>
      <c r="H5" s="16">
        <v>0</v>
      </c>
      <c r="I5" s="16">
        <f t="shared" si="1"/>
        <v>0</v>
      </c>
      <c r="K5" s="1">
        <v>1.0300000000000001E-10</v>
      </c>
      <c r="L5" s="3">
        <v>0</v>
      </c>
      <c r="M5" s="16">
        <v>0</v>
      </c>
      <c r="N5">
        <f t="shared" si="2"/>
        <v>0</v>
      </c>
      <c r="O5" s="17"/>
      <c r="P5" s="1">
        <v>1.0300000000000001E-10</v>
      </c>
      <c r="Q5" s="3">
        <v>0</v>
      </c>
      <c r="R5" s="16">
        <v>0</v>
      </c>
      <c r="S5">
        <f t="shared" si="3"/>
        <v>0</v>
      </c>
      <c r="U5" s="1">
        <v>1.0300000000000001E-10</v>
      </c>
      <c r="V5" s="3">
        <v>0</v>
      </c>
      <c r="W5" s="16">
        <v>0</v>
      </c>
      <c r="X5">
        <f t="shared" si="4"/>
        <v>0</v>
      </c>
      <c r="Z5" s="1">
        <v>1.0300000000000001E-10</v>
      </c>
      <c r="AA5" s="3">
        <v>0</v>
      </c>
      <c r="AB5" s="16">
        <v>0</v>
      </c>
      <c r="AC5">
        <f t="shared" si="5"/>
        <v>0</v>
      </c>
      <c r="AE5" s="1">
        <v>1.0300000000000001E-10</v>
      </c>
      <c r="AF5" s="3">
        <v>0</v>
      </c>
      <c r="AG5" s="16">
        <v>0</v>
      </c>
      <c r="AH5">
        <f t="shared" si="6"/>
        <v>0</v>
      </c>
      <c r="AJ5" s="1">
        <v>1.0300000000000001E-10</v>
      </c>
      <c r="AK5" s="3">
        <v>0</v>
      </c>
      <c r="AL5" s="16">
        <v>5.3069281904089299E-2</v>
      </c>
      <c r="AM5">
        <f t="shared" si="7"/>
        <v>0</v>
      </c>
      <c r="AO5" s="1">
        <v>1.0300000000000001E-10</v>
      </c>
      <c r="AP5" s="3">
        <v>0</v>
      </c>
      <c r="AQ5" s="16">
        <v>7.0031598035335001E-4</v>
      </c>
      <c r="AR5">
        <f t="shared" si="8"/>
        <v>0</v>
      </c>
      <c r="AT5" s="1">
        <v>1.0300000000000001E-10</v>
      </c>
      <c r="AU5" s="3">
        <v>0</v>
      </c>
      <c r="AV5" s="16">
        <v>0</v>
      </c>
      <c r="AW5">
        <f t="shared" si="9"/>
        <v>0</v>
      </c>
    </row>
    <row r="6" spans="1:49" x14ac:dyDescent="0.3">
      <c r="A6" s="1">
        <v>2.7900000000000002E-10</v>
      </c>
      <c r="B6" s="16">
        <v>0</v>
      </c>
      <c r="C6" s="16">
        <v>0.219521517702085</v>
      </c>
      <c r="D6">
        <f t="shared" si="0"/>
        <v>0</v>
      </c>
      <c r="F6" s="1">
        <v>2.7900000000000002E-10</v>
      </c>
      <c r="G6" s="3">
        <v>0</v>
      </c>
      <c r="H6" s="16">
        <v>0</v>
      </c>
      <c r="I6" s="16">
        <f t="shared" si="1"/>
        <v>0</v>
      </c>
      <c r="K6" s="1">
        <v>2.7900000000000002E-10</v>
      </c>
      <c r="L6" s="3">
        <v>0</v>
      </c>
      <c r="M6" s="16">
        <v>0</v>
      </c>
      <c r="N6">
        <f t="shared" si="2"/>
        <v>0</v>
      </c>
      <c r="O6" s="17"/>
      <c r="P6" s="1">
        <v>2.7900000000000002E-10</v>
      </c>
      <c r="Q6" s="3">
        <v>0</v>
      </c>
      <c r="R6" s="16">
        <v>0</v>
      </c>
      <c r="S6">
        <f t="shared" si="3"/>
        <v>0</v>
      </c>
      <c r="U6" s="1">
        <v>2.7900000000000002E-10</v>
      </c>
      <c r="V6" s="3">
        <v>0</v>
      </c>
      <c r="W6" s="16">
        <v>0</v>
      </c>
      <c r="X6">
        <f t="shared" si="4"/>
        <v>0</v>
      </c>
      <c r="Z6" s="1">
        <v>2.7900000000000002E-10</v>
      </c>
      <c r="AA6" s="3">
        <v>0</v>
      </c>
      <c r="AB6" s="16">
        <v>0</v>
      </c>
      <c r="AC6">
        <f t="shared" si="5"/>
        <v>0</v>
      </c>
      <c r="AE6" s="1">
        <v>2.7900000000000002E-10</v>
      </c>
      <c r="AF6" s="3">
        <v>0</v>
      </c>
      <c r="AG6" s="16">
        <v>0</v>
      </c>
      <c r="AH6">
        <f t="shared" si="6"/>
        <v>0</v>
      </c>
      <c r="AJ6" s="1">
        <v>2.7900000000000002E-10</v>
      </c>
      <c r="AK6" s="3">
        <v>0</v>
      </c>
      <c r="AL6" s="16">
        <v>3.2500677628764199E-2</v>
      </c>
      <c r="AM6">
        <f t="shared" si="7"/>
        <v>0</v>
      </c>
      <c r="AO6" s="1">
        <v>2.7900000000000002E-10</v>
      </c>
      <c r="AP6" s="3">
        <v>0</v>
      </c>
      <c r="AQ6" s="16">
        <v>4.2888840336250501E-4</v>
      </c>
      <c r="AR6">
        <f t="shared" si="8"/>
        <v>0</v>
      </c>
      <c r="AT6" s="1">
        <v>2.7900000000000002E-10</v>
      </c>
      <c r="AU6" s="3">
        <v>0</v>
      </c>
      <c r="AV6" s="16">
        <v>0</v>
      </c>
      <c r="AW6">
        <f t="shared" si="9"/>
        <v>0</v>
      </c>
    </row>
    <row r="7" spans="1:49" x14ac:dyDescent="0.3">
      <c r="A7" s="1">
        <v>7.5799999999999997E-10</v>
      </c>
      <c r="B7" s="16">
        <v>0</v>
      </c>
      <c r="C7" s="16">
        <v>0.13147263220915001</v>
      </c>
      <c r="D7">
        <f t="shared" si="0"/>
        <v>0</v>
      </c>
      <c r="F7" s="1">
        <v>7.5799999999999997E-10</v>
      </c>
      <c r="G7" s="3">
        <v>0</v>
      </c>
      <c r="H7" s="16">
        <v>0</v>
      </c>
      <c r="I7" s="16">
        <f t="shared" si="1"/>
        <v>0</v>
      </c>
      <c r="K7" s="1">
        <v>7.5799999999999997E-10</v>
      </c>
      <c r="L7" s="3">
        <v>0</v>
      </c>
      <c r="M7" s="16">
        <v>0</v>
      </c>
      <c r="N7">
        <f t="shared" si="2"/>
        <v>0</v>
      </c>
      <c r="O7" s="17"/>
      <c r="P7" s="1">
        <v>7.5799999999999997E-10</v>
      </c>
      <c r="Q7" s="3">
        <v>0</v>
      </c>
      <c r="R7" s="16">
        <v>0</v>
      </c>
      <c r="S7">
        <f t="shared" si="3"/>
        <v>0</v>
      </c>
      <c r="U7" s="1">
        <v>7.5799999999999997E-10</v>
      </c>
      <c r="V7" s="3">
        <v>0</v>
      </c>
      <c r="W7" s="16">
        <v>0</v>
      </c>
      <c r="X7">
        <f t="shared" si="4"/>
        <v>0</v>
      </c>
      <c r="Z7" s="1">
        <v>7.5799999999999997E-10</v>
      </c>
      <c r="AA7" s="3">
        <v>0</v>
      </c>
      <c r="AB7" s="16">
        <v>0</v>
      </c>
      <c r="AC7">
        <f t="shared" si="5"/>
        <v>0</v>
      </c>
      <c r="AE7" s="1">
        <v>7.5799999999999997E-10</v>
      </c>
      <c r="AF7" s="3">
        <v>0</v>
      </c>
      <c r="AG7" s="16">
        <v>0</v>
      </c>
      <c r="AH7">
        <f t="shared" si="6"/>
        <v>0</v>
      </c>
      <c r="AJ7" s="1">
        <v>7.5799999999999997E-10</v>
      </c>
      <c r="AK7" s="3">
        <v>0</v>
      </c>
      <c r="AL7" s="16">
        <v>1.9462650452741901E-2</v>
      </c>
      <c r="AM7">
        <f t="shared" si="7"/>
        <v>0</v>
      </c>
      <c r="AO7" s="1">
        <v>7.5799999999999997E-10</v>
      </c>
      <c r="AP7" s="3">
        <v>0</v>
      </c>
      <c r="AQ7" s="16">
        <v>2.5683705155672801E-4</v>
      </c>
      <c r="AR7">
        <f t="shared" si="8"/>
        <v>0</v>
      </c>
      <c r="AT7" s="1">
        <v>7.5799999999999997E-10</v>
      </c>
      <c r="AU7" s="3">
        <v>0</v>
      </c>
      <c r="AV7" s="16">
        <v>0</v>
      </c>
      <c r="AW7">
        <f t="shared" si="9"/>
        <v>0</v>
      </c>
    </row>
    <row r="8" spans="1:49" x14ac:dyDescent="0.3">
      <c r="A8" s="1">
        <v>2.0599999999999999E-9</v>
      </c>
      <c r="B8" s="16">
        <v>22479.421252663</v>
      </c>
      <c r="C8" s="16">
        <v>7.8425803381526396E-2</v>
      </c>
      <c r="D8">
        <f t="shared" si="0"/>
        <v>1762.9666712918543</v>
      </c>
      <c r="F8" s="1">
        <v>2.0599999999999999E-9</v>
      </c>
      <c r="G8" s="3">
        <v>22479.421252663</v>
      </c>
      <c r="H8" s="16">
        <v>0</v>
      </c>
      <c r="I8" s="16">
        <f t="shared" si="1"/>
        <v>0</v>
      </c>
      <c r="K8" s="1">
        <v>2.0599999999999999E-9</v>
      </c>
      <c r="L8" s="3">
        <v>22479.421252663</v>
      </c>
      <c r="M8" s="16">
        <v>0</v>
      </c>
      <c r="N8">
        <f t="shared" si="2"/>
        <v>0</v>
      </c>
      <c r="O8" s="17"/>
      <c r="P8" s="1">
        <v>2.0599999999999999E-9</v>
      </c>
      <c r="Q8" s="3">
        <v>22479.421252663</v>
      </c>
      <c r="R8" s="16">
        <v>0</v>
      </c>
      <c r="S8">
        <f t="shared" si="3"/>
        <v>0</v>
      </c>
      <c r="U8" s="1">
        <v>2.0599999999999999E-9</v>
      </c>
      <c r="V8" s="3">
        <v>22479.421252663</v>
      </c>
      <c r="W8" s="16">
        <v>0</v>
      </c>
      <c r="X8">
        <f t="shared" si="4"/>
        <v>0</v>
      </c>
      <c r="Z8" s="1">
        <v>2.0599999999999999E-9</v>
      </c>
      <c r="AA8" s="3">
        <v>22479.421252663</v>
      </c>
      <c r="AB8" s="16">
        <v>0</v>
      </c>
      <c r="AC8">
        <f t="shared" si="5"/>
        <v>0</v>
      </c>
      <c r="AE8" s="1">
        <v>2.0599999999999999E-9</v>
      </c>
      <c r="AF8" s="3">
        <v>22479.421252663</v>
      </c>
      <c r="AG8" s="16">
        <v>0</v>
      </c>
      <c r="AH8">
        <f t="shared" si="6"/>
        <v>0</v>
      </c>
      <c r="AJ8" s="1">
        <v>2.0599999999999999E-9</v>
      </c>
      <c r="AK8" s="3">
        <v>22479.421252663</v>
      </c>
      <c r="AL8" s="16">
        <v>1.16061634746482E-2</v>
      </c>
      <c r="AM8">
        <f t="shared" si="7"/>
        <v>260.8998378738878</v>
      </c>
      <c r="AO8" s="1">
        <v>2.0599999999999999E-9</v>
      </c>
      <c r="AP8" s="3">
        <v>22479.421252663</v>
      </c>
      <c r="AQ8" s="16">
        <v>1.5316318531427101E-4</v>
      </c>
      <c r="AR8">
        <f t="shared" si="8"/>
        <v>3.4430197630791852</v>
      </c>
      <c r="AT8" s="1">
        <v>2.0599999999999999E-9</v>
      </c>
      <c r="AU8" s="3">
        <v>22479.421252663</v>
      </c>
      <c r="AV8" s="16">
        <v>0</v>
      </c>
      <c r="AW8">
        <f t="shared" si="9"/>
        <v>0</v>
      </c>
    </row>
    <row r="9" spans="1:49" x14ac:dyDescent="0.3">
      <c r="A9" s="1">
        <v>5.5999999999999997E-9</v>
      </c>
      <c r="B9" s="16">
        <v>13766.1512588122</v>
      </c>
      <c r="C9" s="16">
        <v>4.8068048988710199E-2</v>
      </c>
      <c r="D9">
        <f t="shared" si="0"/>
        <v>661.7120330945794</v>
      </c>
      <c r="F9" s="1">
        <v>5.5999999999999997E-9</v>
      </c>
      <c r="G9" s="3">
        <v>13766.1512588122</v>
      </c>
      <c r="H9" s="16">
        <v>0</v>
      </c>
      <c r="I9" s="16">
        <f t="shared" si="1"/>
        <v>0</v>
      </c>
      <c r="K9" s="1">
        <v>5.5999999999999997E-9</v>
      </c>
      <c r="L9" s="3">
        <v>13766.1512588122</v>
      </c>
      <c r="M9" s="16">
        <v>0</v>
      </c>
      <c r="N9">
        <f t="shared" si="2"/>
        <v>0</v>
      </c>
      <c r="O9" s="17"/>
      <c r="P9" s="1">
        <v>5.5999999999999997E-9</v>
      </c>
      <c r="Q9" s="3">
        <v>13766.1512588122</v>
      </c>
      <c r="R9" s="16">
        <v>0</v>
      </c>
      <c r="S9">
        <f t="shared" si="3"/>
        <v>0</v>
      </c>
      <c r="U9" s="1">
        <v>5.5999999999999997E-9</v>
      </c>
      <c r="V9" s="3">
        <v>13766.1512588122</v>
      </c>
      <c r="W9" s="16">
        <v>0</v>
      </c>
      <c r="X9">
        <f t="shared" si="4"/>
        <v>0</v>
      </c>
      <c r="Z9" s="1">
        <v>5.5999999999999997E-9</v>
      </c>
      <c r="AA9" s="3">
        <v>13766.1512588122</v>
      </c>
      <c r="AB9" s="16">
        <v>0</v>
      </c>
      <c r="AC9">
        <f t="shared" si="5"/>
        <v>0</v>
      </c>
      <c r="AE9" s="1">
        <v>5.5999999999999997E-9</v>
      </c>
      <c r="AF9" s="3">
        <v>13766.1512588122</v>
      </c>
      <c r="AG9" s="16">
        <v>0</v>
      </c>
      <c r="AH9">
        <f t="shared" si="6"/>
        <v>0</v>
      </c>
      <c r="AJ9" s="1">
        <v>5.5999999999999997E-9</v>
      </c>
      <c r="AK9" s="3">
        <v>13766.1512588122</v>
      </c>
      <c r="AL9" s="16">
        <v>7.1076524375727999E-3</v>
      </c>
      <c r="AM9">
        <f t="shared" si="7"/>
        <v>97.845018550692402</v>
      </c>
      <c r="AO9" s="1">
        <v>5.5999999999999997E-9</v>
      </c>
      <c r="AP9" s="3">
        <v>13766.1512588122</v>
      </c>
      <c r="AQ9" s="17">
        <v>9.3802658053527895E-5</v>
      </c>
      <c r="AR9">
        <f t="shared" si="8"/>
        <v>1.2913015792435034</v>
      </c>
      <c r="AT9" s="1">
        <v>5.5999999999999997E-9</v>
      </c>
      <c r="AU9" s="3">
        <v>13766.1512588122</v>
      </c>
      <c r="AV9" s="16">
        <v>0</v>
      </c>
      <c r="AW9">
        <f t="shared" si="9"/>
        <v>0</v>
      </c>
    </row>
    <row r="10" spans="1:49" x14ac:dyDescent="0.3">
      <c r="A10" s="1">
        <v>1.52E-8</v>
      </c>
      <c r="B10" s="16">
        <v>8429.9301854262303</v>
      </c>
      <c r="C10" s="16">
        <v>2.9502587244940499E-2</v>
      </c>
      <c r="D10">
        <f t="shared" si="0"/>
        <v>248.7047507642948</v>
      </c>
      <c r="F10" s="1">
        <v>1.52E-8</v>
      </c>
      <c r="G10" s="3">
        <v>8429.9301854262303</v>
      </c>
      <c r="H10" s="16">
        <v>0</v>
      </c>
      <c r="I10" s="16">
        <f t="shared" si="1"/>
        <v>0</v>
      </c>
      <c r="K10" s="1">
        <v>1.52E-8</v>
      </c>
      <c r="L10" s="3">
        <v>8429.9301854262303</v>
      </c>
      <c r="M10" s="16">
        <v>0</v>
      </c>
      <c r="N10">
        <f t="shared" si="2"/>
        <v>0</v>
      </c>
      <c r="O10" s="17"/>
      <c r="P10" s="1">
        <v>1.52E-8</v>
      </c>
      <c r="Q10" s="3">
        <v>8429.9301854262303</v>
      </c>
      <c r="R10" s="16">
        <v>0</v>
      </c>
      <c r="S10">
        <f t="shared" si="3"/>
        <v>0</v>
      </c>
      <c r="U10" s="1">
        <v>1.52E-8</v>
      </c>
      <c r="V10" s="3">
        <v>8429.9301854262303</v>
      </c>
      <c r="W10" s="16">
        <v>0</v>
      </c>
      <c r="X10">
        <f t="shared" si="4"/>
        <v>0</v>
      </c>
      <c r="Z10" s="1">
        <v>1.52E-8</v>
      </c>
      <c r="AA10" s="3">
        <v>8429.9301854262303</v>
      </c>
      <c r="AB10" s="16">
        <v>0</v>
      </c>
      <c r="AC10">
        <f t="shared" si="5"/>
        <v>0</v>
      </c>
      <c r="AE10" s="1">
        <v>1.52E-8</v>
      </c>
      <c r="AF10" s="3">
        <v>8429.9301854262303</v>
      </c>
      <c r="AG10" s="16">
        <v>0</v>
      </c>
      <c r="AH10">
        <f t="shared" si="6"/>
        <v>0</v>
      </c>
      <c r="AJ10" s="1">
        <v>1.52E-8</v>
      </c>
      <c r="AK10" s="3">
        <v>8429.9301854262303</v>
      </c>
      <c r="AL10" s="16">
        <v>4.3527575366877902E-3</v>
      </c>
      <c r="AM10">
        <f t="shared" si="7"/>
        <v>36.693442148365925</v>
      </c>
      <c r="AO10" s="1">
        <v>1.52E-8</v>
      </c>
      <c r="AP10" s="3">
        <v>8429.9301854262303</v>
      </c>
      <c r="AQ10" s="17">
        <v>5.7450799488148299E-5</v>
      </c>
      <c r="AR10">
        <f t="shared" si="8"/>
        <v>0.48430622878201118</v>
      </c>
      <c r="AT10" s="1">
        <v>1.52E-8</v>
      </c>
      <c r="AU10" s="3">
        <v>8429.9301854262303</v>
      </c>
      <c r="AV10" s="16">
        <v>0</v>
      </c>
      <c r="AW10">
        <f t="shared" si="9"/>
        <v>0</v>
      </c>
    </row>
    <row r="11" spans="1:49" x14ac:dyDescent="0.3">
      <c r="A11" s="1">
        <v>4.14E-8</v>
      </c>
      <c r="B11" s="16">
        <v>21040.3726675496</v>
      </c>
      <c r="C11" s="16">
        <v>1.7801228584976E-2</v>
      </c>
      <c r="D11">
        <f t="shared" si="0"/>
        <v>374.54448336813169</v>
      </c>
      <c r="F11" s="1">
        <v>4.14E-8</v>
      </c>
      <c r="G11" s="3">
        <v>21040.3726675496</v>
      </c>
      <c r="H11" s="16">
        <v>0</v>
      </c>
      <c r="I11" s="16">
        <f t="shared" si="1"/>
        <v>0</v>
      </c>
      <c r="K11" s="1">
        <v>4.14E-8</v>
      </c>
      <c r="L11" s="3">
        <v>21040.3726675496</v>
      </c>
      <c r="M11" s="16">
        <v>0</v>
      </c>
      <c r="N11">
        <f t="shared" si="2"/>
        <v>0</v>
      </c>
      <c r="O11" s="17"/>
      <c r="P11" s="1">
        <v>4.14E-8</v>
      </c>
      <c r="Q11" s="3">
        <v>21040.3726675496</v>
      </c>
      <c r="R11" s="16">
        <v>0</v>
      </c>
      <c r="S11">
        <f t="shared" si="3"/>
        <v>0</v>
      </c>
      <c r="U11" s="1">
        <v>4.14E-8</v>
      </c>
      <c r="V11" s="3">
        <v>21040.3726675496</v>
      </c>
      <c r="W11" s="16">
        <v>0</v>
      </c>
      <c r="X11">
        <f t="shared" si="4"/>
        <v>0</v>
      </c>
      <c r="Z11" s="1">
        <v>4.14E-8</v>
      </c>
      <c r="AA11" s="3">
        <v>21040.3726675496</v>
      </c>
      <c r="AB11" s="16">
        <v>0</v>
      </c>
      <c r="AC11">
        <f t="shared" si="5"/>
        <v>0</v>
      </c>
      <c r="AE11" s="1">
        <v>4.14E-8</v>
      </c>
      <c r="AF11" s="3">
        <v>21040.3726675496</v>
      </c>
      <c r="AG11" s="16">
        <v>0</v>
      </c>
      <c r="AH11">
        <f t="shared" si="6"/>
        <v>0</v>
      </c>
      <c r="AJ11" s="1">
        <v>4.14E-8</v>
      </c>
      <c r="AK11" s="3">
        <v>21040.3726675496</v>
      </c>
      <c r="AL11" s="16">
        <v>2.6107509620851501E-3</v>
      </c>
      <c r="AM11">
        <f t="shared" si="7"/>
        <v>54.931173184435217</v>
      </c>
      <c r="AO11" s="1">
        <v>4.14E-8</v>
      </c>
      <c r="AP11" s="3">
        <v>21040.3726675496</v>
      </c>
      <c r="AQ11" s="17">
        <v>3.4467620419099498E-5</v>
      </c>
      <c r="AR11">
        <f t="shared" si="8"/>
        <v>0.72521157858149554</v>
      </c>
      <c r="AT11" s="1">
        <v>4.14E-8</v>
      </c>
      <c r="AU11" s="3">
        <v>21040.3726675496</v>
      </c>
      <c r="AV11" s="16">
        <v>0</v>
      </c>
      <c r="AW11">
        <f t="shared" si="9"/>
        <v>0</v>
      </c>
    </row>
    <row r="12" spans="1:49" x14ac:dyDescent="0.3">
      <c r="A12" s="1">
        <v>1.1300000000000001E-7</v>
      </c>
      <c r="B12" s="16">
        <v>40790.414258478202</v>
      </c>
      <c r="C12" s="16">
        <v>1.1029390890467301E-2</v>
      </c>
      <c r="D12">
        <f t="shared" si="0"/>
        <v>449.89342344084696</v>
      </c>
      <c r="F12" s="1">
        <v>1.1300000000000001E-7</v>
      </c>
      <c r="G12" s="3">
        <v>40790.414258478202</v>
      </c>
      <c r="H12" s="16">
        <v>0</v>
      </c>
      <c r="I12" s="16">
        <f t="shared" si="1"/>
        <v>0</v>
      </c>
      <c r="K12" s="1">
        <v>1.1300000000000001E-7</v>
      </c>
      <c r="L12" s="3">
        <v>40790.414258478202</v>
      </c>
      <c r="M12" s="16">
        <v>0</v>
      </c>
      <c r="N12">
        <f t="shared" si="2"/>
        <v>0</v>
      </c>
      <c r="O12" s="17"/>
      <c r="P12" s="1">
        <v>1.1300000000000001E-7</v>
      </c>
      <c r="Q12" s="3">
        <v>40790.414258478202</v>
      </c>
      <c r="R12" s="16">
        <v>0</v>
      </c>
      <c r="S12">
        <f t="shared" si="3"/>
        <v>0</v>
      </c>
      <c r="U12" s="1">
        <v>1.1300000000000001E-7</v>
      </c>
      <c r="V12" s="3">
        <v>40790.414258478202</v>
      </c>
      <c r="W12" s="16">
        <v>0</v>
      </c>
      <c r="X12">
        <f t="shared" si="4"/>
        <v>0</v>
      </c>
      <c r="Z12" s="1">
        <v>1.1300000000000001E-7</v>
      </c>
      <c r="AA12" s="3">
        <v>40790.414258478202</v>
      </c>
      <c r="AB12" s="16">
        <v>0</v>
      </c>
      <c r="AC12">
        <f t="shared" si="5"/>
        <v>0</v>
      </c>
      <c r="AE12" s="1">
        <v>1.1300000000000001E-7</v>
      </c>
      <c r="AF12" s="3">
        <v>40790.414258478202</v>
      </c>
      <c r="AG12" s="16">
        <v>0</v>
      </c>
      <c r="AH12">
        <f t="shared" si="6"/>
        <v>0</v>
      </c>
      <c r="AJ12" s="1">
        <v>1.1300000000000001E-7</v>
      </c>
      <c r="AK12" s="3">
        <v>40790.414258478202</v>
      </c>
      <c r="AL12" s="16">
        <v>1.56237223162731E-3</v>
      </c>
      <c r="AM12">
        <f t="shared" si="7"/>
        <v>63.729810554021036</v>
      </c>
      <c r="AO12" s="1">
        <v>1.1300000000000001E-7</v>
      </c>
      <c r="AP12" s="3">
        <v>40790.414258478202</v>
      </c>
      <c r="AQ12" s="17">
        <v>2.06305977575645E-5</v>
      </c>
      <c r="AR12">
        <f t="shared" si="8"/>
        <v>0.84153062893108743</v>
      </c>
      <c r="AT12" s="1">
        <v>1.1300000000000001E-7</v>
      </c>
      <c r="AU12" s="3">
        <v>40790.414258478202</v>
      </c>
      <c r="AV12" s="16">
        <v>0</v>
      </c>
      <c r="AW12">
        <f t="shared" si="9"/>
        <v>0</v>
      </c>
    </row>
    <row r="13" spans="1:49" x14ac:dyDescent="0.3">
      <c r="A13" s="1">
        <v>3.0600000000000001E-7</v>
      </c>
      <c r="B13" s="16">
        <v>59665.043490228702</v>
      </c>
      <c r="C13" s="16">
        <v>7.0425018730019603E-3</v>
      </c>
      <c r="D13">
        <f t="shared" si="0"/>
        <v>420.19118053267903</v>
      </c>
      <c r="F13" s="1">
        <v>3.0600000000000001E-7</v>
      </c>
      <c r="G13" s="3">
        <v>59665.043490228702</v>
      </c>
      <c r="H13" s="16">
        <v>0</v>
      </c>
      <c r="I13" s="16">
        <f t="shared" si="1"/>
        <v>0</v>
      </c>
      <c r="K13" s="1">
        <v>3.0600000000000001E-7</v>
      </c>
      <c r="L13" s="3">
        <v>59665.043490228702</v>
      </c>
      <c r="M13" s="16">
        <v>0</v>
      </c>
      <c r="N13">
        <f t="shared" si="2"/>
        <v>0</v>
      </c>
      <c r="O13" s="17"/>
      <c r="P13" s="1">
        <v>3.0600000000000001E-7</v>
      </c>
      <c r="Q13" s="3">
        <v>59665.043490228702</v>
      </c>
      <c r="R13" s="16">
        <v>0</v>
      </c>
      <c r="S13">
        <f t="shared" si="3"/>
        <v>0</v>
      </c>
      <c r="U13" s="1">
        <v>3.0600000000000001E-7</v>
      </c>
      <c r="V13" s="3">
        <v>59665.043490228702</v>
      </c>
      <c r="W13" s="16">
        <v>0</v>
      </c>
      <c r="X13">
        <f t="shared" si="4"/>
        <v>0</v>
      </c>
      <c r="Z13" s="1">
        <v>3.0600000000000001E-7</v>
      </c>
      <c r="AA13" s="3">
        <v>59665.043490228702</v>
      </c>
      <c r="AB13" s="16">
        <v>0</v>
      </c>
      <c r="AC13">
        <f t="shared" si="5"/>
        <v>0</v>
      </c>
      <c r="AE13" s="1">
        <v>3.0600000000000001E-7</v>
      </c>
      <c r="AF13" s="3">
        <v>59665.043490228702</v>
      </c>
      <c r="AG13" s="16">
        <v>0</v>
      </c>
      <c r="AH13">
        <f t="shared" si="6"/>
        <v>0</v>
      </c>
      <c r="AJ13" s="1">
        <v>3.0600000000000001E-7</v>
      </c>
      <c r="AK13" s="3">
        <v>59665.043490228702</v>
      </c>
      <c r="AL13" s="16">
        <v>9.5691323884530095E-4</v>
      </c>
      <c r="AM13">
        <f t="shared" si="7"/>
        <v>57.094270012080486</v>
      </c>
      <c r="AO13" s="1">
        <v>3.0600000000000001E-7</v>
      </c>
      <c r="AP13" s="3">
        <v>59665.043490228702</v>
      </c>
      <c r="AQ13" s="17">
        <v>1.26520567718397E-5</v>
      </c>
      <c r="AR13">
        <f t="shared" si="8"/>
        <v>0.7548855175326582</v>
      </c>
      <c r="AT13" s="1">
        <v>3.0600000000000001E-7</v>
      </c>
      <c r="AU13" s="3">
        <v>59665.043490228702</v>
      </c>
      <c r="AV13" s="16">
        <v>0</v>
      </c>
      <c r="AW13">
        <f t="shared" si="9"/>
        <v>0</v>
      </c>
    </row>
    <row r="14" spans="1:49" x14ac:dyDescent="0.3">
      <c r="A14" s="1">
        <v>8.3200000000000004E-7</v>
      </c>
      <c r="B14" s="16">
        <v>93549.635815454807</v>
      </c>
      <c r="C14" s="16">
        <v>4.8242872116651299E-3</v>
      </c>
      <c r="D14">
        <f t="shared" si="0"/>
        <v>451.31031172042884</v>
      </c>
      <c r="F14" s="1">
        <v>8.3200000000000004E-7</v>
      </c>
      <c r="G14" s="3">
        <v>93549.635815454807</v>
      </c>
      <c r="H14" s="16">
        <v>0</v>
      </c>
      <c r="I14" s="16">
        <f t="shared" si="1"/>
        <v>0</v>
      </c>
      <c r="K14" s="1">
        <v>8.3200000000000004E-7</v>
      </c>
      <c r="L14" s="3">
        <v>93549.635815454807</v>
      </c>
      <c r="M14" s="16">
        <v>0</v>
      </c>
      <c r="N14">
        <f t="shared" si="2"/>
        <v>0</v>
      </c>
      <c r="O14" s="17"/>
      <c r="P14" s="1">
        <v>8.3200000000000004E-7</v>
      </c>
      <c r="Q14" s="3">
        <v>93549.635815454807</v>
      </c>
      <c r="R14" s="16">
        <v>0</v>
      </c>
      <c r="S14">
        <f t="shared" si="3"/>
        <v>0</v>
      </c>
      <c r="U14" s="1">
        <v>8.3200000000000004E-7</v>
      </c>
      <c r="V14" s="3">
        <v>93549.635815454807</v>
      </c>
      <c r="W14" s="16">
        <v>0</v>
      </c>
      <c r="X14">
        <f t="shared" si="4"/>
        <v>0</v>
      </c>
      <c r="Z14" s="1">
        <v>8.3200000000000004E-7</v>
      </c>
      <c r="AA14" s="3">
        <v>93549.635815454807</v>
      </c>
      <c r="AB14" s="16">
        <v>0</v>
      </c>
      <c r="AC14">
        <f t="shared" si="5"/>
        <v>0</v>
      </c>
      <c r="AE14" s="1">
        <v>8.3200000000000004E-7</v>
      </c>
      <c r="AF14" s="3">
        <v>93549.635815454807</v>
      </c>
      <c r="AG14" s="16">
        <v>0</v>
      </c>
      <c r="AH14">
        <f t="shared" si="6"/>
        <v>0</v>
      </c>
      <c r="AJ14" s="1">
        <v>8.3200000000000004E-7</v>
      </c>
      <c r="AK14" s="3">
        <v>93549.635815454807</v>
      </c>
      <c r="AL14" s="16">
        <v>5.8577418117187303E-4</v>
      </c>
      <c r="AM14">
        <f t="shared" si="7"/>
        <v>54.798961318724963</v>
      </c>
      <c r="AO14" s="1">
        <v>8.3200000000000004E-7</v>
      </c>
      <c r="AP14" s="3">
        <v>93549.635815454807</v>
      </c>
      <c r="AQ14" s="17">
        <v>7.7770485683104895E-6</v>
      </c>
      <c r="AR14">
        <f t="shared" si="8"/>
        <v>0.72754006128455051</v>
      </c>
      <c r="AT14" s="1">
        <v>8.3200000000000004E-7</v>
      </c>
      <c r="AU14" s="3">
        <v>93549.635815454807</v>
      </c>
      <c r="AV14" s="16">
        <v>0</v>
      </c>
      <c r="AW14">
        <f t="shared" si="9"/>
        <v>0</v>
      </c>
    </row>
    <row r="15" spans="1:49" x14ac:dyDescent="0.3">
      <c r="A15" s="1">
        <v>2.26E-6</v>
      </c>
      <c r="B15" s="16">
        <v>115388.099953832</v>
      </c>
      <c r="C15" s="16">
        <v>4.7116032244973998E-3</v>
      </c>
      <c r="D15">
        <f t="shared" si="0"/>
        <v>543.6629438111031</v>
      </c>
      <c r="F15" s="1">
        <v>2.26E-6</v>
      </c>
      <c r="G15" s="3">
        <v>115388.099953832</v>
      </c>
      <c r="H15" s="16">
        <v>0</v>
      </c>
      <c r="I15" s="16">
        <f t="shared" si="1"/>
        <v>0</v>
      </c>
      <c r="K15" s="1">
        <v>2.26E-6</v>
      </c>
      <c r="L15" s="3">
        <v>115388.099953832</v>
      </c>
      <c r="M15" s="16">
        <v>0</v>
      </c>
      <c r="N15">
        <f t="shared" si="2"/>
        <v>0</v>
      </c>
      <c r="O15" s="17"/>
      <c r="P15" s="1">
        <v>2.26E-6</v>
      </c>
      <c r="Q15" s="3">
        <v>115388.099953832</v>
      </c>
      <c r="R15" s="16">
        <v>0</v>
      </c>
      <c r="S15">
        <f t="shared" si="3"/>
        <v>0</v>
      </c>
      <c r="U15" s="1">
        <v>2.26E-6</v>
      </c>
      <c r="V15" s="3">
        <v>115388.099953832</v>
      </c>
      <c r="W15" s="16">
        <v>0</v>
      </c>
      <c r="X15">
        <f t="shared" si="4"/>
        <v>0</v>
      </c>
      <c r="Z15" s="1">
        <v>2.26E-6</v>
      </c>
      <c r="AA15" s="3">
        <v>115388.099953832</v>
      </c>
      <c r="AB15" s="16">
        <v>0</v>
      </c>
      <c r="AC15">
        <f t="shared" si="5"/>
        <v>0</v>
      </c>
      <c r="AE15" s="1">
        <v>2.26E-6</v>
      </c>
      <c r="AF15" s="3">
        <v>115388.099953832</v>
      </c>
      <c r="AG15" s="16">
        <v>0</v>
      </c>
      <c r="AH15">
        <f t="shared" si="6"/>
        <v>0</v>
      </c>
      <c r="AJ15" s="1">
        <v>2.26E-6</v>
      </c>
      <c r="AK15" s="3">
        <v>115388.099953832</v>
      </c>
      <c r="AL15" s="16">
        <v>3.5745602799484101E-4</v>
      </c>
      <c r="AM15">
        <f t="shared" si="7"/>
        <v>41.246171887368483</v>
      </c>
      <c r="AO15" s="1">
        <v>2.26E-6</v>
      </c>
      <c r="AP15" s="3">
        <v>115388.099953832</v>
      </c>
      <c r="AQ15" s="17">
        <v>4.8103721966586097E-6</v>
      </c>
      <c r="AR15">
        <f t="shared" si="8"/>
        <v>0.55505970784317804</v>
      </c>
      <c r="AT15" s="1">
        <v>2.26E-6</v>
      </c>
      <c r="AU15" s="3">
        <v>115388.099953832</v>
      </c>
      <c r="AV15" s="16">
        <v>0</v>
      </c>
      <c r="AW15">
        <f t="shared" si="9"/>
        <v>0</v>
      </c>
    </row>
    <row r="16" spans="1:49" x14ac:dyDescent="0.3">
      <c r="A16" s="1">
        <v>1.6699999999999999E-5</v>
      </c>
      <c r="B16" s="16">
        <v>45497.791430239697</v>
      </c>
      <c r="C16" s="16">
        <v>0.62191083722989104</v>
      </c>
      <c r="D16">
        <f t="shared" si="0"/>
        <v>28295.569560491331</v>
      </c>
      <c r="F16" s="1">
        <v>1.6699999999999999E-5</v>
      </c>
      <c r="G16" s="3">
        <v>45497.791430239697</v>
      </c>
      <c r="H16" s="16">
        <v>0</v>
      </c>
      <c r="I16" s="16">
        <f t="shared" si="1"/>
        <v>0</v>
      </c>
      <c r="K16" s="1">
        <v>1.6699999999999999E-5</v>
      </c>
      <c r="L16" s="3">
        <v>45497.791430239697</v>
      </c>
      <c r="M16" s="16">
        <v>0</v>
      </c>
      <c r="N16">
        <f t="shared" si="2"/>
        <v>0</v>
      </c>
      <c r="O16" s="17"/>
      <c r="P16" s="1">
        <v>1.6699999999999999E-5</v>
      </c>
      <c r="Q16" s="3">
        <v>45497.791430239697</v>
      </c>
      <c r="R16" s="16">
        <v>0</v>
      </c>
      <c r="S16">
        <f t="shared" si="3"/>
        <v>0</v>
      </c>
      <c r="U16" s="1">
        <v>1.6699999999999999E-5</v>
      </c>
      <c r="V16" s="3">
        <v>45497.791430239697</v>
      </c>
      <c r="W16" s="16">
        <v>0</v>
      </c>
      <c r="X16">
        <f t="shared" si="4"/>
        <v>0</v>
      </c>
      <c r="Z16" s="1">
        <v>1.6699999999999999E-5</v>
      </c>
      <c r="AA16" s="3">
        <v>45497.791430239697</v>
      </c>
      <c r="AB16" s="16">
        <v>0</v>
      </c>
      <c r="AC16">
        <f t="shared" si="5"/>
        <v>0</v>
      </c>
      <c r="AE16" s="1">
        <v>1.6699999999999999E-5</v>
      </c>
      <c r="AF16" s="3">
        <v>45497.791430239697</v>
      </c>
      <c r="AG16" s="16">
        <v>0</v>
      </c>
      <c r="AH16">
        <f t="shared" si="6"/>
        <v>0</v>
      </c>
      <c r="AJ16" s="1">
        <v>1.6699999999999999E-5</v>
      </c>
      <c r="AK16" s="3">
        <v>45497.791430239697</v>
      </c>
      <c r="AL16" s="16">
        <v>1.7378534541163799E-4</v>
      </c>
      <c r="AM16">
        <f t="shared" si="7"/>
        <v>7.9068493991708682</v>
      </c>
      <c r="AO16" s="1">
        <v>1.6699999999999999E-5</v>
      </c>
      <c r="AP16" s="3">
        <v>45497.791430239697</v>
      </c>
      <c r="AQ16" s="17">
        <v>2.5085206087455E-6</v>
      </c>
      <c r="AR16">
        <f t="shared" si="8"/>
        <v>0.11413214745516068</v>
      </c>
      <c r="AT16" s="1">
        <v>1.6699999999999999E-5</v>
      </c>
      <c r="AU16" s="3">
        <v>45497.791430239697</v>
      </c>
      <c r="AV16" s="16">
        <v>0</v>
      </c>
      <c r="AW16">
        <f t="shared" si="9"/>
        <v>0</v>
      </c>
    </row>
    <row r="17" spans="1:49" x14ac:dyDescent="0.3">
      <c r="A17" s="1">
        <v>4.5399999999999999E-5</v>
      </c>
      <c r="B17" s="16">
        <v>42583.095491688597</v>
      </c>
      <c r="C17" s="17">
        <v>8.0030904916698396E-5</v>
      </c>
      <c r="D17">
        <f t="shared" si="0"/>
        <v>3.4079636663540183</v>
      </c>
      <c r="F17" s="1">
        <v>4.5399999999999999E-5</v>
      </c>
      <c r="G17" s="3">
        <v>42583.095491688597</v>
      </c>
      <c r="H17" s="16">
        <v>0</v>
      </c>
      <c r="I17" s="17">
        <f t="shared" si="1"/>
        <v>0</v>
      </c>
      <c r="K17" s="1">
        <v>4.5399999999999999E-5</v>
      </c>
      <c r="L17" s="3">
        <v>42583.095491688597</v>
      </c>
      <c r="M17" s="16">
        <v>0</v>
      </c>
      <c r="N17">
        <f t="shared" si="2"/>
        <v>0</v>
      </c>
      <c r="O17" s="17"/>
      <c r="P17" s="1">
        <v>4.5399999999999999E-5</v>
      </c>
      <c r="Q17" s="3">
        <v>42583.095491688597</v>
      </c>
      <c r="R17" s="16">
        <v>0</v>
      </c>
      <c r="S17">
        <f t="shared" si="3"/>
        <v>0</v>
      </c>
      <c r="U17" s="1">
        <v>4.5399999999999999E-5</v>
      </c>
      <c r="V17" s="3">
        <v>42583.095491688597</v>
      </c>
      <c r="W17" s="16">
        <v>0</v>
      </c>
      <c r="X17">
        <f t="shared" si="4"/>
        <v>0</v>
      </c>
      <c r="Z17" s="1">
        <v>4.5399999999999999E-5</v>
      </c>
      <c r="AA17" s="3">
        <v>42583.095491688597</v>
      </c>
      <c r="AB17" s="16">
        <v>0</v>
      </c>
      <c r="AC17">
        <f t="shared" si="5"/>
        <v>0</v>
      </c>
      <c r="AE17" s="1">
        <v>4.5399999999999999E-5</v>
      </c>
      <c r="AF17" s="3">
        <v>42583.095491688597</v>
      </c>
      <c r="AG17" s="16">
        <v>0</v>
      </c>
      <c r="AH17">
        <f t="shared" si="6"/>
        <v>0</v>
      </c>
      <c r="AJ17" s="1">
        <v>4.5399999999999999E-5</v>
      </c>
      <c r="AK17" s="3">
        <v>42583.095491688597</v>
      </c>
      <c r="AL17" s="17">
        <v>8.1232448218771395E-5</v>
      </c>
      <c r="AM17">
        <f t="shared" si="7"/>
        <v>3.4591290995235915</v>
      </c>
      <c r="AO17" s="1">
        <v>4.5399999999999999E-5</v>
      </c>
      <c r="AP17" s="3">
        <v>42583.095491688597</v>
      </c>
      <c r="AQ17" s="17">
        <v>1.55929610819469E-6</v>
      </c>
      <c r="AR17">
        <f t="shared" si="8"/>
        <v>6.639965507507288E-2</v>
      </c>
      <c r="AT17" s="1">
        <v>4.5399999999999999E-5</v>
      </c>
      <c r="AU17" s="3">
        <v>42583.095491688597</v>
      </c>
      <c r="AV17" s="16">
        <v>0</v>
      </c>
      <c r="AW17">
        <f t="shared" si="9"/>
        <v>0</v>
      </c>
    </row>
    <row r="18" spans="1:49" x14ac:dyDescent="0.3">
      <c r="A18" s="1">
        <v>1.2300000000000001E-4</v>
      </c>
      <c r="B18" s="16">
        <v>17523.6846221907</v>
      </c>
      <c r="C18" s="16">
        <v>2.4672994204841502E-2</v>
      </c>
      <c r="D18">
        <f t="shared" si="0"/>
        <v>432.36176913078128</v>
      </c>
      <c r="F18" s="1">
        <v>1.2300000000000001E-4</v>
      </c>
      <c r="G18" s="3">
        <v>17523.6846221907</v>
      </c>
      <c r="H18" s="16">
        <v>0</v>
      </c>
      <c r="I18" s="17">
        <f t="shared" si="1"/>
        <v>0</v>
      </c>
      <c r="K18" s="1">
        <v>1.2300000000000001E-4</v>
      </c>
      <c r="L18" s="3">
        <v>17523.6846221907</v>
      </c>
      <c r="M18" s="16">
        <v>0</v>
      </c>
      <c r="N18">
        <f t="shared" si="2"/>
        <v>0</v>
      </c>
      <c r="O18" s="17"/>
      <c r="P18" s="1">
        <v>1.2300000000000001E-4</v>
      </c>
      <c r="Q18" s="3">
        <v>17523.6846221907</v>
      </c>
      <c r="R18" s="16">
        <v>0</v>
      </c>
      <c r="S18">
        <f t="shared" si="3"/>
        <v>0</v>
      </c>
      <c r="U18" s="1">
        <v>1.2300000000000001E-4</v>
      </c>
      <c r="V18" s="3">
        <v>17523.6846221907</v>
      </c>
      <c r="W18" s="16">
        <v>0</v>
      </c>
      <c r="X18">
        <f t="shared" si="4"/>
        <v>0</v>
      </c>
      <c r="Z18" s="1">
        <v>1.2300000000000001E-4</v>
      </c>
      <c r="AA18" s="3">
        <v>17523.6846221907</v>
      </c>
      <c r="AB18" s="16">
        <v>0</v>
      </c>
      <c r="AC18">
        <f t="shared" si="5"/>
        <v>0</v>
      </c>
      <c r="AE18" s="1">
        <v>1.2300000000000001E-4</v>
      </c>
      <c r="AF18" s="3">
        <v>17523.6846221907</v>
      </c>
      <c r="AG18" s="16">
        <v>0</v>
      </c>
      <c r="AH18">
        <f t="shared" si="6"/>
        <v>0</v>
      </c>
      <c r="AJ18" s="1">
        <v>1.2300000000000001E-4</v>
      </c>
      <c r="AK18" s="3">
        <v>17523.6846221907</v>
      </c>
      <c r="AL18" s="17">
        <v>5.1770964846832801E-5</v>
      </c>
      <c r="AM18">
        <f t="shared" si="7"/>
        <v>0.90721806056241927</v>
      </c>
      <c r="AO18" s="1">
        <v>1.2300000000000001E-4</v>
      </c>
      <c r="AP18" s="3">
        <v>17523.6846221907</v>
      </c>
      <c r="AQ18" s="17">
        <v>1.8301699010469E-5</v>
      </c>
      <c r="AR18">
        <f t="shared" si="8"/>
        <v>0.32071320150971838</v>
      </c>
      <c r="AT18" s="1">
        <v>1.2300000000000001E-4</v>
      </c>
      <c r="AU18" s="3">
        <v>17523.6846221907</v>
      </c>
      <c r="AV18" s="16">
        <v>0</v>
      </c>
      <c r="AW18">
        <f t="shared" si="9"/>
        <v>0</v>
      </c>
    </row>
    <row r="19" spans="1:49" x14ac:dyDescent="0.3">
      <c r="A19" s="1">
        <v>3.3500000000000001E-4</v>
      </c>
      <c r="B19" s="16">
        <v>11706.152120853299</v>
      </c>
      <c r="C19" s="16">
        <v>9.0923987155206703E-3</v>
      </c>
      <c r="D19">
        <f t="shared" si="0"/>
        <v>106.43700250733612</v>
      </c>
      <c r="F19" s="1">
        <v>3.3500000000000001E-4</v>
      </c>
      <c r="G19" s="3">
        <v>11706.152120853299</v>
      </c>
      <c r="H19" s="16">
        <v>0</v>
      </c>
      <c r="I19" s="17">
        <f t="shared" si="1"/>
        <v>0</v>
      </c>
      <c r="K19" s="1">
        <v>3.3500000000000001E-4</v>
      </c>
      <c r="L19" s="3">
        <v>11706.152120853299</v>
      </c>
      <c r="M19" s="16">
        <v>0</v>
      </c>
      <c r="N19">
        <f t="shared" si="2"/>
        <v>0</v>
      </c>
      <c r="O19" s="17"/>
      <c r="P19" s="1">
        <v>3.3500000000000001E-4</v>
      </c>
      <c r="Q19" s="3">
        <v>11706.152120853299</v>
      </c>
      <c r="R19" s="16">
        <v>0</v>
      </c>
      <c r="S19">
        <f t="shared" si="3"/>
        <v>0</v>
      </c>
      <c r="U19" s="1">
        <v>3.3500000000000001E-4</v>
      </c>
      <c r="V19" s="3">
        <v>11706.152120853299</v>
      </c>
      <c r="W19" s="16">
        <v>0</v>
      </c>
      <c r="X19">
        <f t="shared" si="4"/>
        <v>0</v>
      </c>
      <c r="Z19" s="1">
        <v>3.3500000000000001E-4</v>
      </c>
      <c r="AA19" s="3">
        <v>11706.152120853299</v>
      </c>
      <c r="AB19" s="16">
        <v>0</v>
      </c>
      <c r="AC19">
        <f t="shared" si="5"/>
        <v>0</v>
      </c>
      <c r="AE19" s="1">
        <v>3.3500000000000001E-4</v>
      </c>
      <c r="AF19" s="3">
        <v>11706.152120853299</v>
      </c>
      <c r="AG19" s="16">
        <v>0</v>
      </c>
      <c r="AH19">
        <f t="shared" si="6"/>
        <v>0</v>
      </c>
      <c r="AJ19" s="1">
        <v>3.3500000000000001E-4</v>
      </c>
      <c r="AK19" s="3">
        <v>11706.152120853299</v>
      </c>
      <c r="AL19" s="17">
        <v>3.4974266253066098E-5</v>
      </c>
      <c r="AM19">
        <f t="shared" si="7"/>
        <v>0.40941408107361765</v>
      </c>
      <c r="AO19" s="1">
        <v>3.3500000000000001E-4</v>
      </c>
      <c r="AP19" s="3">
        <v>11706.152120853299</v>
      </c>
      <c r="AQ19" s="16">
        <v>1.4490151417557E-4</v>
      </c>
      <c r="AR19">
        <f t="shared" si="8"/>
        <v>1.6962391674812032</v>
      </c>
      <c r="AT19" s="1">
        <v>3.3500000000000001E-4</v>
      </c>
      <c r="AU19" s="3">
        <v>11706.152120853299</v>
      </c>
      <c r="AV19" s="16">
        <v>0</v>
      </c>
      <c r="AW19">
        <f t="shared" si="9"/>
        <v>0</v>
      </c>
    </row>
    <row r="20" spans="1:49" x14ac:dyDescent="0.3">
      <c r="A20" s="1">
        <v>9.1200000000000005E-4</v>
      </c>
      <c r="B20" s="16">
        <v>9738.2009303481991</v>
      </c>
      <c r="C20" s="16">
        <v>4.7600127127220499E-3</v>
      </c>
      <c r="D20">
        <f t="shared" si="0"/>
        <v>46.353960227499122</v>
      </c>
      <c r="F20" s="1">
        <v>9.1200000000000005E-4</v>
      </c>
      <c r="G20" s="3">
        <v>9738.2009303481991</v>
      </c>
      <c r="H20" s="16">
        <v>0</v>
      </c>
      <c r="I20" s="17">
        <f t="shared" si="1"/>
        <v>0</v>
      </c>
      <c r="K20" s="1">
        <v>9.1200000000000005E-4</v>
      </c>
      <c r="L20" s="3">
        <v>9738.2009303481991</v>
      </c>
      <c r="M20" s="16">
        <v>0</v>
      </c>
      <c r="N20">
        <f t="shared" si="2"/>
        <v>0</v>
      </c>
      <c r="O20" s="17"/>
      <c r="P20" s="1">
        <v>9.1200000000000005E-4</v>
      </c>
      <c r="Q20" s="3">
        <v>9738.2009303481991</v>
      </c>
      <c r="R20" s="16">
        <v>0</v>
      </c>
      <c r="S20">
        <f t="shared" si="3"/>
        <v>0</v>
      </c>
      <c r="U20" s="1">
        <v>9.1200000000000005E-4</v>
      </c>
      <c r="V20" s="3">
        <v>9738.2009303481991</v>
      </c>
      <c r="W20" s="16">
        <v>0</v>
      </c>
      <c r="X20">
        <f t="shared" si="4"/>
        <v>0</v>
      </c>
      <c r="Z20" s="1">
        <v>9.1200000000000005E-4</v>
      </c>
      <c r="AA20" s="3">
        <v>9738.2009303481991</v>
      </c>
      <c r="AB20" s="16">
        <v>0</v>
      </c>
      <c r="AC20">
        <f t="shared" si="5"/>
        <v>0</v>
      </c>
      <c r="AE20" s="1">
        <v>9.1200000000000005E-4</v>
      </c>
      <c r="AF20" s="3">
        <v>9738.2009303481991</v>
      </c>
      <c r="AG20" s="16">
        <v>0</v>
      </c>
      <c r="AH20">
        <f t="shared" si="6"/>
        <v>0</v>
      </c>
      <c r="AJ20" s="1">
        <v>9.1200000000000005E-4</v>
      </c>
      <c r="AK20" s="3">
        <v>9738.2009303481991</v>
      </c>
      <c r="AL20" s="17">
        <v>2.79145140059708E-5</v>
      </c>
      <c r="AM20">
        <f t="shared" si="7"/>
        <v>0.27183714626316269</v>
      </c>
      <c r="AO20" s="1">
        <v>9.1200000000000005E-4</v>
      </c>
      <c r="AP20" s="3">
        <v>9738.2009303481991</v>
      </c>
      <c r="AQ20" s="17">
        <v>7.5255537909542599E-8</v>
      </c>
      <c r="AR20">
        <f t="shared" si="8"/>
        <v>7.3285354928456195E-4</v>
      </c>
      <c r="AT20" s="1">
        <v>9.1200000000000005E-4</v>
      </c>
      <c r="AU20" s="3">
        <v>9738.2009303481991</v>
      </c>
      <c r="AV20" s="16">
        <v>0</v>
      </c>
      <c r="AW20">
        <f t="shared" si="9"/>
        <v>0</v>
      </c>
    </row>
    <row r="21" spans="1:49" x14ac:dyDescent="0.3">
      <c r="A21" s="1">
        <v>2.48E-3</v>
      </c>
      <c r="B21" s="16">
        <v>11475.1903641101</v>
      </c>
      <c r="C21" s="16">
        <v>1.9607444074982001E-3</v>
      </c>
      <c r="D21">
        <f t="shared" si="0"/>
        <v>22.499915331406111</v>
      </c>
      <c r="F21" s="1">
        <v>2.48E-3</v>
      </c>
      <c r="G21" s="3">
        <v>11475.1903641101</v>
      </c>
      <c r="H21" s="16">
        <v>0</v>
      </c>
      <c r="I21" s="17">
        <f t="shared" si="1"/>
        <v>0</v>
      </c>
      <c r="K21" s="1">
        <v>2.48E-3</v>
      </c>
      <c r="L21" s="3">
        <v>11475.1903641101</v>
      </c>
      <c r="M21" s="16">
        <v>0</v>
      </c>
      <c r="N21">
        <f t="shared" si="2"/>
        <v>0</v>
      </c>
      <c r="O21" s="17"/>
      <c r="P21" s="1">
        <v>2.48E-3</v>
      </c>
      <c r="Q21" s="3">
        <v>11475.1903641101</v>
      </c>
      <c r="R21" s="16">
        <v>0</v>
      </c>
      <c r="S21">
        <f t="shared" si="3"/>
        <v>0</v>
      </c>
      <c r="U21" s="1">
        <v>2.48E-3</v>
      </c>
      <c r="V21" s="3">
        <v>11475.1903641101</v>
      </c>
      <c r="W21" s="16">
        <v>0</v>
      </c>
      <c r="X21">
        <f t="shared" si="4"/>
        <v>0</v>
      </c>
      <c r="Z21" s="1">
        <v>2.48E-3</v>
      </c>
      <c r="AA21" s="3">
        <v>11475.1903641101</v>
      </c>
      <c r="AB21" s="16">
        <v>0</v>
      </c>
      <c r="AC21">
        <f t="shared" si="5"/>
        <v>0</v>
      </c>
      <c r="AE21" s="1">
        <v>2.48E-3</v>
      </c>
      <c r="AF21" s="3">
        <v>11475.1903641101</v>
      </c>
      <c r="AG21" s="16">
        <v>0</v>
      </c>
      <c r="AH21">
        <f t="shared" si="6"/>
        <v>0</v>
      </c>
      <c r="AJ21" s="1">
        <v>2.48E-3</v>
      </c>
      <c r="AK21" s="3">
        <v>11475.1903641101</v>
      </c>
      <c r="AL21" s="16">
        <v>1.4824710004447E-4</v>
      </c>
      <c r="AM21">
        <f t="shared" si="7"/>
        <v>1.7011636939375681</v>
      </c>
      <c r="AO21" s="1">
        <v>2.48E-3</v>
      </c>
      <c r="AP21" s="3">
        <v>11475.1903641101</v>
      </c>
      <c r="AQ21" s="17">
        <v>4.9118465610855001E-7</v>
      </c>
      <c r="AR21">
        <f t="shared" si="8"/>
        <v>5.6364374327755665E-3</v>
      </c>
      <c r="AT21" s="1">
        <v>2.48E-3</v>
      </c>
      <c r="AU21" s="3">
        <v>11475.1903641101</v>
      </c>
      <c r="AV21" s="16">
        <v>0</v>
      </c>
      <c r="AW21">
        <f t="shared" si="9"/>
        <v>0</v>
      </c>
    </row>
    <row r="22" spans="1:49" x14ac:dyDescent="0.3">
      <c r="A22" s="1">
        <v>6.7400000000000003E-3</v>
      </c>
      <c r="B22" s="16">
        <v>11691.548732630699</v>
      </c>
      <c r="C22" s="16">
        <v>4.2125473644198501E-4</v>
      </c>
      <c r="D22">
        <f t="shared" si="0"/>
        <v>4.925120279962969</v>
      </c>
      <c r="F22" s="1">
        <v>6.7400000000000003E-3</v>
      </c>
      <c r="G22" s="3">
        <v>11691.548732630699</v>
      </c>
      <c r="H22" s="16">
        <v>0</v>
      </c>
      <c r="I22" s="17">
        <f t="shared" si="1"/>
        <v>0</v>
      </c>
      <c r="K22" s="1">
        <v>6.7400000000000003E-3</v>
      </c>
      <c r="L22" s="3">
        <v>11691.548732630699</v>
      </c>
      <c r="M22" s="16">
        <v>0</v>
      </c>
      <c r="N22">
        <f t="shared" si="2"/>
        <v>0</v>
      </c>
      <c r="O22" s="17"/>
      <c r="P22" s="1">
        <v>6.7400000000000003E-3</v>
      </c>
      <c r="Q22" s="3">
        <v>11691.548732630699</v>
      </c>
      <c r="R22" s="16">
        <v>0</v>
      </c>
      <c r="S22">
        <f t="shared" si="3"/>
        <v>0</v>
      </c>
      <c r="U22" s="1">
        <v>6.7400000000000003E-3</v>
      </c>
      <c r="V22" s="3">
        <v>11691.548732630699</v>
      </c>
      <c r="W22" s="16">
        <v>0</v>
      </c>
      <c r="X22">
        <f t="shared" si="4"/>
        <v>0</v>
      </c>
      <c r="Z22" s="1">
        <v>6.7400000000000003E-3</v>
      </c>
      <c r="AA22" s="3">
        <v>11691.548732630699</v>
      </c>
      <c r="AB22" s="16">
        <v>0</v>
      </c>
      <c r="AC22">
        <f t="shared" si="5"/>
        <v>0</v>
      </c>
      <c r="AE22" s="1">
        <v>6.7400000000000003E-3</v>
      </c>
      <c r="AF22" s="3">
        <v>11691.548732630699</v>
      </c>
      <c r="AG22" s="16">
        <v>0</v>
      </c>
      <c r="AH22">
        <f t="shared" si="6"/>
        <v>0</v>
      </c>
      <c r="AJ22" s="1">
        <v>6.7400000000000003E-3</v>
      </c>
      <c r="AK22" s="3">
        <v>11691.548732630699</v>
      </c>
      <c r="AL22" s="16">
        <v>4.1344672188772601E-4</v>
      </c>
      <c r="AM22">
        <f t="shared" si="7"/>
        <v>4.8338324972967603</v>
      </c>
      <c r="AO22" s="1">
        <v>6.7400000000000003E-3</v>
      </c>
      <c r="AP22" s="3">
        <v>11691.548732630699</v>
      </c>
      <c r="AQ22" s="17">
        <v>1.4907794370730299E-6</v>
      </c>
      <c r="AR22">
        <f t="shared" si="8"/>
        <v>1.7429520438143092E-2</v>
      </c>
      <c r="AT22" s="1">
        <v>6.7400000000000003E-3</v>
      </c>
      <c r="AU22" s="3">
        <v>11691.548732630699</v>
      </c>
      <c r="AV22" s="16">
        <v>0</v>
      </c>
      <c r="AW22">
        <f t="shared" si="9"/>
        <v>0</v>
      </c>
    </row>
    <row r="23" spans="1:49" x14ac:dyDescent="0.3">
      <c r="A23" s="1">
        <v>1.83E-2</v>
      </c>
      <c r="B23" s="16">
        <v>11542.0717181412</v>
      </c>
      <c r="C23" s="16">
        <v>2.0383068037426401E-4</v>
      </c>
      <c r="D23">
        <f t="shared" si="0"/>
        <v>2.3526283312372711</v>
      </c>
      <c r="F23" s="1">
        <v>1.83E-2</v>
      </c>
      <c r="G23" s="3">
        <v>11542.0717181412</v>
      </c>
      <c r="H23" s="16">
        <v>0</v>
      </c>
      <c r="I23" s="17">
        <f t="shared" si="1"/>
        <v>0</v>
      </c>
      <c r="K23" s="1">
        <v>1.83E-2</v>
      </c>
      <c r="L23" s="3">
        <v>11542.0717181412</v>
      </c>
      <c r="M23" s="16">
        <v>0</v>
      </c>
      <c r="N23">
        <f t="shared" si="2"/>
        <v>0</v>
      </c>
      <c r="O23" s="17"/>
      <c r="P23" s="1">
        <v>1.83E-2</v>
      </c>
      <c r="Q23" s="3">
        <v>11542.0717181412</v>
      </c>
      <c r="R23" s="16">
        <v>0</v>
      </c>
      <c r="S23">
        <f t="shared" si="3"/>
        <v>0</v>
      </c>
      <c r="U23" s="1">
        <v>1.83E-2</v>
      </c>
      <c r="V23" s="3">
        <v>11542.0717181412</v>
      </c>
      <c r="W23" s="16">
        <v>0</v>
      </c>
      <c r="X23">
        <f t="shared" si="4"/>
        <v>0</v>
      </c>
      <c r="Z23" s="1">
        <v>1.83E-2</v>
      </c>
      <c r="AA23" s="3">
        <v>11542.0717181412</v>
      </c>
      <c r="AB23" s="16">
        <v>0</v>
      </c>
      <c r="AC23">
        <f t="shared" si="5"/>
        <v>0</v>
      </c>
      <c r="AE23" s="1">
        <v>1.83E-2</v>
      </c>
      <c r="AF23" s="3">
        <v>11542.0717181412</v>
      </c>
      <c r="AG23" s="16">
        <v>0</v>
      </c>
      <c r="AH23">
        <f t="shared" si="6"/>
        <v>0</v>
      </c>
      <c r="AJ23" s="1">
        <v>1.83E-2</v>
      </c>
      <c r="AK23" s="3">
        <v>11542.0717181412</v>
      </c>
      <c r="AL23" s="16">
        <v>1.0497584700122001E-4</v>
      </c>
      <c r="AM23">
        <f t="shared" si="7"/>
        <v>1.211638754760699</v>
      </c>
      <c r="AO23" s="1">
        <v>1.83E-2</v>
      </c>
      <c r="AP23" s="3">
        <v>11542.0717181412</v>
      </c>
      <c r="AQ23" s="17">
        <v>3.9274497894665499E-7</v>
      </c>
      <c r="AR23">
        <f t="shared" si="8"/>
        <v>4.5330907139421476E-3</v>
      </c>
      <c r="AT23" s="1">
        <v>1.83E-2</v>
      </c>
      <c r="AU23" s="3">
        <v>11542.0717181412</v>
      </c>
      <c r="AV23" s="16">
        <v>0</v>
      </c>
      <c r="AW23">
        <f t="shared" si="9"/>
        <v>0</v>
      </c>
    </row>
    <row r="24" spans="1:49" x14ac:dyDescent="0.3">
      <c r="A24" s="1">
        <v>4.9799999999999997E-2</v>
      </c>
      <c r="B24" s="16">
        <v>18554.633668343798</v>
      </c>
      <c r="C24" s="16">
        <v>1.03707585535693E-4</v>
      </c>
      <c r="D24">
        <f t="shared" si="0"/>
        <v>1.9242562582432137</v>
      </c>
      <c r="F24" s="1">
        <v>4.9799999999999997E-2</v>
      </c>
      <c r="G24" s="3">
        <v>18554.633668343798</v>
      </c>
      <c r="H24" s="16">
        <v>0</v>
      </c>
      <c r="I24" s="17">
        <f t="shared" si="1"/>
        <v>0</v>
      </c>
      <c r="K24" s="1">
        <v>4.9799999999999997E-2</v>
      </c>
      <c r="L24" s="3">
        <v>18554.633668343798</v>
      </c>
      <c r="M24" s="16">
        <v>0</v>
      </c>
      <c r="N24">
        <f t="shared" si="2"/>
        <v>0</v>
      </c>
      <c r="O24" s="17"/>
      <c r="P24" s="1">
        <v>4.9799999999999997E-2</v>
      </c>
      <c r="Q24" s="3">
        <v>18554.633668343798</v>
      </c>
      <c r="R24" s="16">
        <v>0</v>
      </c>
      <c r="S24">
        <f t="shared" si="3"/>
        <v>0</v>
      </c>
      <c r="U24" s="1">
        <v>4.9799999999999997E-2</v>
      </c>
      <c r="V24" s="3">
        <v>18554.633668343798</v>
      </c>
      <c r="W24" s="16">
        <v>0</v>
      </c>
      <c r="X24">
        <f t="shared" si="4"/>
        <v>0</v>
      </c>
      <c r="Z24" s="1">
        <v>4.9799999999999997E-2</v>
      </c>
      <c r="AA24" s="3">
        <v>18554.633668343798</v>
      </c>
      <c r="AB24" s="16">
        <v>0</v>
      </c>
      <c r="AC24">
        <f t="shared" si="5"/>
        <v>0</v>
      </c>
      <c r="AE24" s="1">
        <v>4.9799999999999997E-2</v>
      </c>
      <c r="AF24" s="3">
        <v>18554.633668343798</v>
      </c>
      <c r="AG24" s="16">
        <v>0</v>
      </c>
      <c r="AH24">
        <f t="shared" si="6"/>
        <v>0</v>
      </c>
      <c r="AJ24" s="1">
        <v>4.9799999999999997E-2</v>
      </c>
      <c r="AK24" s="3">
        <v>18554.633668343798</v>
      </c>
      <c r="AL24" s="16">
        <v>5.3916058218349099E-4</v>
      </c>
      <c r="AM24">
        <f t="shared" si="7"/>
        <v>10.003927090825645</v>
      </c>
      <c r="AO24" s="1">
        <v>4.9799999999999997E-2</v>
      </c>
      <c r="AP24" s="3">
        <v>18554.633668343798</v>
      </c>
      <c r="AQ24" s="17">
        <v>1.05316163806008E-7</v>
      </c>
      <c r="AR24">
        <f t="shared" si="8"/>
        <v>1.9541028387757668E-3</v>
      </c>
      <c r="AT24" s="1">
        <v>4.9799999999999997E-2</v>
      </c>
      <c r="AU24" s="3">
        <v>18554.633668343798</v>
      </c>
      <c r="AV24" s="16">
        <v>0</v>
      </c>
      <c r="AW24">
        <f t="shared" si="9"/>
        <v>0</v>
      </c>
    </row>
    <row r="25" spans="1:49" x14ac:dyDescent="0.3">
      <c r="A25" s="1">
        <v>0.13500000000000001</v>
      </c>
      <c r="B25" s="16">
        <v>22175.9025079967</v>
      </c>
      <c r="C25" s="17">
        <v>6.6526333263493197E-5</v>
      </c>
      <c r="D25">
        <f t="shared" si="0"/>
        <v>1.4752814806657231</v>
      </c>
      <c r="F25" s="1">
        <v>0.13500000000000001</v>
      </c>
      <c r="G25" s="3">
        <v>22175.9025079967</v>
      </c>
      <c r="H25" s="16">
        <v>0</v>
      </c>
      <c r="I25" s="17">
        <f t="shared" si="1"/>
        <v>0</v>
      </c>
      <c r="K25" s="1">
        <v>0.13500000000000001</v>
      </c>
      <c r="L25" s="3">
        <v>22175.9025079967</v>
      </c>
      <c r="M25" s="16">
        <v>0</v>
      </c>
      <c r="N25">
        <f t="shared" si="2"/>
        <v>0</v>
      </c>
      <c r="O25" s="17"/>
      <c r="P25" s="1">
        <v>0.13500000000000001</v>
      </c>
      <c r="Q25" s="3">
        <v>22175.9025079967</v>
      </c>
      <c r="R25" s="16">
        <v>0</v>
      </c>
      <c r="S25">
        <f t="shared" si="3"/>
        <v>0</v>
      </c>
      <c r="U25" s="1">
        <v>0.13500000000000001</v>
      </c>
      <c r="V25" s="3">
        <v>22175.9025079967</v>
      </c>
      <c r="W25" s="16">
        <v>0</v>
      </c>
      <c r="X25">
        <f t="shared" si="4"/>
        <v>0</v>
      </c>
      <c r="Z25" s="1">
        <v>0.13500000000000001</v>
      </c>
      <c r="AA25" s="3">
        <v>22175.9025079967</v>
      </c>
      <c r="AB25" s="16">
        <v>0</v>
      </c>
      <c r="AC25">
        <f t="shared" si="5"/>
        <v>0</v>
      </c>
      <c r="AE25" s="1">
        <v>0.13500000000000001</v>
      </c>
      <c r="AF25" s="3">
        <v>22175.9025079967</v>
      </c>
      <c r="AG25" s="16">
        <v>0</v>
      </c>
      <c r="AH25">
        <f t="shared" si="6"/>
        <v>0</v>
      </c>
      <c r="AJ25" s="1">
        <v>0.13500000000000001</v>
      </c>
      <c r="AK25" s="3">
        <v>22175.9025079967</v>
      </c>
      <c r="AL25" s="16">
        <v>2.0277056824195299E-4</v>
      </c>
      <c r="AM25">
        <f t="shared" si="7"/>
        <v>4.4966203528246416</v>
      </c>
      <c r="AO25" s="1">
        <v>0.13500000000000001</v>
      </c>
      <c r="AP25" s="3">
        <v>22175.9025079967</v>
      </c>
      <c r="AQ25" s="17">
        <v>5.4494692489718299E-8</v>
      </c>
      <c r="AR25">
        <f t="shared" si="8"/>
        <v>1.208468987855253E-3</v>
      </c>
      <c r="AT25" s="1">
        <v>0.13500000000000001</v>
      </c>
      <c r="AU25" s="3">
        <v>22175.9025079967</v>
      </c>
      <c r="AV25" s="16">
        <v>0</v>
      </c>
      <c r="AW25">
        <f t="shared" si="9"/>
        <v>0</v>
      </c>
    </row>
    <row r="26" spans="1:49" x14ac:dyDescent="0.3">
      <c r="A26" s="1">
        <v>0.36799999999999999</v>
      </c>
      <c r="B26" s="16">
        <v>33161.1898878344</v>
      </c>
      <c r="C26" s="17">
        <v>4.1775265578792403E-5</v>
      </c>
      <c r="D26">
        <f t="shared" si="0"/>
        <v>1.3853175144730472</v>
      </c>
      <c r="F26" s="1">
        <v>0.36799999999999999</v>
      </c>
      <c r="G26" s="3">
        <v>33161.1898878344</v>
      </c>
      <c r="H26" s="16">
        <v>0</v>
      </c>
      <c r="I26" s="17">
        <f t="shared" si="1"/>
        <v>0</v>
      </c>
      <c r="K26" s="1">
        <v>0.36799999999999999</v>
      </c>
      <c r="L26" s="3">
        <v>33161.1898878344</v>
      </c>
      <c r="M26" s="16">
        <v>0</v>
      </c>
      <c r="N26">
        <f t="shared" si="2"/>
        <v>0</v>
      </c>
      <c r="O26" s="17"/>
      <c r="P26" s="1">
        <v>0.36799999999999999</v>
      </c>
      <c r="Q26" s="3">
        <v>33161.1898878344</v>
      </c>
      <c r="R26" s="16">
        <v>0</v>
      </c>
      <c r="S26">
        <f t="shared" si="3"/>
        <v>0</v>
      </c>
      <c r="U26" s="1">
        <v>0.36799999999999999</v>
      </c>
      <c r="V26" s="3">
        <v>33161.1898878344</v>
      </c>
      <c r="W26" s="16">
        <v>0</v>
      </c>
      <c r="X26">
        <f t="shared" si="4"/>
        <v>0</v>
      </c>
      <c r="Z26" s="1">
        <v>0.36799999999999999</v>
      </c>
      <c r="AA26" s="3">
        <v>33161.1898878344</v>
      </c>
      <c r="AB26" s="16">
        <v>0</v>
      </c>
      <c r="AC26">
        <f t="shared" si="5"/>
        <v>0</v>
      </c>
      <c r="AE26" s="1">
        <v>0.36799999999999999</v>
      </c>
      <c r="AF26" s="3">
        <v>33161.1898878344</v>
      </c>
      <c r="AG26" s="16">
        <v>0</v>
      </c>
      <c r="AH26">
        <f t="shared" si="6"/>
        <v>0</v>
      </c>
      <c r="AJ26" s="1">
        <v>0.36799999999999999</v>
      </c>
      <c r="AK26" s="3">
        <v>33161.1898878344</v>
      </c>
      <c r="AL26" s="17">
        <v>8.0326287536829798E-5</v>
      </c>
      <c r="AM26">
        <f t="shared" si="7"/>
        <v>2.6637152739935988</v>
      </c>
      <c r="AO26" s="1">
        <v>0.36799999999999999</v>
      </c>
      <c r="AP26" s="3">
        <v>33161.1898878344</v>
      </c>
      <c r="AQ26" s="17">
        <v>9.7018449649658206E-9</v>
      </c>
      <c r="AR26">
        <f t="shared" si="8"/>
        <v>3.2172472314556167E-4</v>
      </c>
      <c r="AT26" s="1">
        <v>0.36799999999999999</v>
      </c>
      <c r="AU26" s="3">
        <v>33161.1898878344</v>
      </c>
      <c r="AV26" s="16">
        <v>0</v>
      </c>
      <c r="AW26">
        <f t="shared" si="9"/>
        <v>0</v>
      </c>
    </row>
    <row r="27" spans="1:49" x14ac:dyDescent="0.3">
      <c r="A27" s="1">
        <v>1</v>
      </c>
      <c r="B27" s="16">
        <v>63312.403653674897</v>
      </c>
      <c r="C27" s="17">
        <v>2.0351616681666401E-5</v>
      </c>
      <c r="D27">
        <f t="shared" si="0"/>
        <v>1.2885097703545267</v>
      </c>
      <c r="F27" s="1">
        <v>1</v>
      </c>
      <c r="G27" s="3">
        <v>63312.403653674897</v>
      </c>
      <c r="H27" s="16">
        <v>0</v>
      </c>
      <c r="I27" s="17">
        <f t="shared" si="1"/>
        <v>0</v>
      </c>
      <c r="K27" s="1">
        <v>1</v>
      </c>
      <c r="L27" s="3">
        <v>63312.403653674897</v>
      </c>
      <c r="M27" s="16">
        <v>0</v>
      </c>
      <c r="N27">
        <f t="shared" si="2"/>
        <v>0</v>
      </c>
      <c r="O27" s="17"/>
      <c r="P27" s="1">
        <v>1</v>
      </c>
      <c r="Q27" s="3">
        <v>63312.403653674897</v>
      </c>
      <c r="R27" s="16">
        <v>0</v>
      </c>
      <c r="S27">
        <f t="shared" si="3"/>
        <v>0</v>
      </c>
      <c r="U27" s="1">
        <v>1</v>
      </c>
      <c r="V27" s="3">
        <v>63312.403653674897</v>
      </c>
      <c r="W27" s="17">
        <v>1.37916679593555E-9</v>
      </c>
      <c r="X27">
        <f t="shared" si="4"/>
        <v>8.7318364890017012E-5</v>
      </c>
      <c r="Z27" s="1">
        <v>1</v>
      </c>
      <c r="AA27" s="3">
        <v>63312.403653674897</v>
      </c>
      <c r="AB27" s="16">
        <v>0</v>
      </c>
      <c r="AC27">
        <f t="shared" si="5"/>
        <v>0</v>
      </c>
      <c r="AE27" s="1">
        <v>1</v>
      </c>
      <c r="AF27" s="3">
        <v>63312.403653674897</v>
      </c>
      <c r="AG27" s="16">
        <v>0</v>
      </c>
      <c r="AH27">
        <f t="shared" si="6"/>
        <v>0</v>
      </c>
      <c r="AJ27" s="1">
        <v>1</v>
      </c>
      <c r="AK27" s="3">
        <v>63312.403653674897</v>
      </c>
      <c r="AL27" s="17">
        <v>2.9198225628322699E-6</v>
      </c>
      <c r="AM27">
        <f t="shared" si="7"/>
        <v>0.1848609846951442</v>
      </c>
      <c r="AO27" s="1">
        <v>1</v>
      </c>
      <c r="AP27" s="3">
        <v>63312.403653674897</v>
      </c>
      <c r="AQ27" s="17">
        <v>6.2086081491209903E-9</v>
      </c>
      <c r="AR27">
        <f t="shared" si="8"/>
        <v>3.9308190526464351E-4</v>
      </c>
      <c r="AT27" s="1">
        <v>1</v>
      </c>
      <c r="AU27" s="3">
        <v>63312.403653674897</v>
      </c>
      <c r="AV27" s="16">
        <v>0</v>
      </c>
      <c r="AW27">
        <f t="shared" si="9"/>
        <v>0</v>
      </c>
    </row>
    <row r="28" spans="1:49" x14ac:dyDescent="0.3">
      <c r="A28" s="1">
        <v>1.21</v>
      </c>
      <c r="B28" s="16">
        <v>16186.532875515</v>
      </c>
      <c r="C28" s="17">
        <v>1.39204671124638E-5</v>
      </c>
      <c r="D28">
        <f t="shared" si="0"/>
        <v>0.22532409855842067</v>
      </c>
      <c r="F28" s="1">
        <v>1.21</v>
      </c>
      <c r="G28" s="3">
        <v>16186.532875515</v>
      </c>
      <c r="H28" s="16">
        <v>0</v>
      </c>
      <c r="I28" s="17">
        <f t="shared" si="1"/>
        <v>0</v>
      </c>
      <c r="K28" s="1">
        <v>1.21</v>
      </c>
      <c r="L28" s="3">
        <v>16186.532875515</v>
      </c>
      <c r="M28" s="16">
        <v>0</v>
      </c>
      <c r="N28">
        <f t="shared" si="2"/>
        <v>0</v>
      </c>
      <c r="O28" s="17"/>
      <c r="P28" s="1">
        <v>1.21</v>
      </c>
      <c r="Q28" s="3">
        <v>16186.532875515</v>
      </c>
      <c r="R28" s="17">
        <v>2.00812955796884E-7</v>
      </c>
      <c r="S28">
        <f t="shared" si="3"/>
        <v>3.2504655108356035E-3</v>
      </c>
      <c r="U28" s="1">
        <v>1.21</v>
      </c>
      <c r="V28" s="3">
        <v>16186.532875515</v>
      </c>
      <c r="W28" s="17">
        <v>1.21072231477107E-8</v>
      </c>
      <c r="X28">
        <f t="shared" si="4"/>
        <v>1.9597396551161543E-4</v>
      </c>
      <c r="Z28" s="1">
        <v>1.21</v>
      </c>
      <c r="AA28" s="3">
        <v>16186.532875515</v>
      </c>
      <c r="AB28" s="16">
        <v>0</v>
      </c>
      <c r="AC28">
        <f t="shared" si="5"/>
        <v>0</v>
      </c>
      <c r="AE28" s="1">
        <v>1.21</v>
      </c>
      <c r="AF28" s="3">
        <v>16186.532875515</v>
      </c>
      <c r="AG28" s="16">
        <v>0</v>
      </c>
      <c r="AH28">
        <f t="shared" si="6"/>
        <v>0</v>
      </c>
      <c r="AJ28" s="1">
        <v>1.21</v>
      </c>
      <c r="AK28" s="3">
        <v>16186.532875515</v>
      </c>
      <c r="AL28" s="17">
        <v>1.1089287138811499E-6</v>
      </c>
      <c r="AM28">
        <f t="shared" si="7"/>
        <v>1.79497110838398E-2</v>
      </c>
      <c r="AO28" s="1">
        <v>1.21</v>
      </c>
      <c r="AP28" s="3">
        <v>16186.532875515</v>
      </c>
      <c r="AQ28" s="17">
        <v>5.6745985742078598E-9</v>
      </c>
      <c r="AR28">
        <f t="shared" si="8"/>
        <v>9.1852076376766064E-5</v>
      </c>
      <c r="AT28" s="1">
        <v>1.21</v>
      </c>
      <c r="AU28" s="3">
        <v>16186.532875515</v>
      </c>
      <c r="AV28" s="17">
        <v>6.5316060094312601E-11</v>
      </c>
      <c r="AW28">
        <f t="shared" si="9"/>
        <v>1.0572405540157044E-6</v>
      </c>
    </row>
    <row r="29" spans="1:49" x14ac:dyDescent="0.3">
      <c r="A29" s="1">
        <v>1.34</v>
      </c>
      <c r="B29" s="16">
        <v>9961.5328287245393</v>
      </c>
      <c r="C29" s="17">
        <v>1.3203852989550201E-5</v>
      </c>
      <c r="D29">
        <f t="shared" si="0"/>
        <v>0.13153061502105698</v>
      </c>
      <c r="F29" s="1">
        <v>1.34</v>
      </c>
      <c r="G29" s="3">
        <v>9961.5328287245393</v>
      </c>
      <c r="H29" s="16">
        <v>0</v>
      </c>
      <c r="I29" s="17">
        <f t="shared" si="1"/>
        <v>0</v>
      </c>
      <c r="K29" s="1">
        <v>1.34</v>
      </c>
      <c r="L29" s="3">
        <v>9961.5328287245393</v>
      </c>
      <c r="M29" s="16">
        <v>0</v>
      </c>
      <c r="N29">
        <f t="shared" si="2"/>
        <v>0</v>
      </c>
      <c r="O29" s="17"/>
      <c r="P29" s="1">
        <v>1.34</v>
      </c>
      <c r="Q29" s="3">
        <v>9961.5328287245393</v>
      </c>
      <c r="R29" s="17">
        <v>1.0471522297538E-6</v>
      </c>
      <c r="S29">
        <f t="shared" si="3"/>
        <v>1.043124131336458E-2</v>
      </c>
      <c r="U29" s="1">
        <v>1.34</v>
      </c>
      <c r="V29" s="3">
        <v>9961.5328287245393</v>
      </c>
      <c r="W29" s="17">
        <v>3.6671191401739497E-8</v>
      </c>
      <c r="X29">
        <f t="shared" si="4"/>
        <v>3.6530127701686908E-4</v>
      </c>
      <c r="Z29" s="1">
        <v>1.34</v>
      </c>
      <c r="AA29" s="3">
        <v>9961.5328287245393</v>
      </c>
      <c r="AB29" s="16">
        <v>0</v>
      </c>
      <c r="AC29">
        <f t="shared" si="5"/>
        <v>0</v>
      </c>
      <c r="AE29" s="1">
        <v>1.34</v>
      </c>
      <c r="AF29" s="3">
        <v>9961.5328287245393</v>
      </c>
      <c r="AG29" s="16">
        <v>0</v>
      </c>
      <c r="AH29">
        <f t="shared" si="6"/>
        <v>0</v>
      </c>
      <c r="AJ29" s="1">
        <v>1.34</v>
      </c>
      <c r="AK29" s="3">
        <v>9961.5328287245393</v>
      </c>
      <c r="AL29" s="17">
        <v>1.05173434576298E-6</v>
      </c>
      <c r="AM29">
        <f t="shared" si="7"/>
        <v>1.047688621241505E-2</v>
      </c>
      <c r="AO29" s="1">
        <v>1.34</v>
      </c>
      <c r="AP29" s="3">
        <v>9961.5328287245393</v>
      </c>
      <c r="AQ29" s="17">
        <v>4.7499938549262097E-9</v>
      </c>
      <c r="AR29">
        <f t="shared" si="8"/>
        <v>4.7317219722087266E-5</v>
      </c>
      <c r="AT29" s="1">
        <v>1.34</v>
      </c>
      <c r="AU29" s="3">
        <v>9961.5328287245393</v>
      </c>
      <c r="AV29" s="17">
        <v>1.6884541103478499E-9</v>
      </c>
      <c r="AW29">
        <f t="shared" si="9"/>
        <v>1.6819591050024993E-5</v>
      </c>
    </row>
    <row r="30" spans="1:49" x14ac:dyDescent="0.3">
      <c r="A30" s="1">
        <v>1.48</v>
      </c>
      <c r="B30" s="16">
        <v>12660.0255933391</v>
      </c>
      <c r="C30" s="17">
        <v>1.2651410792859499E-5</v>
      </c>
      <c r="D30">
        <f t="shared" si="0"/>
        <v>0.16016718442944777</v>
      </c>
      <c r="F30" s="1">
        <v>1.48</v>
      </c>
      <c r="G30" s="3">
        <v>12660.0255933391</v>
      </c>
      <c r="H30" s="16">
        <v>0</v>
      </c>
      <c r="I30" s="17">
        <f t="shared" si="1"/>
        <v>0</v>
      </c>
      <c r="K30" s="1">
        <v>1.48</v>
      </c>
      <c r="L30" s="3">
        <v>12660.0255933391</v>
      </c>
      <c r="M30" s="16">
        <v>0</v>
      </c>
      <c r="N30">
        <f t="shared" si="2"/>
        <v>0</v>
      </c>
      <c r="O30" s="17"/>
      <c r="P30" s="1">
        <v>1.48</v>
      </c>
      <c r="Q30" s="3">
        <v>12660.0255933391</v>
      </c>
      <c r="R30" s="17">
        <v>1.4626278733326499E-6</v>
      </c>
      <c r="S30">
        <f t="shared" si="3"/>
        <v>1.8516906309922487E-2</v>
      </c>
      <c r="U30" s="1">
        <v>1.48</v>
      </c>
      <c r="V30" s="3">
        <v>12660.0255933391</v>
      </c>
      <c r="W30" s="17">
        <v>6.2520568546726405E-8</v>
      </c>
      <c r="X30">
        <f t="shared" si="4"/>
        <v>7.9151199791166786E-4</v>
      </c>
      <c r="Z30" s="1">
        <v>1.48</v>
      </c>
      <c r="AA30" s="3">
        <v>12660.0255933391</v>
      </c>
      <c r="AB30" s="16">
        <v>0</v>
      </c>
      <c r="AC30">
        <f t="shared" si="5"/>
        <v>0</v>
      </c>
      <c r="AE30" s="1">
        <v>1.48</v>
      </c>
      <c r="AF30" s="3">
        <v>12660.0255933391</v>
      </c>
      <c r="AG30" s="16">
        <v>0</v>
      </c>
      <c r="AH30">
        <f t="shared" si="6"/>
        <v>0</v>
      </c>
      <c r="AJ30" s="1">
        <v>1.48</v>
      </c>
      <c r="AK30" s="3">
        <v>12660.0255933391</v>
      </c>
      <c r="AL30" s="17">
        <v>1.03127820450653E-6</v>
      </c>
      <c r="AM30">
        <f t="shared" si="7"/>
        <v>1.3056008462905465E-2</v>
      </c>
      <c r="AO30" s="1">
        <v>1.48</v>
      </c>
      <c r="AP30" s="3">
        <v>12660.0255933391</v>
      </c>
      <c r="AQ30" s="17">
        <v>4.3139232033182401E-9</v>
      </c>
      <c r="AR30">
        <f t="shared" si="8"/>
        <v>5.461437816170831E-5</v>
      </c>
      <c r="AT30" s="1">
        <v>1.48</v>
      </c>
      <c r="AU30" s="3">
        <v>12660.0255933391</v>
      </c>
      <c r="AV30" s="17">
        <v>1.2608884254505799E-8</v>
      </c>
      <c r="AW30">
        <f t="shared" si="9"/>
        <v>1.5962879736549382E-4</v>
      </c>
    </row>
    <row r="31" spans="1:49" x14ac:dyDescent="0.3">
      <c r="A31" s="1">
        <v>1.63</v>
      </c>
      <c r="B31" s="16">
        <v>9975.4910573705693</v>
      </c>
      <c r="C31" s="17">
        <v>1.21799371961757E-5</v>
      </c>
      <c r="D31">
        <f t="shared" si="0"/>
        <v>0.12150085457978586</v>
      </c>
      <c r="F31" s="1">
        <v>1.63</v>
      </c>
      <c r="G31" s="3">
        <v>9975.4910573705693</v>
      </c>
      <c r="H31" s="16">
        <v>0</v>
      </c>
      <c r="I31" s="17">
        <f t="shared" si="1"/>
        <v>0</v>
      </c>
      <c r="K31" s="1">
        <v>1.63</v>
      </c>
      <c r="L31" s="3">
        <v>9975.4910573705693</v>
      </c>
      <c r="M31" s="16">
        <v>0</v>
      </c>
      <c r="N31">
        <f t="shared" si="2"/>
        <v>0</v>
      </c>
      <c r="O31" s="17"/>
      <c r="P31" s="1">
        <v>1.63</v>
      </c>
      <c r="Q31" s="3">
        <v>9975.4910573705693</v>
      </c>
      <c r="R31" s="17">
        <v>1.7396116357185499E-6</v>
      </c>
      <c r="S31">
        <f t="shared" si="3"/>
        <v>1.7353480315408183E-2</v>
      </c>
      <c r="U31" s="1">
        <v>1.63</v>
      </c>
      <c r="V31" s="3">
        <v>9975.4910573705693</v>
      </c>
      <c r="W31" s="17">
        <v>9.6551647512483501E-8</v>
      </c>
      <c r="X31">
        <f t="shared" si="4"/>
        <v>9.631500963351745E-4</v>
      </c>
      <c r="Z31" s="1">
        <v>1.63</v>
      </c>
      <c r="AA31" s="3">
        <v>9975.4910573705693</v>
      </c>
      <c r="AB31" s="16">
        <v>0</v>
      </c>
      <c r="AC31">
        <f t="shared" si="5"/>
        <v>0</v>
      </c>
      <c r="AE31" s="1">
        <v>1.63</v>
      </c>
      <c r="AF31" s="3">
        <v>9975.4910573705693</v>
      </c>
      <c r="AG31" s="16">
        <v>0</v>
      </c>
      <c r="AH31">
        <f t="shared" si="6"/>
        <v>0</v>
      </c>
      <c r="AJ31" s="1">
        <v>1.63</v>
      </c>
      <c r="AK31" s="3">
        <v>9975.4910573705693</v>
      </c>
      <c r="AL31" s="17">
        <v>1.01705505280633E-6</v>
      </c>
      <c r="AM31">
        <f t="shared" si="7"/>
        <v>1.0145623584123097E-2</v>
      </c>
      <c r="AO31" s="1">
        <v>1.63</v>
      </c>
      <c r="AP31" s="3">
        <v>9975.4910573705693</v>
      </c>
      <c r="AQ31" s="17">
        <v>3.68736040446745E-9</v>
      </c>
      <c r="AR31">
        <f t="shared" si="8"/>
        <v>3.6783230740067369E-5</v>
      </c>
      <c r="AT31" s="1">
        <v>1.63</v>
      </c>
      <c r="AU31" s="3">
        <v>9975.4910573705693</v>
      </c>
      <c r="AV31" s="17">
        <v>1.12066768081244E-7</v>
      </c>
      <c r="AW31">
        <f t="shared" si="9"/>
        <v>1.1179210428228711E-3</v>
      </c>
    </row>
    <row r="32" spans="1:49" x14ac:dyDescent="0.3">
      <c r="A32" s="1">
        <v>1.79</v>
      </c>
      <c r="B32" s="16">
        <v>11617.3688631109</v>
      </c>
      <c r="C32" s="17">
        <v>1.1372003221454899E-5</v>
      </c>
      <c r="D32">
        <f t="shared" si="0"/>
        <v>0.132112756136127</v>
      </c>
      <c r="F32" s="1">
        <v>1.79</v>
      </c>
      <c r="G32" s="3">
        <v>11617.3688631109</v>
      </c>
      <c r="H32" s="16">
        <v>0</v>
      </c>
      <c r="I32" s="17">
        <f t="shared" si="1"/>
        <v>0</v>
      </c>
      <c r="K32" s="1">
        <v>1.79</v>
      </c>
      <c r="L32" s="3">
        <v>11617.3688631109</v>
      </c>
      <c r="M32" s="16">
        <v>0</v>
      </c>
      <c r="N32">
        <f t="shared" si="2"/>
        <v>0</v>
      </c>
      <c r="O32" s="17"/>
      <c r="P32" s="1">
        <v>1.79</v>
      </c>
      <c r="Q32" s="3">
        <v>11617.3688631109</v>
      </c>
      <c r="R32" s="17">
        <v>3.10000715987363E-6</v>
      </c>
      <c r="S32">
        <f t="shared" si="3"/>
        <v>3.601392665453676E-2</v>
      </c>
      <c r="U32" s="1">
        <v>1.79</v>
      </c>
      <c r="V32" s="3">
        <v>11617.3688631109</v>
      </c>
      <c r="W32" s="17">
        <v>1.71530695301258E-7</v>
      </c>
      <c r="X32">
        <f t="shared" si="4"/>
        <v>1.9927353586605976E-3</v>
      </c>
      <c r="Z32" s="1">
        <v>1.79</v>
      </c>
      <c r="AA32" s="3">
        <v>11617.3688631109</v>
      </c>
      <c r="AB32" s="16">
        <v>0</v>
      </c>
      <c r="AC32">
        <f t="shared" si="5"/>
        <v>0</v>
      </c>
      <c r="AE32" s="1">
        <v>1.79</v>
      </c>
      <c r="AF32" s="3">
        <v>11617.3688631109</v>
      </c>
      <c r="AG32" s="16">
        <v>0</v>
      </c>
      <c r="AH32">
        <f t="shared" si="6"/>
        <v>0</v>
      </c>
      <c r="AJ32" s="1">
        <v>1.79</v>
      </c>
      <c r="AK32" s="3">
        <v>11617.3688631109</v>
      </c>
      <c r="AL32" s="17">
        <v>9.8402738813209993E-7</v>
      </c>
      <c r="AM32">
        <f t="shared" si="7"/>
        <v>1.1431809139334202E-2</v>
      </c>
      <c r="AO32" s="1">
        <v>1.79</v>
      </c>
      <c r="AP32" s="3">
        <v>11617.3688631109</v>
      </c>
      <c r="AQ32" s="17">
        <v>3.1475196185884699E-9</v>
      </c>
      <c r="AR32">
        <f t="shared" si="8"/>
        <v>3.6565896413020384E-5</v>
      </c>
      <c r="AT32" s="1">
        <v>1.79</v>
      </c>
      <c r="AU32" s="3">
        <v>11617.3688631109</v>
      </c>
      <c r="AV32" s="17">
        <v>6.4402025253145196E-7</v>
      </c>
      <c r="AW32">
        <f t="shared" si="9"/>
        <v>7.4818208289717083E-3</v>
      </c>
    </row>
    <row r="33" spans="1:49" x14ac:dyDescent="0.3">
      <c r="A33" s="1">
        <v>1.97</v>
      </c>
      <c r="B33" s="16">
        <v>12313.7895579264</v>
      </c>
      <c r="C33" s="17">
        <v>1.00238912274787E-5</v>
      </c>
      <c r="D33">
        <f t="shared" si="0"/>
        <v>0.12343208712671727</v>
      </c>
      <c r="F33" s="1">
        <v>1.97</v>
      </c>
      <c r="G33" s="3">
        <v>12313.7895579264</v>
      </c>
      <c r="H33" s="16">
        <v>0</v>
      </c>
      <c r="I33" s="17">
        <f t="shared" si="1"/>
        <v>0</v>
      </c>
      <c r="K33" s="1">
        <v>1.97</v>
      </c>
      <c r="L33" s="3">
        <v>12313.7895579264</v>
      </c>
      <c r="M33" s="16">
        <v>0</v>
      </c>
      <c r="N33">
        <f t="shared" si="2"/>
        <v>0</v>
      </c>
      <c r="O33" s="17"/>
      <c r="P33" s="1">
        <v>1.97</v>
      </c>
      <c r="Q33" s="3">
        <v>12313.7895579264</v>
      </c>
      <c r="R33" s="17">
        <v>4.2012797270467898E-6</v>
      </c>
      <c r="S33">
        <f t="shared" si="3"/>
        <v>5.1733674432836642E-2</v>
      </c>
      <c r="U33" s="1">
        <v>1.97</v>
      </c>
      <c r="V33" s="3">
        <v>12313.7895579264</v>
      </c>
      <c r="W33" s="17">
        <v>3.0694604279197202E-7</v>
      </c>
      <c r="X33">
        <f t="shared" si="4"/>
        <v>3.7796689765786152E-3</v>
      </c>
      <c r="Z33" s="1">
        <v>1.97</v>
      </c>
      <c r="AA33" s="3">
        <v>12313.7895579264</v>
      </c>
      <c r="AB33" s="17">
        <v>1.62149378084246E-12</v>
      </c>
      <c r="AC33">
        <f t="shared" si="5"/>
        <v>1.9966733186780483E-8</v>
      </c>
      <c r="AE33" s="1">
        <v>1.97</v>
      </c>
      <c r="AF33" s="3">
        <v>12313.7895579264</v>
      </c>
      <c r="AG33" s="16">
        <v>0</v>
      </c>
      <c r="AH33">
        <f t="shared" si="6"/>
        <v>0</v>
      </c>
      <c r="AJ33" s="1">
        <v>1.97</v>
      </c>
      <c r="AK33" s="3">
        <v>12313.7895579264</v>
      </c>
      <c r="AL33" s="17">
        <v>9.6039489086853598E-7</v>
      </c>
      <c r="AM33">
        <f t="shared" si="7"/>
        <v>1.1826100578662842E-2</v>
      </c>
      <c r="AO33" s="1">
        <v>1.97</v>
      </c>
      <c r="AP33" s="3">
        <v>12313.7895579264</v>
      </c>
      <c r="AQ33" s="17">
        <v>2.8385016279678398E-9</v>
      </c>
      <c r="AR33">
        <f t="shared" si="8"/>
        <v>3.4952711706627477E-5</v>
      </c>
      <c r="AT33" s="1">
        <v>1.97</v>
      </c>
      <c r="AU33" s="3">
        <v>12313.7895579264</v>
      </c>
      <c r="AV33" s="17">
        <v>1.76806793466925E-6</v>
      </c>
      <c r="AW33">
        <f t="shared" si="9"/>
        <v>2.1771616471634708E-2</v>
      </c>
    </row>
    <row r="34" spans="1:49" x14ac:dyDescent="0.3">
      <c r="A34" s="1">
        <v>2.1800000000000002</v>
      </c>
      <c r="B34" s="16">
        <v>17709.825136215699</v>
      </c>
      <c r="C34" s="17">
        <v>8.9550306205874795E-6</v>
      </c>
      <c r="D34">
        <f t="shared" si="0"/>
        <v>0.15859202638006142</v>
      </c>
      <c r="F34" s="1">
        <v>2.1800000000000002</v>
      </c>
      <c r="G34" s="3">
        <v>17709.825136215699</v>
      </c>
      <c r="H34" s="16">
        <v>0</v>
      </c>
      <c r="I34" s="17">
        <f t="shared" si="1"/>
        <v>0</v>
      </c>
      <c r="K34" s="1">
        <v>2.1800000000000002</v>
      </c>
      <c r="L34" s="3">
        <v>17709.825136215699</v>
      </c>
      <c r="M34" s="16">
        <v>0</v>
      </c>
      <c r="N34">
        <f t="shared" si="2"/>
        <v>0</v>
      </c>
      <c r="O34" s="17"/>
      <c r="P34" s="1">
        <v>2.1800000000000002</v>
      </c>
      <c r="Q34" s="3">
        <v>17709.825136215699</v>
      </c>
      <c r="R34" s="17">
        <v>4.9786485979925499E-6</v>
      </c>
      <c r="S34">
        <f t="shared" si="3"/>
        <v>8.8170996085113515E-2</v>
      </c>
      <c r="U34" s="1">
        <v>2.1800000000000002</v>
      </c>
      <c r="V34" s="3">
        <v>17709.825136215699</v>
      </c>
      <c r="W34" s="17">
        <v>7.3361479514525E-7</v>
      </c>
      <c r="X34">
        <f t="shared" si="4"/>
        <v>1.2992189739363079E-2</v>
      </c>
      <c r="Z34" s="1">
        <v>2.1800000000000002</v>
      </c>
      <c r="AA34" s="3">
        <v>17709.825136215699</v>
      </c>
      <c r="AB34" s="17">
        <v>3.0335348091523098E-12</v>
      </c>
      <c r="AC34">
        <f t="shared" si="5"/>
        <v>5.3723371014710871E-8</v>
      </c>
      <c r="AE34" s="1">
        <v>2.1800000000000002</v>
      </c>
      <c r="AF34" s="3">
        <v>17709.825136215699</v>
      </c>
      <c r="AG34" s="16">
        <v>0</v>
      </c>
      <c r="AH34">
        <f t="shared" si="6"/>
        <v>0</v>
      </c>
      <c r="AJ34" s="1">
        <v>2.1800000000000002</v>
      </c>
      <c r="AK34" s="3">
        <v>17709.825136215699</v>
      </c>
      <c r="AL34" s="17">
        <v>9.3017058339769395E-7</v>
      </c>
      <c r="AM34">
        <f t="shared" si="7"/>
        <v>1.64731583788249E-2</v>
      </c>
      <c r="AO34" s="1">
        <v>2.1800000000000002</v>
      </c>
      <c r="AP34" s="3">
        <v>17709.825136215699</v>
      </c>
      <c r="AQ34" s="17">
        <v>2.5835609471305101E-9</v>
      </c>
      <c r="AR34">
        <f t="shared" si="8"/>
        <v>4.5754412602437144E-5</v>
      </c>
      <c r="AT34" s="1">
        <v>2.1800000000000002</v>
      </c>
      <c r="AU34" s="3">
        <v>17709.825136215699</v>
      </c>
      <c r="AV34" s="17">
        <v>7.2096459304748297E-6</v>
      </c>
      <c r="AW34">
        <f t="shared" si="9"/>
        <v>0.12768156872273836</v>
      </c>
    </row>
    <row r="35" spans="1:49" x14ac:dyDescent="0.3">
      <c r="A35" s="1">
        <v>2.4</v>
      </c>
      <c r="B35" s="16">
        <v>17745.7313102023</v>
      </c>
      <c r="C35" s="17">
        <v>7.2047841147423801E-6</v>
      </c>
      <c r="D35">
        <f t="shared" si="0"/>
        <v>0.12785416304823202</v>
      </c>
      <c r="F35" s="1">
        <v>2.4</v>
      </c>
      <c r="G35" s="3">
        <v>17745.7313102023</v>
      </c>
      <c r="H35" s="16">
        <v>0</v>
      </c>
      <c r="I35" s="17">
        <f t="shared" si="1"/>
        <v>0</v>
      </c>
      <c r="K35" s="1">
        <v>2.4</v>
      </c>
      <c r="L35" s="3">
        <v>17745.7313102023</v>
      </c>
      <c r="M35" s="16">
        <v>0</v>
      </c>
      <c r="N35">
        <f t="shared" si="2"/>
        <v>0</v>
      </c>
      <c r="O35" s="17"/>
      <c r="P35" s="1">
        <v>2.4</v>
      </c>
      <c r="Q35" s="3">
        <v>17745.7313102023</v>
      </c>
      <c r="R35" s="17">
        <v>1.00533793084752E-5</v>
      </c>
      <c r="S35">
        <f t="shared" si="3"/>
        <v>0.17840456796774831</v>
      </c>
      <c r="U35" s="1">
        <v>2.4</v>
      </c>
      <c r="V35" s="3">
        <v>17745.7313102023</v>
      </c>
      <c r="W35" s="17">
        <v>1.2925111828386899E-6</v>
      </c>
      <c r="X35">
        <f t="shared" si="4"/>
        <v>2.2936556166087148E-2</v>
      </c>
      <c r="Z35" s="1">
        <v>2.4</v>
      </c>
      <c r="AA35" s="3">
        <v>17745.7313102023</v>
      </c>
      <c r="AB35" s="17">
        <v>2.9265054012131399E-11</v>
      </c>
      <c r="AC35">
        <f t="shared" si="5"/>
        <v>5.1932978527784162E-7</v>
      </c>
      <c r="AE35" s="1">
        <v>2.4</v>
      </c>
      <c r="AF35" s="3">
        <v>17745.7313102023</v>
      </c>
      <c r="AG35" s="16">
        <v>0</v>
      </c>
      <c r="AH35">
        <f t="shared" si="6"/>
        <v>0</v>
      </c>
      <c r="AJ35" s="1">
        <v>2.4</v>
      </c>
      <c r="AK35" s="3">
        <v>17745.7313102023</v>
      </c>
      <c r="AL35" s="17">
        <v>9.0649397736694302E-7</v>
      </c>
      <c r="AM35">
        <f t="shared" si="7"/>
        <v>1.6086398556670375E-2</v>
      </c>
      <c r="AO35" s="1">
        <v>2.4</v>
      </c>
      <c r="AP35" s="3">
        <v>17745.7313102023</v>
      </c>
      <c r="AQ35" s="17">
        <v>2.26255891113216E-9</v>
      </c>
      <c r="AR35">
        <f t="shared" si="8"/>
        <v>4.0150762510455195E-5</v>
      </c>
      <c r="AT35" s="1">
        <v>2.4</v>
      </c>
      <c r="AU35" s="3">
        <v>17745.7313102023</v>
      </c>
      <c r="AV35" s="17">
        <v>1.7312627478235102E-5</v>
      </c>
      <c r="AW35">
        <f t="shared" si="9"/>
        <v>0.30722523550238534</v>
      </c>
    </row>
    <row r="36" spans="1:49" x14ac:dyDescent="0.3">
      <c r="A36" s="1">
        <v>2.64</v>
      </c>
      <c r="B36" s="16">
        <v>14488.202972065999</v>
      </c>
      <c r="C36" s="17">
        <v>6.1173693210459397E-6</v>
      </c>
      <c r="D36">
        <f t="shared" si="0"/>
        <v>8.8629688378403154E-2</v>
      </c>
      <c r="F36" s="1">
        <v>2.64</v>
      </c>
      <c r="G36" s="3">
        <v>14488.202972065999</v>
      </c>
      <c r="H36" s="16">
        <v>0</v>
      </c>
      <c r="I36" s="17">
        <f t="shared" si="1"/>
        <v>0</v>
      </c>
      <c r="K36" s="1">
        <v>2.64</v>
      </c>
      <c r="L36" s="3">
        <v>14488.202972065999</v>
      </c>
      <c r="M36" s="16">
        <v>0</v>
      </c>
      <c r="N36">
        <f t="shared" si="2"/>
        <v>0</v>
      </c>
      <c r="O36" s="17"/>
      <c r="P36" s="1">
        <v>2.64</v>
      </c>
      <c r="Q36" s="3">
        <v>14488.202972065999</v>
      </c>
      <c r="R36" s="17">
        <v>1.37281843057214E-5</v>
      </c>
      <c r="S36">
        <f t="shared" si="3"/>
        <v>0.19889672065922259</v>
      </c>
      <c r="U36" s="1">
        <v>2.64</v>
      </c>
      <c r="V36" s="3">
        <v>14488.202972065999</v>
      </c>
      <c r="W36" s="17">
        <v>1.8035080912152601E-6</v>
      </c>
      <c r="X36">
        <f t="shared" si="4"/>
        <v>2.6129591287290008E-2</v>
      </c>
      <c r="Z36" s="1">
        <v>2.64</v>
      </c>
      <c r="AA36" s="3">
        <v>14488.202972065999</v>
      </c>
      <c r="AB36" s="17">
        <v>4.8260292055667999E-11</v>
      </c>
      <c r="AC36">
        <f t="shared" si="5"/>
        <v>6.9920490679370219E-7</v>
      </c>
      <c r="AE36" s="1">
        <v>2.64</v>
      </c>
      <c r="AF36" s="3">
        <v>14488.202972065999</v>
      </c>
      <c r="AG36" s="16">
        <v>0</v>
      </c>
      <c r="AH36">
        <f t="shared" si="6"/>
        <v>0</v>
      </c>
      <c r="AJ36" s="1">
        <v>2.64</v>
      </c>
      <c r="AK36" s="3">
        <v>14488.202972065999</v>
      </c>
      <c r="AL36" s="17">
        <v>8.7720575595527503E-7</v>
      </c>
      <c r="AM36">
        <f t="shared" si="7"/>
        <v>1.2709135040544618E-2</v>
      </c>
      <c r="AO36" s="1">
        <v>2.64</v>
      </c>
      <c r="AP36" s="3">
        <v>14488.202972065999</v>
      </c>
      <c r="AQ36" s="17">
        <v>1.9864815374005802E-9</v>
      </c>
      <c r="AR36">
        <f t="shared" si="8"/>
        <v>2.878054771412132E-5</v>
      </c>
      <c r="AT36" s="1">
        <v>2.64</v>
      </c>
      <c r="AU36" s="3">
        <v>14488.202972065999</v>
      </c>
      <c r="AV36" s="17">
        <v>1.8755135880858099E-5</v>
      </c>
      <c r="AW36">
        <f t="shared" si="9"/>
        <v>0.27172821541054998</v>
      </c>
    </row>
    <row r="37" spans="1:49" x14ac:dyDescent="0.3">
      <c r="A37" s="1">
        <v>2.91</v>
      </c>
      <c r="B37" s="16">
        <v>15709.624712501</v>
      </c>
      <c r="C37" s="17">
        <v>4.9491259701850798E-6</v>
      </c>
      <c r="D37">
        <f t="shared" si="0"/>
        <v>7.774891164650001E-2</v>
      </c>
      <c r="F37" s="1">
        <v>2.91</v>
      </c>
      <c r="G37" s="3">
        <v>15709.624712501</v>
      </c>
      <c r="H37" s="16">
        <v>0</v>
      </c>
      <c r="I37" s="17">
        <f t="shared" si="1"/>
        <v>0</v>
      </c>
      <c r="K37" s="1">
        <v>2.91</v>
      </c>
      <c r="L37" s="3">
        <v>15709.624712501</v>
      </c>
      <c r="M37" s="16">
        <v>0</v>
      </c>
      <c r="N37">
        <f t="shared" si="2"/>
        <v>0</v>
      </c>
      <c r="O37" s="17"/>
      <c r="P37" s="1">
        <v>2.91</v>
      </c>
      <c r="Q37" s="3">
        <v>15709.624712501</v>
      </c>
      <c r="R37" s="17">
        <v>1.9712794888931899E-5</v>
      </c>
      <c r="S37">
        <f t="shared" si="3"/>
        <v>0.30968060973962797</v>
      </c>
      <c r="U37" s="1">
        <v>2.91</v>
      </c>
      <c r="V37" s="3">
        <v>15709.624712501</v>
      </c>
      <c r="W37" s="17">
        <v>3.1804308244156099E-6</v>
      </c>
      <c r="X37">
        <f t="shared" si="4"/>
        <v>4.996337467563939E-2</v>
      </c>
      <c r="Z37" s="1">
        <v>2.91</v>
      </c>
      <c r="AA37" s="3">
        <v>15709.624712501</v>
      </c>
      <c r="AB37" s="17">
        <v>2.7642733624600802E-10</v>
      </c>
      <c r="AC37">
        <f t="shared" si="5"/>
        <v>4.3425697127011112E-6</v>
      </c>
      <c r="AE37" s="1">
        <v>2.91</v>
      </c>
      <c r="AF37" s="3">
        <v>15709.624712501</v>
      </c>
      <c r="AG37" s="16">
        <v>0</v>
      </c>
      <c r="AH37">
        <f t="shared" si="6"/>
        <v>0</v>
      </c>
      <c r="AJ37" s="1">
        <v>2.91</v>
      </c>
      <c r="AK37" s="3">
        <v>15709.624712501</v>
      </c>
      <c r="AL37" s="17">
        <v>8.6380546791600199E-7</v>
      </c>
      <c r="AM37">
        <f t="shared" si="7"/>
        <v>1.3570059725566715E-2</v>
      </c>
      <c r="AO37" s="1">
        <v>2.91</v>
      </c>
      <c r="AP37" s="3">
        <v>15709.624712501</v>
      </c>
      <c r="AQ37" s="17">
        <v>1.57263428039761E-9</v>
      </c>
      <c r="AR37">
        <f t="shared" si="8"/>
        <v>2.470549435506052E-5</v>
      </c>
      <c r="AT37" s="1">
        <v>2.91</v>
      </c>
      <c r="AU37" s="3">
        <v>15709.624712501</v>
      </c>
      <c r="AV37" s="17">
        <v>2.2590488574144601E-5</v>
      </c>
      <c r="AW37">
        <f t="shared" si="9"/>
        <v>0.35488809757185347</v>
      </c>
    </row>
    <row r="38" spans="1:49" x14ac:dyDescent="0.3">
      <c r="A38" s="1">
        <v>3.21</v>
      </c>
      <c r="B38" s="16">
        <v>18539.060333722198</v>
      </c>
      <c r="C38" s="17">
        <v>4.1888244397017904E-6</v>
      </c>
      <c r="D38">
        <f t="shared" si="0"/>
        <v>7.7656869015001573E-2</v>
      </c>
      <c r="F38" s="1">
        <v>3.21</v>
      </c>
      <c r="G38" s="3">
        <v>18539.060333722198</v>
      </c>
      <c r="H38" s="17">
        <v>1.9228333694907701E-13</v>
      </c>
      <c r="I38" s="17">
        <f t="shared" si="1"/>
        <v>3.5647523848683735E-9</v>
      </c>
      <c r="K38" s="1">
        <v>3.21</v>
      </c>
      <c r="L38" s="3">
        <v>18539.060333722198</v>
      </c>
      <c r="M38" s="17">
        <v>2.98403342993714E-11</v>
      </c>
      <c r="N38">
        <f t="shared" si="2"/>
        <v>5.5321175795448631E-7</v>
      </c>
      <c r="O38" s="17"/>
      <c r="P38" s="1">
        <v>3.21</v>
      </c>
      <c r="Q38" s="3">
        <v>18539.060333722198</v>
      </c>
      <c r="R38" s="17">
        <v>2.46092944570132E-5</v>
      </c>
      <c r="S38">
        <f t="shared" si="3"/>
        <v>0.456233194708903</v>
      </c>
      <c r="U38" s="1">
        <v>3.21</v>
      </c>
      <c r="V38" s="3">
        <v>18539.060333722198</v>
      </c>
      <c r="W38" s="17">
        <v>4.0604573679075699E-6</v>
      </c>
      <c r="X38">
        <f t="shared" si="4"/>
        <v>7.5277064126145266E-2</v>
      </c>
      <c r="Z38" s="1">
        <v>3.21</v>
      </c>
      <c r="AA38" s="3">
        <v>18539.060333722198</v>
      </c>
      <c r="AB38" s="17">
        <v>4.6310946331083299E-10</v>
      </c>
      <c r="AC38">
        <f t="shared" si="5"/>
        <v>8.5856142814372401E-6</v>
      </c>
      <c r="AE38" s="1">
        <v>3.21</v>
      </c>
      <c r="AF38" s="3">
        <v>18539.060333722198</v>
      </c>
      <c r="AG38" s="16">
        <v>0</v>
      </c>
      <c r="AH38">
        <f t="shared" si="6"/>
        <v>0</v>
      </c>
      <c r="AJ38" s="1">
        <v>3.21</v>
      </c>
      <c r="AK38" s="3">
        <v>18539.060333722198</v>
      </c>
      <c r="AL38" s="17">
        <v>8.4828510760349305E-7</v>
      </c>
      <c r="AM38">
        <f t="shared" si="7"/>
        <v>1.5726408790059185E-2</v>
      </c>
      <c r="AO38" s="1">
        <v>3.21</v>
      </c>
      <c r="AP38" s="3">
        <v>18539.060333722198</v>
      </c>
      <c r="AQ38" s="17">
        <v>1.2413625686126101E-9</v>
      </c>
      <c r="AR38">
        <f t="shared" si="8"/>
        <v>2.3013695555533541E-5</v>
      </c>
      <c r="AT38" s="1">
        <v>3.21</v>
      </c>
      <c r="AU38" s="3">
        <v>18539.060333722198</v>
      </c>
      <c r="AV38" s="17">
        <v>3.4285808046755499E-5</v>
      </c>
      <c r="AW38">
        <f t="shared" si="9"/>
        <v>0.63562666396921819</v>
      </c>
    </row>
    <row r="39" spans="1:49" x14ac:dyDescent="0.3">
      <c r="A39" s="1">
        <v>3.54</v>
      </c>
      <c r="B39" s="16">
        <v>19231.603860069499</v>
      </c>
      <c r="C39" s="17">
        <v>3.3048442219039801E-6</v>
      </c>
      <c r="D39">
        <f t="shared" si="0"/>
        <v>6.3557454894896961E-2</v>
      </c>
      <c r="F39" s="1">
        <v>3.54</v>
      </c>
      <c r="G39" s="3">
        <v>19231.603860069499</v>
      </c>
      <c r="H39" s="17">
        <v>1.1113727481438599E-12</v>
      </c>
      <c r="I39" s="17">
        <f t="shared" si="1"/>
        <v>2.1373480433179505E-8</v>
      </c>
      <c r="K39" s="1">
        <v>3.54</v>
      </c>
      <c r="L39" s="3">
        <v>19231.603860069499</v>
      </c>
      <c r="M39" s="17">
        <v>7.2453933172006095E-10</v>
      </c>
      <c r="N39">
        <f t="shared" si="2"/>
        <v>1.39340534086797E-5</v>
      </c>
      <c r="O39" s="17"/>
      <c r="P39" s="1">
        <v>3.54</v>
      </c>
      <c r="Q39" s="3">
        <v>19231.603860069499</v>
      </c>
      <c r="R39" s="17">
        <v>3.4861796942933402E-5</v>
      </c>
      <c r="S39">
        <f t="shared" si="3"/>
        <v>0.67044826865667706</v>
      </c>
      <c r="U39" s="1">
        <v>3.54</v>
      </c>
      <c r="V39" s="3">
        <v>19231.603860069499</v>
      </c>
      <c r="W39" s="17">
        <v>5.3038774422666496E-6</v>
      </c>
      <c r="X39">
        <f t="shared" si="4"/>
        <v>0.10200206989203084</v>
      </c>
      <c r="Z39" s="1">
        <v>3.54</v>
      </c>
      <c r="AA39" s="3">
        <v>19231.603860069499</v>
      </c>
      <c r="AB39" s="17">
        <v>2.4558743895755902E-9</v>
      </c>
      <c r="AC39">
        <f t="shared" si="5"/>
        <v>4.7230403390407747E-5</v>
      </c>
      <c r="AE39" s="1">
        <v>3.54</v>
      </c>
      <c r="AF39" s="3">
        <v>19231.603860069499</v>
      </c>
      <c r="AG39" s="16">
        <v>0</v>
      </c>
      <c r="AH39">
        <f t="shared" si="6"/>
        <v>0</v>
      </c>
      <c r="AJ39" s="1">
        <v>3.54</v>
      </c>
      <c r="AK39" s="3">
        <v>19231.603860069499</v>
      </c>
      <c r="AL39" s="17">
        <v>8.2073183103448503E-7</v>
      </c>
      <c r="AM39">
        <f t="shared" si="7"/>
        <v>1.5783989449804709E-2</v>
      </c>
      <c r="AO39" s="1">
        <v>3.54</v>
      </c>
      <c r="AP39" s="3">
        <v>19231.603860069499</v>
      </c>
      <c r="AQ39" s="17">
        <v>9.2099555238773899E-10</v>
      </c>
      <c r="AR39">
        <f t="shared" si="8"/>
        <v>1.771222162040688E-5</v>
      </c>
      <c r="AT39" s="1">
        <v>3.54</v>
      </c>
      <c r="AU39" s="3">
        <v>19231.603860069499</v>
      </c>
      <c r="AV39" s="17">
        <v>4.0956249895859098E-5</v>
      </c>
      <c r="AW39">
        <f t="shared" si="9"/>
        <v>0.78765437359117485</v>
      </c>
    </row>
    <row r="40" spans="1:49" x14ac:dyDescent="0.3">
      <c r="A40" s="1">
        <v>3.9</v>
      </c>
      <c r="B40" s="16">
        <v>18619.9680264204</v>
      </c>
      <c r="C40" s="17">
        <v>2.6902766366012302E-6</v>
      </c>
      <c r="D40">
        <f t="shared" si="0"/>
        <v>5.0092864955740717E-2</v>
      </c>
      <c r="F40" s="1">
        <v>3.9</v>
      </c>
      <c r="G40" s="3">
        <v>18619.9680264204</v>
      </c>
      <c r="H40" s="17">
        <v>2.6683296894200202E-10</v>
      </c>
      <c r="I40" s="17">
        <f t="shared" si="1"/>
        <v>4.9684213500949053E-6</v>
      </c>
      <c r="K40" s="1">
        <v>3.9</v>
      </c>
      <c r="L40" s="3">
        <v>18619.9680264204</v>
      </c>
      <c r="M40" s="17">
        <v>2.1433205088848501E-9</v>
      </c>
      <c r="N40">
        <f t="shared" si="2"/>
        <v>3.9908559345807009E-5</v>
      </c>
      <c r="O40" s="17"/>
      <c r="P40" s="1">
        <v>3.9</v>
      </c>
      <c r="Q40" s="3">
        <v>18619.9680264204</v>
      </c>
      <c r="R40" s="17">
        <v>3.9338394179371403E-5</v>
      </c>
      <c r="S40">
        <f t="shared" si="3"/>
        <v>0.73247964183061787</v>
      </c>
      <c r="U40" s="1">
        <v>3.9</v>
      </c>
      <c r="V40" s="3">
        <v>18619.9680264204</v>
      </c>
      <c r="W40" s="17">
        <v>6.4564072346025804E-6</v>
      </c>
      <c r="X40">
        <f t="shared" si="4"/>
        <v>0.1202180962738494</v>
      </c>
      <c r="Z40" s="1">
        <v>3.9</v>
      </c>
      <c r="AA40" s="3">
        <v>18619.9680264204</v>
      </c>
      <c r="AB40" s="17">
        <v>5.9645228448937099E-9</v>
      </c>
      <c r="AC40">
        <f t="shared" si="5"/>
        <v>1.1105922466477492E-4</v>
      </c>
      <c r="AE40" s="1">
        <v>3.9</v>
      </c>
      <c r="AF40" s="3">
        <v>18619.9680264204</v>
      </c>
      <c r="AG40" s="17">
        <v>6.3476408294712398E-11</v>
      </c>
      <c r="AH40">
        <f t="shared" si="6"/>
        <v>1.1819286928795516E-6</v>
      </c>
      <c r="AJ40" s="1">
        <v>3.9</v>
      </c>
      <c r="AK40" s="3">
        <v>18619.9680264204</v>
      </c>
      <c r="AL40" s="17">
        <v>8.0102011307636399E-7</v>
      </c>
      <c r="AM40">
        <f t="shared" si="7"/>
        <v>1.4914968894001551E-2</v>
      </c>
      <c r="AO40" s="1">
        <v>3.9</v>
      </c>
      <c r="AP40" s="3">
        <v>18619.9680264204</v>
      </c>
      <c r="AQ40" s="17">
        <v>7.2088115545147401E-10</v>
      </c>
      <c r="AR40">
        <f t="shared" si="8"/>
        <v>1.342278406535544E-5</v>
      </c>
      <c r="AT40" s="1">
        <v>3.9</v>
      </c>
      <c r="AU40" s="3">
        <v>18619.9680264204</v>
      </c>
      <c r="AV40" s="17">
        <v>4.3223896259180298E-5</v>
      </c>
      <c r="AW40">
        <f t="shared" si="9"/>
        <v>0.80482756632324948</v>
      </c>
    </row>
    <row r="41" spans="1:49" x14ac:dyDescent="0.3">
      <c r="A41" s="1">
        <v>4.3</v>
      </c>
      <c r="B41" s="16">
        <v>20506.981550889599</v>
      </c>
      <c r="C41" s="17">
        <v>2.1080351108213599E-6</v>
      </c>
      <c r="D41">
        <f t="shared" si="0"/>
        <v>4.3229437126241138E-2</v>
      </c>
      <c r="F41" s="1">
        <v>4.3</v>
      </c>
      <c r="G41" s="3">
        <v>20506.981550889599</v>
      </c>
      <c r="H41" s="17">
        <v>2.11406621892001E-8</v>
      </c>
      <c r="I41" s="17">
        <f t="shared" si="1"/>
        <v>4.3353116948751579E-4</v>
      </c>
      <c r="K41" s="1">
        <v>4.3</v>
      </c>
      <c r="L41" s="3">
        <v>20506.981550889599</v>
      </c>
      <c r="M41" s="17">
        <v>3.8101096598138801E-9</v>
      </c>
      <c r="N41">
        <f t="shared" si="2"/>
        <v>7.8133848500669485E-5</v>
      </c>
      <c r="O41" s="17"/>
      <c r="P41" s="1">
        <v>4.3</v>
      </c>
      <c r="Q41" s="3">
        <v>20506.981550889599</v>
      </c>
      <c r="R41" s="17">
        <v>4.5035881571201501E-5</v>
      </c>
      <c r="S41">
        <f t="shared" si="3"/>
        <v>0.92354999250867809</v>
      </c>
      <c r="U41" s="1">
        <v>4.3</v>
      </c>
      <c r="V41" s="3">
        <v>20506.981550889599</v>
      </c>
      <c r="W41" s="17">
        <v>8.8854778138166708E-6</v>
      </c>
      <c r="X41">
        <f t="shared" si="4"/>
        <v>0.18221432959877731</v>
      </c>
      <c r="Z41" s="1">
        <v>4.3</v>
      </c>
      <c r="AA41" s="3">
        <v>20506.981550889599</v>
      </c>
      <c r="AB41" s="17">
        <v>1.0430075424389399E-8</v>
      </c>
      <c r="AC41">
        <f t="shared" si="5"/>
        <v>2.1388936430234042E-4</v>
      </c>
      <c r="AE41" s="1">
        <v>4.3</v>
      </c>
      <c r="AF41" s="3">
        <v>20506.981550889599</v>
      </c>
      <c r="AG41" s="17">
        <v>3.9427586472382801E-10</v>
      </c>
      <c r="AH41">
        <f t="shared" si="6"/>
        <v>8.0854078838525849E-6</v>
      </c>
      <c r="AJ41" s="1">
        <v>4.3</v>
      </c>
      <c r="AK41" s="3">
        <v>20506.981550889599</v>
      </c>
      <c r="AL41" s="17">
        <v>7.8415586108882297E-7</v>
      </c>
      <c r="AM41">
        <f t="shared" si="7"/>
        <v>1.6080669776370439E-2</v>
      </c>
      <c r="AO41" s="1">
        <v>4.3</v>
      </c>
      <c r="AP41" s="3">
        <v>20506.981550889599</v>
      </c>
      <c r="AQ41" s="17">
        <v>6.2986885331544698E-10</v>
      </c>
      <c r="AR41">
        <f t="shared" si="8"/>
        <v>1.2916708954419859E-5</v>
      </c>
      <c r="AT41" s="1">
        <v>4.3</v>
      </c>
      <c r="AU41" s="3">
        <v>20506.981550889599</v>
      </c>
      <c r="AV41" s="17">
        <v>6.9492373992453805E-5</v>
      </c>
      <c r="AW41">
        <f t="shared" si="9"/>
        <v>1.4250788313907703</v>
      </c>
    </row>
    <row r="42" spans="1:49" x14ac:dyDescent="0.3">
      <c r="A42" s="1">
        <v>4.7300000000000004</v>
      </c>
      <c r="B42" s="16">
        <v>15926.9199045558</v>
      </c>
      <c r="C42" s="17">
        <v>1.71509873202892E-6</v>
      </c>
      <c r="D42">
        <f t="shared" si="0"/>
        <v>2.7316240133429818E-2</v>
      </c>
      <c r="F42" s="1">
        <v>4.7300000000000004</v>
      </c>
      <c r="G42" s="3">
        <v>15926.9199045558</v>
      </c>
      <c r="H42" s="17">
        <v>2.90398630954835E-7</v>
      </c>
      <c r="I42" s="17">
        <f t="shared" si="1"/>
        <v>4.6251557356103154E-3</v>
      </c>
      <c r="K42" s="1">
        <v>4.7300000000000004</v>
      </c>
      <c r="L42" s="3">
        <v>15926.9199045558</v>
      </c>
      <c r="M42" s="17">
        <v>8.7199798084281894E-9</v>
      </c>
      <c r="N42">
        <f t="shared" si="2"/>
        <v>1.388824199781796E-4</v>
      </c>
      <c r="O42" s="17"/>
      <c r="P42" s="1">
        <v>4.7300000000000004</v>
      </c>
      <c r="Q42" s="3">
        <v>15926.9199045558</v>
      </c>
      <c r="R42" s="17">
        <v>5.1292867729337199E-5</v>
      </c>
      <c r="S42">
        <f t="shared" si="3"/>
        <v>0.81693739600012849</v>
      </c>
      <c r="U42" s="1">
        <v>4.7300000000000004</v>
      </c>
      <c r="V42" s="3">
        <v>15926.9199045558</v>
      </c>
      <c r="W42" s="17">
        <v>1.1116869814101499E-5</v>
      </c>
      <c r="X42">
        <f t="shared" si="4"/>
        <v>0.17705749511856869</v>
      </c>
      <c r="Z42" s="1">
        <v>4.7300000000000004</v>
      </c>
      <c r="AA42" s="3">
        <v>15926.9199045558</v>
      </c>
      <c r="AB42" s="17">
        <v>2.8405366728440899E-8</v>
      </c>
      <c r="AC42">
        <f t="shared" si="5"/>
        <v>4.5241000074341243E-4</v>
      </c>
      <c r="AE42" s="1">
        <v>4.7300000000000004</v>
      </c>
      <c r="AF42" s="3">
        <v>15926.9199045558</v>
      </c>
      <c r="AG42" s="17">
        <v>2.58541550638576E-8</v>
      </c>
      <c r="AH42">
        <f t="shared" si="6"/>
        <v>4.1177705690202573E-4</v>
      </c>
      <c r="AJ42" s="1">
        <v>4.7300000000000004</v>
      </c>
      <c r="AK42" s="3">
        <v>15926.9199045558</v>
      </c>
      <c r="AL42" s="17">
        <v>7.8415586108882297E-7</v>
      </c>
      <c r="AM42">
        <f t="shared" si="7"/>
        <v>1.2489187592249667E-2</v>
      </c>
      <c r="AO42" s="1">
        <v>4.7300000000000004</v>
      </c>
      <c r="AP42" s="3">
        <v>15926.9199045558</v>
      </c>
      <c r="AQ42" s="17">
        <v>5.66274977303178E-10</v>
      </c>
      <c r="AR42">
        <f t="shared" si="8"/>
        <v>9.0190162074618688E-6</v>
      </c>
      <c r="AT42" s="1">
        <v>4.7300000000000004</v>
      </c>
      <c r="AU42" s="3">
        <v>15926.9199045558</v>
      </c>
      <c r="AV42" s="17">
        <v>6.5092202247913396E-5</v>
      </c>
      <c r="AW42">
        <f t="shared" si="9"/>
        <v>1.0367182916136637</v>
      </c>
    </row>
    <row r="43" spans="1:49" x14ac:dyDescent="0.3">
      <c r="A43" s="1">
        <v>5.22</v>
      </c>
      <c r="B43" s="16">
        <v>19967.695012785302</v>
      </c>
      <c r="C43" s="17">
        <v>1.31622155708229E-6</v>
      </c>
      <c r="D43">
        <f t="shared" si="0"/>
        <v>2.6281910621072546E-2</v>
      </c>
      <c r="F43" s="1">
        <v>5.22</v>
      </c>
      <c r="G43" s="3">
        <v>19967.695012785302</v>
      </c>
      <c r="H43" s="17">
        <v>1.7618610499984101E-6</v>
      </c>
      <c r="I43" s="17">
        <f t="shared" si="1"/>
        <v>3.5180304101273929E-2</v>
      </c>
      <c r="K43" s="1">
        <v>5.22</v>
      </c>
      <c r="L43" s="3">
        <v>19967.695012785302</v>
      </c>
      <c r="M43" s="17">
        <v>8.0488347837744199E-8</v>
      </c>
      <c r="N43">
        <f t="shared" si="2"/>
        <v>1.6071667817070534E-3</v>
      </c>
      <c r="O43" s="17"/>
      <c r="P43" s="1">
        <v>5.22</v>
      </c>
      <c r="Q43" s="3">
        <v>19967.695012785302</v>
      </c>
      <c r="R43" s="17">
        <v>5.6249635215436501E-5</v>
      </c>
      <c r="S43">
        <f t="shared" si="3"/>
        <v>1.123175560562264</v>
      </c>
      <c r="U43" s="1">
        <v>5.22</v>
      </c>
      <c r="V43" s="3">
        <v>19967.695012785302</v>
      </c>
      <c r="W43" s="17">
        <v>1.2958785129248701E-5</v>
      </c>
      <c r="X43">
        <f t="shared" si="4"/>
        <v>0.2587570691970556</v>
      </c>
      <c r="Z43" s="1">
        <v>5.22</v>
      </c>
      <c r="AA43" s="3">
        <v>19967.695012785302</v>
      </c>
      <c r="AB43" s="17">
        <v>6.3545228068305806E-8</v>
      </c>
      <c r="AC43">
        <f t="shared" si="5"/>
        <v>1.2688517335858144E-3</v>
      </c>
      <c r="AE43" s="1">
        <v>5.22</v>
      </c>
      <c r="AF43" s="3">
        <v>19967.695012785302</v>
      </c>
      <c r="AG43" s="17">
        <v>1.11819220651184E-7</v>
      </c>
      <c r="AH43">
        <f t="shared" si="6"/>
        <v>2.2327720945301858E-3</v>
      </c>
      <c r="AJ43" s="1">
        <v>5.22</v>
      </c>
      <c r="AK43" s="3">
        <v>19967.695012785302</v>
      </c>
      <c r="AL43" s="17">
        <v>7.9168843810600995E-7</v>
      </c>
      <c r="AM43">
        <f t="shared" si="7"/>
        <v>1.5808193277249159E-2</v>
      </c>
      <c r="AO43" s="1">
        <v>5.22</v>
      </c>
      <c r="AP43" s="3">
        <v>19967.695012785302</v>
      </c>
      <c r="AQ43" s="17">
        <v>5.42078977859146E-10</v>
      </c>
      <c r="AR43">
        <f t="shared" si="8"/>
        <v>1.0824067702733824E-5</v>
      </c>
      <c r="AT43" s="1">
        <v>5.22</v>
      </c>
      <c r="AU43" s="3">
        <v>19967.695012785302</v>
      </c>
      <c r="AV43" s="17">
        <v>5.6187366859622097E-5</v>
      </c>
      <c r="AW43">
        <f t="shared" si="9"/>
        <v>1.1219322050244143</v>
      </c>
    </row>
    <row r="44" spans="1:49" x14ac:dyDescent="0.3">
      <c r="A44" s="1">
        <v>5.75</v>
      </c>
      <c r="B44" s="16">
        <v>17699.581467578198</v>
      </c>
      <c r="C44" s="17">
        <v>1.07350570878946E-6</v>
      </c>
      <c r="D44">
        <f t="shared" si="0"/>
        <v>1.9000601748629324E-2</v>
      </c>
      <c r="F44" s="1">
        <v>5.75</v>
      </c>
      <c r="G44" s="3">
        <v>17699.581467578198</v>
      </c>
      <c r="H44" s="17">
        <v>8.9623976255131208E-6</v>
      </c>
      <c r="I44" s="17">
        <f t="shared" si="1"/>
        <v>0.15863068691759888</v>
      </c>
      <c r="K44" s="1">
        <v>5.75</v>
      </c>
      <c r="L44" s="3">
        <v>17699.581467578198</v>
      </c>
      <c r="M44" s="17">
        <v>1.09503036444202E-6</v>
      </c>
      <c r="N44">
        <f t="shared" si="2"/>
        <v>1.9381579144913379E-2</v>
      </c>
      <c r="O44" s="17"/>
      <c r="P44" s="1">
        <v>5.75</v>
      </c>
      <c r="Q44" s="3">
        <v>17699.581467578198</v>
      </c>
      <c r="R44" s="17">
        <v>6.4711175016917596E-5</v>
      </c>
      <c r="S44">
        <f t="shared" si="3"/>
        <v>1.145360714074644</v>
      </c>
      <c r="U44" s="1">
        <v>5.75</v>
      </c>
      <c r="V44" s="3">
        <v>17699.581467578198</v>
      </c>
      <c r="W44" s="17">
        <v>1.42778161891206E-5</v>
      </c>
      <c r="X44">
        <f t="shared" si="4"/>
        <v>0.25271137081844697</v>
      </c>
      <c r="Z44" s="1">
        <v>5.75</v>
      </c>
      <c r="AA44" s="3">
        <v>17699.581467578198</v>
      </c>
      <c r="AB44" s="17">
        <v>1.3525791349922E-7</v>
      </c>
      <c r="AC44">
        <f t="shared" si="5"/>
        <v>2.3940084591140892E-3</v>
      </c>
      <c r="AE44" s="1">
        <v>5.75</v>
      </c>
      <c r="AF44" s="3">
        <v>17699.581467578198</v>
      </c>
      <c r="AG44" s="17">
        <v>6.6574449289433303E-7</v>
      </c>
      <c r="AH44">
        <f t="shared" si="6"/>
        <v>1.1783398888574782E-2</v>
      </c>
      <c r="AJ44" s="1">
        <v>5.75</v>
      </c>
      <c r="AK44" s="3">
        <v>17699.581467578198</v>
      </c>
      <c r="AL44" s="17">
        <v>7.9956382613135904E-7</v>
      </c>
      <c r="AM44">
        <f t="shared" si="7"/>
        <v>1.415194507914052E-2</v>
      </c>
      <c r="AO44" s="1">
        <v>5.75</v>
      </c>
      <c r="AP44" s="3">
        <v>17699.581467578198</v>
      </c>
      <c r="AQ44" s="17">
        <v>5.3351402230373696E-10</v>
      </c>
      <c r="AR44">
        <f t="shared" si="8"/>
        <v>9.4429749018603241E-6</v>
      </c>
      <c r="AT44" s="1">
        <v>5.75</v>
      </c>
      <c r="AU44" s="3">
        <v>17699.581467578198</v>
      </c>
      <c r="AV44" s="17">
        <v>5.9979707427124099E-5</v>
      </c>
      <c r="AW44">
        <f t="shared" si="9"/>
        <v>1.0616157180078882</v>
      </c>
    </row>
    <row r="45" spans="1:49" x14ac:dyDescent="0.3">
      <c r="A45" s="1">
        <v>6.34</v>
      </c>
      <c r="B45" s="16">
        <v>17078.554260149602</v>
      </c>
      <c r="C45" s="17">
        <v>8.1508986600570595E-7</v>
      </c>
      <c r="D45">
        <f t="shared" si="0"/>
        <v>1.3920556503476518E-2</v>
      </c>
      <c r="F45" s="1">
        <v>6.34</v>
      </c>
      <c r="G45" s="3">
        <v>17078.554260149602</v>
      </c>
      <c r="H45" s="17">
        <v>2.79826424296229E-5</v>
      </c>
      <c r="I45" s="17">
        <f t="shared" si="1"/>
        <v>0.47790307707667917</v>
      </c>
      <c r="K45" s="1">
        <v>6.34</v>
      </c>
      <c r="L45" s="3">
        <v>17078.554260149602</v>
      </c>
      <c r="M45" s="17">
        <v>8.1002668164306596E-6</v>
      </c>
      <c r="N45">
        <f t="shared" si="2"/>
        <v>0.1383408463461003</v>
      </c>
      <c r="O45" s="17"/>
      <c r="P45" s="1">
        <v>6.34</v>
      </c>
      <c r="Q45" s="3">
        <v>17078.554260149602</v>
      </c>
      <c r="R45" s="17">
        <v>7.3358641029283296E-5</v>
      </c>
      <c r="S45">
        <f t="shared" si="3"/>
        <v>1.2528595312694517</v>
      </c>
      <c r="U45" s="1">
        <v>6.34</v>
      </c>
      <c r="V45" s="3">
        <v>17078.554260149602</v>
      </c>
      <c r="W45" s="17">
        <v>1.50849841881447E-5</v>
      </c>
      <c r="X45">
        <f t="shared" si="4"/>
        <v>0.25762972097072806</v>
      </c>
      <c r="Z45" s="1">
        <v>6.34</v>
      </c>
      <c r="AA45" s="3">
        <v>17078.554260149602</v>
      </c>
      <c r="AB45" s="17">
        <v>2.3819455605505E-7</v>
      </c>
      <c r="AC45">
        <f t="shared" si="5"/>
        <v>4.0680186500584173E-3</v>
      </c>
      <c r="AE45" s="1">
        <v>6.34</v>
      </c>
      <c r="AF45" s="3">
        <v>17078.554260149602</v>
      </c>
      <c r="AG45" s="17">
        <v>2.4561447310664699E-6</v>
      </c>
      <c r="AH45">
        <f t="shared" si="6"/>
        <v>4.1947401060299254E-2</v>
      </c>
      <c r="AJ45" s="1">
        <v>6.34</v>
      </c>
      <c r="AK45" s="3">
        <v>17078.554260149602</v>
      </c>
      <c r="AL45" s="17">
        <v>8.1149349479603203E-7</v>
      </c>
      <c r="AM45">
        <f t="shared" si="7"/>
        <v>1.3859135682632461E-2</v>
      </c>
      <c r="AO45" s="1">
        <v>6.34</v>
      </c>
      <c r="AP45" s="3">
        <v>17078.554260149602</v>
      </c>
      <c r="AQ45" s="17">
        <v>5.3832767436374004E-10</v>
      </c>
      <c r="AR45">
        <f t="shared" si="8"/>
        <v>9.1938583963612803E-6</v>
      </c>
      <c r="AT45" s="1">
        <v>6.34</v>
      </c>
      <c r="AU45" s="3">
        <v>17078.554260149602</v>
      </c>
      <c r="AV45" s="17">
        <v>7.3114568899368903E-5</v>
      </c>
      <c r="AW45">
        <f t="shared" si="9"/>
        <v>1.2486911321553185</v>
      </c>
    </row>
    <row r="46" spans="1:49" x14ac:dyDescent="0.3">
      <c r="A46" s="1">
        <v>6.98</v>
      </c>
      <c r="B46" s="16">
        <v>17112.3453499266</v>
      </c>
      <c r="C46" s="17">
        <v>5.69915712467363E-7</v>
      </c>
      <c r="D46">
        <f t="shared" si="0"/>
        <v>9.7525944920909841E-3</v>
      </c>
      <c r="F46" s="1">
        <v>6.98</v>
      </c>
      <c r="G46" s="3">
        <v>17112.3453499266</v>
      </c>
      <c r="H46" s="17">
        <v>4.2077613234253E-5</v>
      </c>
      <c r="I46" s="17">
        <f t="shared" si="1"/>
        <v>0.72004664916517924</v>
      </c>
      <c r="K46" s="1">
        <v>6.98</v>
      </c>
      <c r="L46" s="3">
        <v>17112.3453499266</v>
      </c>
      <c r="M46" s="17">
        <v>3.8537563664868003E-5</v>
      </c>
      <c r="N46">
        <f t="shared" si="2"/>
        <v>0.65946809837800424</v>
      </c>
      <c r="O46" s="17"/>
      <c r="P46" s="1">
        <v>6.98</v>
      </c>
      <c r="Q46" s="3">
        <v>17112.3453499266</v>
      </c>
      <c r="R46" s="17">
        <v>7.6647131834044305E-5</v>
      </c>
      <c r="S46">
        <f t="shared" si="3"/>
        <v>1.3116121900255191</v>
      </c>
      <c r="U46" s="1">
        <v>6.98</v>
      </c>
      <c r="V46" s="3">
        <v>17112.3453499266</v>
      </c>
      <c r="W46" s="17">
        <v>1.55081438448059E-5</v>
      </c>
      <c r="X46">
        <f t="shared" si="4"/>
        <v>0.26538071320865708</v>
      </c>
      <c r="Z46" s="1">
        <v>6.98</v>
      </c>
      <c r="AA46" s="3">
        <v>17112.3453499266</v>
      </c>
      <c r="AB46" s="17">
        <v>4.0011504374748702E-7</v>
      </c>
      <c r="AC46">
        <f t="shared" si="5"/>
        <v>6.8469068083079872E-3</v>
      </c>
      <c r="AE46" s="1">
        <v>6.98</v>
      </c>
      <c r="AF46" s="3">
        <v>17112.3453499266</v>
      </c>
      <c r="AG46" s="17">
        <v>5.0415602374522298E-6</v>
      </c>
      <c r="AH46">
        <f t="shared" si="6"/>
        <v>8.6272919885740512E-2</v>
      </c>
      <c r="AJ46" s="1">
        <v>6.98</v>
      </c>
      <c r="AK46" s="3">
        <v>17112.3453499266</v>
      </c>
      <c r="AL46" s="17">
        <v>8.1668015623420203E-7</v>
      </c>
      <c r="AM46">
        <f t="shared" si="7"/>
        <v>1.3975312873911676E-2</v>
      </c>
      <c r="AO46" s="1">
        <v>6.98</v>
      </c>
      <c r="AP46" s="3">
        <v>17112.3453499266</v>
      </c>
      <c r="AQ46" s="17">
        <v>5.4640372902263902E-10</v>
      </c>
      <c r="AR46">
        <f t="shared" si="8"/>
        <v>9.3502493115231103E-6</v>
      </c>
      <c r="AT46" s="1">
        <v>6.98</v>
      </c>
      <c r="AU46" s="3">
        <v>17112.3453499266</v>
      </c>
      <c r="AV46" s="17">
        <v>7.3751494436474801E-5</v>
      </c>
      <c r="AW46">
        <f t="shared" si="9"/>
        <v>1.2620610428701471</v>
      </c>
    </row>
    <row r="47" spans="1:49" x14ac:dyDescent="0.3">
      <c r="A47" s="1">
        <v>7.7</v>
      </c>
      <c r="B47" s="16">
        <v>14163.1044540291</v>
      </c>
      <c r="C47" s="17">
        <v>2.8046586245152599E-7</v>
      </c>
      <c r="D47">
        <f t="shared" si="0"/>
        <v>3.972267305690321E-3</v>
      </c>
      <c r="F47" s="1">
        <v>7.7</v>
      </c>
      <c r="G47" s="3">
        <v>14163.1044540291</v>
      </c>
      <c r="H47" s="17">
        <v>5.8422774430080601E-5</v>
      </c>
      <c r="I47" s="17">
        <f t="shared" si="1"/>
        <v>0.82744785674741195</v>
      </c>
      <c r="K47" s="1">
        <v>7.7</v>
      </c>
      <c r="L47" s="3">
        <v>14163.1044540291</v>
      </c>
      <c r="M47" s="17">
        <v>9.7905253635319702E-5</v>
      </c>
      <c r="N47">
        <f t="shared" si="2"/>
        <v>1.3866423338352452</v>
      </c>
      <c r="O47" s="17"/>
      <c r="P47" s="1">
        <v>7.7</v>
      </c>
      <c r="Q47" s="3">
        <v>14163.1044540291</v>
      </c>
      <c r="R47" s="17">
        <v>7.82281370286409E-5</v>
      </c>
      <c r="S47">
        <f t="shared" si="3"/>
        <v>1.1079532759807427</v>
      </c>
      <c r="U47" s="1">
        <v>7.7</v>
      </c>
      <c r="V47" s="3">
        <v>14163.1044540291</v>
      </c>
      <c r="W47" s="17">
        <v>1.5636105745282601E-5</v>
      </c>
      <c r="X47">
        <f t="shared" si="4"/>
        <v>0.22145579892468201</v>
      </c>
      <c r="Z47" s="1">
        <v>7.7</v>
      </c>
      <c r="AA47" s="3">
        <v>14163.1044540291</v>
      </c>
      <c r="AB47" s="17">
        <v>5.8164087166334104E-7</v>
      </c>
      <c r="AC47">
        <f t="shared" si="5"/>
        <v>8.2378404201004334E-3</v>
      </c>
      <c r="AE47" s="1">
        <v>7.7</v>
      </c>
      <c r="AF47" s="3">
        <v>14163.1044540291</v>
      </c>
      <c r="AG47" s="17">
        <v>1.06002035761816E-5</v>
      </c>
      <c r="AH47">
        <f t="shared" si="6"/>
        <v>0.15013179048343281</v>
      </c>
      <c r="AJ47" s="1">
        <v>7.7</v>
      </c>
      <c r="AK47" s="3">
        <v>14163.1044540291</v>
      </c>
      <c r="AL47" s="17">
        <v>8.2544380334056499E-7</v>
      </c>
      <c r="AM47">
        <f t="shared" si="7"/>
        <v>1.1690846807643478E-2</v>
      </c>
      <c r="AO47" s="1">
        <v>7.7</v>
      </c>
      <c r="AP47" s="3">
        <v>14163.1044540291</v>
      </c>
      <c r="AQ47" s="17">
        <v>5.7680794276437197E-10</v>
      </c>
      <c r="AR47">
        <f t="shared" si="8"/>
        <v>8.1693911432854389E-6</v>
      </c>
      <c r="AT47" s="1">
        <v>7.7</v>
      </c>
      <c r="AU47" s="3">
        <v>14163.1044540291</v>
      </c>
      <c r="AV47" s="17">
        <v>7.5452029586042501E-5</v>
      </c>
      <c r="AW47">
        <f t="shared" si="9"/>
        <v>1.068634976295614</v>
      </c>
    </row>
    <row r="48" spans="1:49" x14ac:dyDescent="0.3">
      <c r="A48" s="1">
        <v>8.48</v>
      </c>
      <c r="B48" s="16">
        <v>13282.5312120249</v>
      </c>
      <c r="C48" s="17">
        <v>1.55198278843077E-7</v>
      </c>
      <c r="D48">
        <f t="shared" si="0"/>
        <v>2.0614259827857139E-3</v>
      </c>
      <c r="F48" s="1">
        <v>8.48</v>
      </c>
      <c r="G48" s="3">
        <v>13282.5312120249</v>
      </c>
      <c r="H48" s="17">
        <v>7.9340048505383801E-5</v>
      </c>
      <c r="I48" s="17">
        <f t="shared" si="1"/>
        <v>1.0538366706363298</v>
      </c>
      <c r="K48" s="1">
        <v>8.48</v>
      </c>
      <c r="L48" s="3">
        <v>13282.5312120249</v>
      </c>
      <c r="M48" s="16">
        <v>1.7684316219678301E-4</v>
      </c>
      <c r="N48">
        <f t="shared" si="2"/>
        <v>2.348924821511952</v>
      </c>
      <c r="O48" s="17"/>
      <c r="P48" s="1">
        <v>8.48</v>
      </c>
      <c r="Q48" s="3">
        <v>13282.5312120249</v>
      </c>
      <c r="R48" s="17">
        <v>7.9303220560966595E-5</v>
      </c>
      <c r="S48">
        <f t="shared" si="3"/>
        <v>1.0533475023151335</v>
      </c>
      <c r="U48" s="1">
        <v>8.48</v>
      </c>
      <c r="V48" s="3">
        <v>13282.5312120249</v>
      </c>
      <c r="W48" s="17">
        <v>1.5711808179981399E-5</v>
      </c>
      <c r="X48">
        <f t="shared" si="4"/>
        <v>0.20869258254795106</v>
      </c>
      <c r="Z48" s="1">
        <v>8.48</v>
      </c>
      <c r="AA48" s="3">
        <v>13282.5312120249</v>
      </c>
      <c r="AB48" s="17">
        <v>7.5736169431989004E-7</v>
      </c>
      <c r="AC48">
        <f t="shared" si="5"/>
        <v>1.0059680343596E-2</v>
      </c>
      <c r="AE48" s="1">
        <v>8.48</v>
      </c>
      <c r="AF48" s="3">
        <v>13282.5312120249</v>
      </c>
      <c r="AG48" s="17">
        <v>1.6934471566826699E-5</v>
      </c>
      <c r="AH48">
        <f t="shared" si="6"/>
        <v>0.22493264714552383</v>
      </c>
      <c r="AJ48" s="1">
        <v>8.48</v>
      </c>
      <c r="AK48" s="3">
        <v>13282.5312120249</v>
      </c>
      <c r="AL48" s="17">
        <v>8.3837533790898302E-7</v>
      </c>
      <c r="AM48">
        <f t="shared" si="7"/>
        <v>1.1135746593167989E-2</v>
      </c>
      <c r="AO48" s="1">
        <v>8.48</v>
      </c>
      <c r="AP48" s="3">
        <v>13282.5312120249</v>
      </c>
      <c r="AQ48" s="17">
        <v>6.2671764810090804E-10</v>
      </c>
      <c r="AR48">
        <f t="shared" si="8"/>
        <v>8.3243967220271491E-6</v>
      </c>
      <c r="AT48" s="1">
        <v>8.48</v>
      </c>
      <c r="AU48" s="3">
        <v>13282.5312120249</v>
      </c>
      <c r="AV48" s="17">
        <v>7.5844719395195406E-5</v>
      </c>
      <c r="AW48">
        <f t="shared" si="9"/>
        <v>1.0074098526339532</v>
      </c>
    </row>
    <row r="49" spans="1:49" x14ac:dyDescent="0.3">
      <c r="A49" s="1">
        <v>9.35</v>
      </c>
      <c r="B49" s="16">
        <v>15433.6175973641</v>
      </c>
      <c r="C49" s="17">
        <v>1.8359384231674501E-7</v>
      </c>
      <c r="D49">
        <f t="shared" si="0"/>
        <v>2.8335171555474055E-3</v>
      </c>
      <c r="F49" s="1">
        <v>9.35</v>
      </c>
      <c r="G49" s="3">
        <v>15433.6175973641</v>
      </c>
      <c r="H49" s="17">
        <v>9.8491316691604801E-5</v>
      </c>
      <c r="I49" s="17">
        <f t="shared" si="1"/>
        <v>1.5200773184791123</v>
      </c>
      <c r="K49" s="1">
        <v>9.35</v>
      </c>
      <c r="L49" s="3">
        <v>15433.6175973641</v>
      </c>
      <c r="M49" s="16">
        <v>2.84362027903751E-4</v>
      </c>
      <c r="N49">
        <f t="shared" si="2"/>
        <v>4.3887347978774729</v>
      </c>
      <c r="O49" s="17"/>
      <c r="P49" s="1">
        <v>9.35</v>
      </c>
      <c r="Q49" s="3">
        <v>15433.6175973641</v>
      </c>
      <c r="R49" s="17">
        <v>7.9366460768750505E-5</v>
      </c>
      <c r="S49">
        <f t="shared" si="3"/>
        <v>1.2249116055610954</v>
      </c>
      <c r="U49" s="1">
        <v>9.35</v>
      </c>
      <c r="V49" s="3">
        <v>15433.6175973641</v>
      </c>
      <c r="W49" s="17">
        <v>1.57770861353803E-5</v>
      </c>
      <c r="X49">
        <f t="shared" si="4"/>
        <v>0.24349751421413457</v>
      </c>
      <c r="Z49" s="1">
        <v>9.35</v>
      </c>
      <c r="AA49" s="3">
        <v>15433.6175973641</v>
      </c>
      <c r="AB49" s="17">
        <v>1.1094488183497299E-6</v>
      </c>
      <c r="AC49">
        <f t="shared" si="5"/>
        <v>1.71228088062572E-2</v>
      </c>
      <c r="AE49" s="1">
        <v>9.35</v>
      </c>
      <c r="AF49" s="3">
        <v>15433.6175973641</v>
      </c>
      <c r="AG49" s="17">
        <v>2.6371238165134701E-5</v>
      </c>
      <c r="AH49">
        <f t="shared" si="6"/>
        <v>0.40700360540970271</v>
      </c>
      <c r="AJ49" s="1">
        <v>9.35</v>
      </c>
      <c r="AK49" s="3">
        <v>15433.6175973641</v>
      </c>
      <c r="AL49" s="17">
        <v>8.4674577658136203E-7</v>
      </c>
      <c r="AM49">
        <f t="shared" si="7"/>
        <v>1.306835051793984E-2</v>
      </c>
      <c r="AO49" s="1">
        <v>9.35</v>
      </c>
      <c r="AP49" s="3">
        <v>15433.6175973641</v>
      </c>
      <c r="AQ49" s="17">
        <v>6.9293145815473096E-10</v>
      </c>
      <c r="AR49">
        <f t="shared" si="8"/>
        <v>1.0694439146344021E-5</v>
      </c>
      <c r="AT49" s="1">
        <v>9.35</v>
      </c>
      <c r="AU49" s="3">
        <v>15433.6175973641</v>
      </c>
      <c r="AV49" s="17">
        <v>7.7240202701009202E-5</v>
      </c>
      <c r="AW49">
        <f t="shared" si="9"/>
        <v>1.1920957516302657</v>
      </c>
    </row>
    <row r="50" spans="1:49" x14ac:dyDescent="0.3">
      <c r="A50" s="1">
        <v>10.3</v>
      </c>
      <c r="B50" s="16">
        <v>14257.2990872301</v>
      </c>
      <c r="C50" s="17">
        <v>2.4704406601455499E-7</v>
      </c>
      <c r="D50">
        <f t="shared" si="0"/>
        <v>3.5221811368949273E-3</v>
      </c>
      <c r="F50" s="1">
        <v>10.3</v>
      </c>
      <c r="G50" s="3">
        <v>14257.2990872301</v>
      </c>
      <c r="H50" s="16">
        <v>1.1994562296878699E-4</v>
      </c>
      <c r="I50" s="17">
        <f t="shared" si="1"/>
        <v>1.7101006208701326</v>
      </c>
      <c r="K50" s="1">
        <v>10.3</v>
      </c>
      <c r="L50" s="3">
        <v>14257.2990872301</v>
      </c>
      <c r="M50" s="16">
        <v>3.6109358383724601E-4</v>
      </c>
      <c r="N50">
        <f t="shared" si="2"/>
        <v>5.1482192232474127</v>
      </c>
      <c r="O50" s="17"/>
      <c r="P50" s="1">
        <v>10.3</v>
      </c>
      <c r="Q50" s="3">
        <v>14257.2990872301</v>
      </c>
      <c r="R50" s="17">
        <v>7.7532494743018406E-5</v>
      </c>
      <c r="S50">
        <f t="shared" si="3"/>
        <v>1.1054039665303088</v>
      </c>
      <c r="U50" s="1">
        <v>10.3</v>
      </c>
      <c r="V50" s="3">
        <v>14257.2990872301</v>
      </c>
      <c r="W50" s="17">
        <v>1.5856359585479501E-5</v>
      </c>
      <c r="X50">
        <f t="shared" si="4"/>
        <v>0.22606886104484913</v>
      </c>
      <c r="Z50" s="1">
        <v>10.3</v>
      </c>
      <c r="AA50" s="3">
        <v>14257.2990872301</v>
      </c>
      <c r="AB50" s="17">
        <v>1.3410465819196E-6</v>
      </c>
      <c r="AC50">
        <f t="shared" si="5"/>
        <v>1.9119702208335358E-2</v>
      </c>
      <c r="AE50" s="1">
        <v>10.3</v>
      </c>
      <c r="AF50" s="3">
        <v>14257.2990872301</v>
      </c>
      <c r="AG50" s="17">
        <v>3.8781232595786402E-5</v>
      </c>
      <c r="AH50">
        <f t="shared" si="6"/>
        <v>0.55291563208956362</v>
      </c>
      <c r="AJ50" s="1">
        <v>10.3</v>
      </c>
      <c r="AK50" s="3">
        <v>14257.2990872301</v>
      </c>
      <c r="AL50" s="17">
        <v>8.6453020319238301E-7</v>
      </c>
      <c r="AM50">
        <f t="shared" si="7"/>
        <v>1.2325865676857615E-2</v>
      </c>
      <c r="AO50" s="1">
        <v>10.3</v>
      </c>
      <c r="AP50" s="3">
        <v>14257.2990872301</v>
      </c>
      <c r="AQ50" s="17">
        <v>7.8151038053866204E-10</v>
      </c>
      <c r="AR50">
        <f t="shared" si="8"/>
        <v>1.1142227235114715E-5</v>
      </c>
      <c r="AT50" s="1">
        <v>10.3</v>
      </c>
      <c r="AU50" s="3">
        <v>14257.2990872301</v>
      </c>
      <c r="AV50" s="17">
        <v>8.3409228108496204E-5</v>
      </c>
      <c r="AW50">
        <f t="shared" si="9"/>
        <v>1.1891903117778302</v>
      </c>
    </row>
    <row r="51" spans="1:49" x14ac:dyDescent="0.3">
      <c r="A51" s="1">
        <v>11.4</v>
      </c>
      <c r="B51" s="16">
        <v>12647.1962242482</v>
      </c>
      <c r="C51" s="17">
        <v>2.9364749332365298E-7</v>
      </c>
      <c r="D51">
        <f t="shared" si="0"/>
        <v>3.7138174688228528E-3</v>
      </c>
      <c r="F51" s="1">
        <v>11.4</v>
      </c>
      <c r="G51" s="3">
        <v>12647.1962242482</v>
      </c>
      <c r="H51" s="16">
        <v>1.4849379587260301E-4</v>
      </c>
      <c r="I51" s="17">
        <f t="shared" si="1"/>
        <v>1.8780301744842678</v>
      </c>
      <c r="K51" s="1">
        <v>11.4</v>
      </c>
      <c r="L51" s="3">
        <v>12647.1962242482</v>
      </c>
      <c r="M51" s="16">
        <v>4.3130581016707399E-4</v>
      </c>
      <c r="N51">
        <f t="shared" si="2"/>
        <v>5.4548092138413296</v>
      </c>
      <c r="O51" s="17"/>
      <c r="P51" s="1">
        <v>11.4</v>
      </c>
      <c r="Q51" s="3">
        <v>12647.1962242482</v>
      </c>
      <c r="R51" s="17">
        <v>7.6520651418476594E-5</v>
      </c>
      <c r="S51">
        <f t="shared" si="3"/>
        <v>0.96777169369676985</v>
      </c>
      <c r="U51" s="1">
        <v>11.4</v>
      </c>
      <c r="V51" s="3">
        <v>12647.1962242482</v>
      </c>
      <c r="W51" s="17">
        <v>1.5636980034286299E-5</v>
      </c>
      <c r="X51">
        <f t="shared" si="4"/>
        <v>0.1977639548482702</v>
      </c>
      <c r="Z51" s="1">
        <v>11.4</v>
      </c>
      <c r="AA51" s="3">
        <v>12647.1962242482</v>
      </c>
      <c r="AB51" s="17">
        <v>1.6357721639876099E-6</v>
      </c>
      <c r="AC51">
        <f t="shared" si="5"/>
        <v>2.0687931536114409E-2</v>
      </c>
      <c r="AE51" s="1">
        <v>11.4</v>
      </c>
      <c r="AF51" s="3">
        <v>12647.1962242482</v>
      </c>
      <c r="AG51" s="17">
        <v>5.3518100982185197E-5</v>
      </c>
      <c r="AH51">
        <f t="shared" si="6"/>
        <v>0.6768539246708265</v>
      </c>
      <c r="AJ51" s="1">
        <v>11.4</v>
      </c>
      <c r="AK51" s="3">
        <v>12647.1962242482</v>
      </c>
      <c r="AL51" s="17">
        <v>8.7416435143690901E-7</v>
      </c>
      <c r="AM51">
        <f t="shared" si="7"/>
        <v>1.1055728084865253E-2</v>
      </c>
      <c r="AO51" s="1">
        <v>11.4</v>
      </c>
      <c r="AP51" s="3">
        <v>12647.1962242482</v>
      </c>
      <c r="AQ51" s="17">
        <v>8.4728612777798701E-10</v>
      </c>
      <c r="AR51">
        <f t="shared" si="8"/>
        <v>1.0715793916091636E-5</v>
      </c>
      <c r="AT51" s="1">
        <v>11.4</v>
      </c>
      <c r="AU51" s="3">
        <v>12647.1962242482</v>
      </c>
      <c r="AV51" s="17">
        <v>8.8427379501487295E-5</v>
      </c>
      <c r="AW51">
        <f t="shared" si="9"/>
        <v>1.1183584201513728</v>
      </c>
    </row>
    <row r="52" spans="1:49" x14ac:dyDescent="0.3">
      <c r="A52" s="1">
        <v>12.5</v>
      </c>
      <c r="B52" s="16">
        <v>6389.6517886824904</v>
      </c>
      <c r="C52" s="17">
        <v>3.24140108973734E-7</v>
      </c>
      <c r="D52">
        <f t="shared" si="0"/>
        <v>2.0711424270877569E-3</v>
      </c>
      <c r="F52" s="1">
        <v>12.5</v>
      </c>
      <c r="G52" s="3">
        <v>6389.6517886824904</v>
      </c>
      <c r="H52" s="16">
        <v>1.7193711560354601E-4</v>
      </c>
      <c r="I52" s="17">
        <f t="shared" si="1"/>
        <v>1.098618298257106</v>
      </c>
      <c r="K52" s="1">
        <v>12.5</v>
      </c>
      <c r="L52" s="3">
        <v>6389.6517886824904</v>
      </c>
      <c r="M52" s="16">
        <v>4.8915868686591501E-4</v>
      </c>
      <c r="N52">
        <f t="shared" si="2"/>
        <v>3.1255536784823721</v>
      </c>
      <c r="O52" s="17"/>
      <c r="P52" s="1">
        <v>12.5</v>
      </c>
      <c r="Q52" s="3">
        <v>6389.6517886824904</v>
      </c>
      <c r="R52" s="17">
        <v>7.1271714172415802E-5</v>
      </c>
      <c r="S52">
        <f t="shared" si="3"/>
        <v>0.45540143594424382</v>
      </c>
      <c r="U52" s="1">
        <v>12.5</v>
      </c>
      <c r="V52" s="3">
        <v>6389.6517886824904</v>
      </c>
      <c r="W52" s="17">
        <v>1.4839563191793101E-5</v>
      </c>
      <c r="X52">
        <f t="shared" si="4"/>
        <v>9.4819641491707629E-2</v>
      </c>
      <c r="Z52" s="1">
        <v>12.5</v>
      </c>
      <c r="AA52" s="3">
        <v>6389.6517886824904</v>
      </c>
      <c r="AB52" s="17">
        <v>1.80738343881418E-6</v>
      </c>
      <c r="AC52">
        <f t="shared" si="5"/>
        <v>1.1548550822654135E-2</v>
      </c>
      <c r="AE52" s="1">
        <v>12.5</v>
      </c>
      <c r="AF52" s="3">
        <v>6389.6517886824904</v>
      </c>
      <c r="AG52" s="17">
        <v>6.8513510919222605E-5</v>
      </c>
      <c r="AH52">
        <f t="shared" si="6"/>
        <v>0.43777747759392804</v>
      </c>
      <c r="AJ52" s="1">
        <v>12.5</v>
      </c>
      <c r="AK52" s="3">
        <v>6389.6517886824904</v>
      </c>
      <c r="AL52" s="17">
        <v>9.0468388425426296E-7</v>
      </c>
      <c r="AM52">
        <f t="shared" si="7"/>
        <v>5.7806149992174743E-3</v>
      </c>
      <c r="AO52" s="1">
        <v>12.5</v>
      </c>
      <c r="AP52" s="3">
        <v>6389.6517886824904</v>
      </c>
      <c r="AQ52" s="17">
        <v>9.4171082426217402E-10</v>
      </c>
      <c r="AR52">
        <f t="shared" si="8"/>
        <v>6.0172042526684627E-6</v>
      </c>
      <c r="AT52" s="1">
        <v>12.5</v>
      </c>
      <c r="AU52" s="3">
        <v>6389.6517886824904</v>
      </c>
      <c r="AV52" s="17">
        <v>8.3389429250157999E-5</v>
      </c>
      <c r="AW52">
        <f t="shared" si="9"/>
        <v>0.53282941576548404</v>
      </c>
    </row>
    <row r="53" spans="1:49" x14ac:dyDescent="0.3">
      <c r="A53" s="1">
        <v>13.8</v>
      </c>
      <c r="B53" s="16">
        <v>4428.5385184735596</v>
      </c>
      <c r="C53" s="17">
        <v>2.9102767909424102E-7</v>
      </c>
      <c r="D53">
        <f t="shared" si="0"/>
        <v>1.2888272868108086E-3</v>
      </c>
      <c r="F53" s="1">
        <v>13.8</v>
      </c>
      <c r="G53" s="3">
        <v>4428.5385184735596</v>
      </c>
      <c r="H53" s="16">
        <v>1.96578237503524E-4</v>
      </c>
      <c r="I53" s="17">
        <f t="shared" si="1"/>
        <v>0.87055429667799966</v>
      </c>
      <c r="K53" s="1">
        <v>13.8</v>
      </c>
      <c r="L53" s="3">
        <v>4428.5385184735596</v>
      </c>
      <c r="M53" s="16">
        <v>5.2160317877648595E-4</v>
      </c>
      <c r="N53">
        <f t="shared" si="2"/>
        <v>2.3099397685699183</v>
      </c>
      <c r="O53" s="17"/>
      <c r="P53" s="1">
        <v>13.8</v>
      </c>
      <c r="Q53" s="3">
        <v>4428.5385184735596</v>
      </c>
      <c r="R53" s="17">
        <v>6.2928433559490506E-5</v>
      </c>
      <c r="S53">
        <f t="shared" si="3"/>
        <v>0.27868099192540791</v>
      </c>
      <c r="U53" s="1">
        <v>13.8</v>
      </c>
      <c r="V53" s="3">
        <v>4428.5385184735596</v>
      </c>
      <c r="W53" s="17">
        <v>1.27999104994984E-5</v>
      </c>
      <c r="X53">
        <f t="shared" si="4"/>
        <v>5.6684896680042805E-2</v>
      </c>
      <c r="Z53" s="1">
        <v>13.8</v>
      </c>
      <c r="AA53" s="3">
        <v>4428.5385184735596</v>
      </c>
      <c r="AB53" s="17">
        <v>1.89317473225599E-6</v>
      </c>
      <c r="AC53">
        <f t="shared" si="5"/>
        <v>8.3839972239965199E-3</v>
      </c>
      <c r="AE53" s="1">
        <v>13.8</v>
      </c>
      <c r="AF53" s="3">
        <v>4428.5385184735596</v>
      </c>
      <c r="AG53" s="17">
        <v>8.0794234574554997E-5</v>
      </c>
      <c r="AH53">
        <f t="shared" si="6"/>
        <v>0.35780037988400504</v>
      </c>
      <c r="AJ53" s="1">
        <v>13.8</v>
      </c>
      <c r="AK53" s="3">
        <v>4428.5385184735596</v>
      </c>
      <c r="AL53" s="17">
        <v>9.7155195847959E-7</v>
      </c>
      <c r="AM53">
        <f t="shared" si="7"/>
        <v>4.3025552708252889E-3</v>
      </c>
      <c r="AO53" s="1">
        <v>13.8</v>
      </c>
      <c r="AP53" s="3">
        <v>4428.5385184735596</v>
      </c>
      <c r="AQ53" s="17">
        <v>1.02988995620562E-9</v>
      </c>
      <c r="AR53">
        <f t="shared" si="8"/>
        <v>4.560907340845636E-6</v>
      </c>
      <c r="AT53" s="1">
        <v>13.8</v>
      </c>
      <c r="AU53" s="3">
        <v>4428.5385184735596</v>
      </c>
      <c r="AV53" s="17">
        <v>6.6970198673963393E-5</v>
      </c>
      <c r="AW53">
        <f t="shared" si="9"/>
        <v>0.29658010441747379</v>
      </c>
    </row>
    <row r="54" spans="1:49" x14ac:dyDescent="0.3">
      <c r="A54" s="1">
        <v>15.2</v>
      </c>
      <c r="B54" s="16">
        <v>2638.5429261418999</v>
      </c>
      <c r="C54" s="17">
        <v>2.0135051195093E-7</v>
      </c>
      <c r="D54">
        <f t="shared" si="0"/>
        <v>5.312719689831764E-4</v>
      </c>
      <c r="F54" s="1">
        <v>15.2</v>
      </c>
      <c r="G54" s="3">
        <v>2638.5429261418999</v>
      </c>
      <c r="H54" s="16">
        <v>1.9018442202547699E-4</v>
      </c>
      <c r="I54" s="17">
        <f t="shared" si="1"/>
        <v>0.50180976139770805</v>
      </c>
      <c r="K54" s="1">
        <v>15.2</v>
      </c>
      <c r="L54" s="3">
        <v>2638.5429261418999</v>
      </c>
      <c r="M54" s="16">
        <v>4.85863237324205E-4</v>
      </c>
      <c r="N54">
        <f t="shared" si="2"/>
        <v>1.2819710079141842</v>
      </c>
      <c r="O54" s="17"/>
      <c r="P54" s="1">
        <v>15.2</v>
      </c>
      <c r="Q54" s="3">
        <v>2638.5429261418999</v>
      </c>
      <c r="R54" s="17">
        <v>4.06761016465819E-5</v>
      </c>
      <c r="S54">
        <f t="shared" si="3"/>
        <v>0.10732564026261755</v>
      </c>
      <c r="U54" s="1">
        <v>15.2</v>
      </c>
      <c r="V54" s="3">
        <v>2638.5429261418999</v>
      </c>
      <c r="W54" s="17">
        <v>9.7422865339916994E-6</v>
      </c>
      <c r="X54">
        <f t="shared" si="4"/>
        <v>2.5705441218711288E-2</v>
      </c>
      <c r="Z54" s="1">
        <v>15.2</v>
      </c>
      <c r="AA54" s="3">
        <v>2638.5429261418999</v>
      </c>
      <c r="AB54" s="17">
        <v>1.7434918038345601E-6</v>
      </c>
      <c r="AC54">
        <f t="shared" si="5"/>
        <v>4.6002779657940591E-3</v>
      </c>
      <c r="AE54" s="1">
        <v>15.2</v>
      </c>
      <c r="AF54" s="3">
        <v>2638.5429261418999</v>
      </c>
      <c r="AG54" s="17">
        <v>8.1440588451151406E-5</v>
      </c>
      <c r="AH54">
        <f t="shared" si="6"/>
        <v>0.21488448855861925</v>
      </c>
      <c r="AJ54" s="1">
        <v>15.2</v>
      </c>
      <c r="AK54" s="3">
        <v>2638.5429261418999</v>
      </c>
      <c r="AL54" s="17">
        <v>1.0804785590460201E-6</v>
      </c>
      <c r="AM54">
        <f t="shared" si="7"/>
        <v>2.8508890588188692E-3</v>
      </c>
      <c r="AO54" s="1">
        <v>15.2</v>
      </c>
      <c r="AP54" s="3">
        <v>2638.5429261418999</v>
      </c>
      <c r="AQ54" s="17">
        <v>1.0602728035078E-9</v>
      </c>
      <c r="AR54">
        <f t="shared" si="8"/>
        <v>2.7975753054761462E-6</v>
      </c>
      <c r="AT54" s="1">
        <v>15.2</v>
      </c>
      <c r="AU54" s="3">
        <v>2638.5429261418999</v>
      </c>
      <c r="AV54" s="17">
        <v>5.0652950896378702E-5</v>
      </c>
      <c r="AW54">
        <f t="shared" si="9"/>
        <v>0.13364998527585303</v>
      </c>
    </row>
    <row r="55" spans="1:49" x14ac:dyDescent="0.3">
      <c r="A55" s="1">
        <v>16.7</v>
      </c>
      <c r="B55" s="16">
        <v>1637.7310546102201</v>
      </c>
      <c r="C55" s="17">
        <v>1.03628283697634E-7</v>
      </c>
      <c r="D55">
        <f t="shared" si="0"/>
        <v>1.6971525834757323E-4</v>
      </c>
      <c r="F55" s="1">
        <v>16.7</v>
      </c>
      <c r="G55" s="3">
        <v>1637.7310546102201</v>
      </c>
      <c r="H55" s="16">
        <v>1.43915330968576E-4</v>
      </c>
      <c r="I55" s="17">
        <f t="shared" si="1"/>
        <v>0.23569460676174483</v>
      </c>
      <c r="K55" s="1">
        <v>16.7</v>
      </c>
      <c r="L55" s="3">
        <v>1637.7310546102201</v>
      </c>
      <c r="M55" s="16">
        <v>4.0095337203556903E-4</v>
      </c>
      <c r="N55">
        <f t="shared" si="2"/>
        <v>0.65665378883333636</v>
      </c>
      <c r="O55" s="17"/>
      <c r="P55" s="1">
        <v>16.7</v>
      </c>
      <c r="Q55" s="3">
        <v>1637.7310546102201</v>
      </c>
      <c r="R55" s="17">
        <v>2.40186309163119E-5</v>
      </c>
      <c r="S55">
        <f t="shared" si="3"/>
        <v>3.9336057740865127E-2</v>
      </c>
      <c r="U55" s="1">
        <v>16.7</v>
      </c>
      <c r="V55" s="3">
        <v>1637.7310546102201</v>
      </c>
      <c r="W55" s="17">
        <v>6.7208674086043502E-6</v>
      </c>
      <c r="X55">
        <f t="shared" si="4"/>
        <v>1.100697326898906E-2</v>
      </c>
      <c r="Z55" s="1">
        <v>16.7</v>
      </c>
      <c r="AA55" s="3">
        <v>1637.7310546102201</v>
      </c>
      <c r="AB55" s="17">
        <v>1.3563444275065699E-6</v>
      </c>
      <c r="AC55">
        <f t="shared" si="5"/>
        <v>2.22132738967503E-3</v>
      </c>
      <c r="AE55" s="1">
        <v>16.7</v>
      </c>
      <c r="AF55" s="3">
        <v>1637.7310546102201</v>
      </c>
      <c r="AG55" s="17">
        <v>7.3684341931994107E-5</v>
      </c>
      <c r="AH55">
        <f t="shared" si="6"/>
        <v>0.12067513502054478</v>
      </c>
      <c r="AJ55" s="1">
        <v>16.7</v>
      </c>
      <c r="AK55" s="3">
        <v>1637.7310546102201</v>
      </c>
      <c r="AL55" s="17">
        <v>1.1403768646066201E-6</v>
      </c>
      <c r="AM55">
        <f t="shared" si="7"/>
        <v>1.8676306051252961E-3</v>
      </c>
      <c r="AO55" s="1">
        <v>16.7</v>
      </c>
      <c r="AP55" s="3">
        <v>1637.7310546102201</v>
      </c>
      <c r="AQ55" s="17">
        <v>8.9435627377668502E-10</v>
      </c>
      <c r="AR55">
        <f t="shared" si="8"/>
        <v>1.4647150434495572E-6</v>
      </c>
      <c r="AT55" s="1">
        <v>16.7</v>
      </c>
      <c r="AU55" s="3">
        <v>1637.7310546102201</v>
      </c>
      <c r="AV55" s="17">
        <v>3.7840773458709803E-5</v>
      </c>
      <c r="AW55">
        <f t="shared" si="9"/>
        <v>6.1973009823799233E-2</v>
      </c>
    </row>
    <row r="56" spans="1:49" x14ac:dyDescent="0.3">
      <c r="A56" s="1">
        <v>18.5</v>
      </c>
      <c r="B56" s="16">
        <v>1933.72508400776</v>
      </c>
      <c r="C56" s="17">
        <v>4.6288003153776001E-8</v>
      </c>
      <c r="D56">
        <f t="shared" si="0"/>
        <v>8.9508272787086957E-5</v>
      </c>
      <c r="F56" s="1">
        <v>18.5</v>
      </c>
      <c r="G56" s="3">
        <v>1933.72508400776</v>
      </c>
      <c r="H56" s="16">
        <v>1.04986261796062E-4</v>
      </c>
      <c r="I56" s="17">
        <f t="shared" si="1"/>
        <v>0.20301456791125067</v>
      </c>
      <c r="K56" s="1">
        <v>18.5</v>
      </c>
      <c r="L56" s="3">
        <v>1933.72508400776</v>
      </c>
      <c r="M56" s="16">
        <v>2.8563677682180298E-4</v>
      </c>
      <c r="N56">
        <f t="shared" si="2"/>
        <v>0.5523430002554468</v>
      </c>
      <c r="O56" s="17"/>
      <c r="P56" s="1">
        <v>18.5</v>
      </c>
      <c r="Q56" s="3">
        <v>1933.72508400776</v>
      </c>
      <c r="R56" s="17">
        <v>1.5316778325252E-5</v>
      </c>
      <c r="S56">
        <f t="shared" si="3"/>
        <v>2.9618438453726161E-2</v>
      </c>
      <c r="U56" s="1">
        <v>18.5</v>
      </c>
      <c r="V56" s="3">
        <v>1933.72508400776</v>
      </c>
      <c r="W56" s="17">
        <v>4.4584027894262602E-6</v>
      </c>
      <c r="X56">
        <f t="shared" si="4"/>
        <v>8.6213253085237265E-3</v>
      </c>
      <c r="Z56" s="1">
        <v>18.5</v>
      </c>
      <c r="AA56" s="3">
        <v>1933.72508400776</v>
      </c>
      <c r="AB56" s="17">
        <v>9.2472510444861599E-7</v>
      </c>
      <c r="AC56">
        <f t="shared" si="5"/>
        <v>1.7881641302839846E-3</v>
      </c>
      <c r="AE56" s="1">
        <v>18.5</v>
      </c>
      <c r="AF56" s="3">
        <v>1933.72508400776</v>
      </c>
      <c r="AG56" s="17">
        <v>5.94645566468724E-5</v>
      </c>
      <c r="AH56">
        <f t="shared" si="6"/>
        <v>0.11498810479745754</v>
      </c>
      <c r="AJ56" s="1">
        <v>18.5</v>
      </c>
      <c r="AK56" s="3">
        <v>1933.72508400776</v>
      </c>
      <c r="AL56" s="17">
        <v>1.1650777742309199E-6</v>
      </c>
      <c r="AM56">
        <f t="shared" si="7"/>
        <v>2.2529401168502597E-3</v>
      </c>
      <c r="AO56" s="1">
        <v>18.5</v>
      </c>
      <c r="AP56" s="3">
        <v>1933.72508400776</v>
      </c>
      <c r="AQ56" s="17">
        <v>6.17449943456097E-10</v>
      </c>
      <c r="AR56">
        <f t="shared" si="8"/>
        <v>1.1939784437802278E-6</v>
      </c>
      <c r="AT56" s="1">
        <v>18.5</v>
      </c>
      <c r="AU56" s="3">
        <v>1933.72508400776</v>
      </c>
      <c r="AV56" s="17">
        <v>2.6563343749278699E-5</v>
      </c>
      <c r="AW56">
        <f t="shared" si="9"/>
        <v>5.1366204123100959E-2</v>
      </c>
    </row>
    <row r="57" spans="1:49" x14ac:dyDescent="0.3">
      <c r="A57" s="1">
        <v>20.3</v>
      </c>
      <c r="B57" s="16">
        <v>709.11620430894902</v>
      </c>
      <c r="C57" s="17">
        <v>2.3092651360866299E-8</v>
      </c>
      <c r="D57">
        <f t="shared" si="0"/>
        <v>1.6375373280447396E-5</v>
      </c>
      <c r="F57" s="1">
        <v>20.3</v>
      </c>
      <c r="G57" s="3">
        <v>709.11620430894902</v>
      </c>
      <c r="H57" s="17">
        <v>8.4508708051010006E-5</v>
      </c>
      <c r="I57" s="17">
        <f t="shared" si="1"/>
        <v>5.9926494284185339E-2</v>
      </c>
      <c r="K57" s="1">
        <v>20.3</v>
      </c>
      <c r="L57" s="3">
        <v>709.11620430894902</v>
      </c>
      <c r="M57" s="16">
        <v>1.9751832577774201E-4</v>
      </c>
      <c r="N57">
        <f t="shared" si="2"/>
        <v>0.14006344545697086</v>
      </c>
      <c r="O57" s="17"/>
      <c r="P57" s="1">
        <v>20.3</v>
      </c>
      <c r="Q57" s="3">
        <v>709.11620430894902</v>
      </c>
      <c r="R57" s="17">
        <v>4.5988279100426597E-6</v>
      </c>
      <c r="S57">
        <f t="shared" si="3"/>
        <v>3.2611033918395079E-3</v>
      </c>
      <c r="U57" s="1">
        <v>20.3</v>
      </c>
      <c r="V57" s="3">
        <v>709.11620430894902</v>
      </c>
      <c r="W57" s="17">
        <v>3.2000570276176701E-6</v>
      </c>
      <c r="X57">
        <f t="shared" si="4"/>
        <v>2.2692122929964197E-3</v>
      </c>
      <c r="Z57" s="1">
        <v>20.3</v>
      </c>
      <c r="AA57" s="3">
        <v>709.11620430894902</v>
      </c>
      <c r="AB57" s="17">
        <v>4.7260230363850098E-7</v>
      </c>
      <c r="AC57">
        <f t="shared" si="5"/>
        <v>3.3512995170379925E-4</v>
      </c>
      <c r="AE57" s="1">
        <v>20.3</v>
      </c>
      <c r="AF57" s="3">
        <v>709.11620430894902</v>
      </c>
      <c r="AG57" s="17">
        <v>5.1061956251118699E-5</v>
      </c>
      <c r="AH57">
        <f t="shared" si="6"/>
        <v>3.6208860601382904E-2</v>
      </c>
      <c r="AJ57" s="1">
        <v>20.3</v>
      </c>
      <c r="AK57" s="3">
        <v>709.11620430894902</v>
      </c>
      <c r="AL57" s="17">
        <v>1.19204153362579E-6</v>
      </c>
      <c r="AM57">
        <f t="shared" si="7"/>
        <v>8.4529596770333861E-4</v>
      </c>
      <c r="AO57" s="1">
        <v>20.3</v>
      </c>
      <c r="AP57" s="3">
        <v>709.11620430894902</v>
      </c>
      <c r="AQ57" s="17">
        <v>4.2000197314939302E-10</v>
      </c>
      <c r="AR57">
        <f t="shared" si="8"/>
        <v>2.9783020500196672E-7</v>
      </c>
      <c r="AT57" s="1">
        <v>20.3</v>
      </c>
      <c r="AU57" s="3">
        <v>709.11620430894902</v>
      </c>
      <c r="AV57" s="17">
        <v>1.9207955807632901E-5</v>
      </c>
      <c r="AW57">
        <f t="shared" si="9"/>
        <v>1.3620672714842677E-2</v>
      </c>
    </row>
    <row r="58" spans="1:49" x14ac:dyDescent="0.3">
      <c r="A58" s="1">
        <v>22.4</v>
      </c>
      <c r="B58" s="16">
        <v>340.51241373624401</v>
      </c>
      <c r="C58" s="17">
        <v>1.1779556497435601E-8</v>
      </c>
      <c r="D58">
        <f t="shared" si="0"/>
        <v>4.0110852156842526E-6</v>
      </c>
      <c r="F58" s="1">
        <v>22.4</v>
      </c>
      <c r="G58" s="3">
        <v>340.51241373624401</v>
      </c>
      <c r="H58" s="17">
        <v>6.3774154826108995E-5</v>
      </c>
      <c r="I58" s="17">
        <f t="shared" si="1"/>
        <v>2.1715891393827309E-2</v>
      </c>
      <c r="K58" s="1">
        <v>22.4</v>
      </c>
      <c r="L58" s="3">
        <v>340.51241373624401</v>
      </c>
      <c r="M58" s="16">
        <v>0</v>
      </c>
      <c r="N58">
        <f t="shared" si="2"/>
        <v>0</v>
      </c>
      <c r="O58" s="17"/>
      <c r="P58" s="1">
        <v>22.4</v>
      </c>
      <c r="Q58" s="3">
        <v>340.51241373624401</v>
      </c>
      <c r="R58" s="16">
        <v>0</v>
      </c>
      <c r="S58">
        <f t="shared" si="3"/>
        <v>0</v>
      </c>
      <c r="U58" s="1">
        <v>22.4</v>
      </c>
      <c r="V58" s="3">
        <v>340.51241373624401</v>
      </c>
      <c r="W58" s="17">
        <v>2.46834304279302E-6</v>
      </c>
      <c r="X58">
        <f t="shared" si="4"/>
        <v>8.4050144743051626E-4</v>
      </c>
      <c r="Z58" s="1">
        <v>22.4</v>
      </c>
      <c r="AA58" s="3">
        <v>340.51241373624401</v>
      </c>
      <c r="AB58" s="16">
        <v>0</v>
      </c>
      <c r="AC58">
        <f t="shared" si="5"/>
        <v>0</v>
      </c>
      <c r="AE58" s="1">
        <v>22.4</v>
      </c>
      <c r="AF58" s="3">
        <v>340.51241373624401</v>
      </c>
      <c r="AG58" s="16">
        <v>0</v>
      </c>
      <c r="AH58">
        <f t="shared" si="6"/>
        <v>0</v>
      </c>
      <c r="AJ58" s="1">
        <v>22.4</v>
      </c>
      <c r="AK58" s="3">
        <v>340.51241373624401</v>
      </c>
      <c r="AL58" s="16">
        <v>0</v>
      </c>
      <c r="AM58">
        <f t="shared" si="7"/>
        <v>0</v>
      </c>
      <c r="AO58" s="1">
        <v>22.4</v>
      </c>
      <c r="AP58" s="3">
        <v>340.51241373624401</v>
      </c>
      <c r="AQ58" s="16">
        <v>0</v>
      </c>
      <c r="AR58">
        <f t="shared" si="8"/>
        <v>0</v>
      </c>
      <c r="AT58" s="1">
        <v>22.4</v>
      </c>
      <c r="AU58" s="3">
        <v>340.51241373624401</v>
      </c>
      <c r="AV58" s="16">
        <v>0</v>
      </c>
      <c r="AW58">
        <f t="shared" si="9"/>
        <v>0</v>
      </c>
    </row>
    <row r="59" spans="1:49" x14ac:dyDescent="0.3">
      <c r="A59" s="1">
        <v>24.7</v>
      </c>
      <c r="B59" s="16">
        <v>171.91394793677301</v>
      </c>
      <c r="C59" s="17">
        <v>6.2337973646842903E-9</v>
      </c>
      <c r="D59">
        <f t="shared" si="0"/>
        <v>1.0716767156007278E-6</v>
      </c>
      <c r="F59" s="1">
        <v>24.7</v>
      </c>
      <c r="G59" s="3">
        <v>171.91394793677301</v>
      </c>
      <c r="H59" s="17">
        <v>5.5022953433134197E-5</v>
      </c>
      <c r="I59" s="17">
        <f t="shared" si="1"/>
        <v>9.4592131518313177E-3</v>
      </c>
      <c r="K59" s="1">
        <v>24.7</v>
      </c>
      <c r="L59" s="3">
        <v>171.91394793677301</v>
      </c>
      <c r="M59" s="16">
        <v>0</v>
      </c>
      <c r="N59">
        <f t="shared" si="2"/>
        <v>0</v>
      </c>
      <c r="O59" s="17"/>
      <c r="P59" s="1">
        <v>24.7</v>
      </c>
      <c r="Q59" s="3">
        <v>171.91394793677301</v>
      </c>
      <c r="R59" s="16">
        <v>0</v>
      </c>
      <c r="S59">
        <f t="shared" si="3"/>
        <v>0</v>
      </c>
      <c r="U59" s="1">
        <v>24.7</v>
      </c>
      <c r="V59" s="3">
        <v>171.91394793677301</v>
      </c>
      <c r="W59" s="17">
        <v>1.9795297784635799E-6</v>
      </c>
      <c r="X59">
        <f t="shared" si="4"/>
        <v>3.4030877927407972E-4</v>
      </c>
      <c r="Z59" s="1">
        <v>24.7</v>
      </c>
      <c r="AA59" s="3">
        <v>171.91394793677301</v>
      </c>
      <c r="AB59" s="16">
        <v>0</v>
      </c>
      <c r="AC59">
        <f t="shared" si="5"/>
        <v>0</v>
      </c>
      <c r="AE59" s="1">
        <v>24.7</v>
      </c>
      <c r="AF59" s="3">
        <v>171.91394793677301</v>
      </c>
      <c r="AG59" s="16">
        <v>0</v>
      </c>
      <c r="AH59">
        <f t="shared" si="6"/>
        <v>0</v>
      </c>
      <c r="AJ59" s="1">
        <v>24.7</v>
      </c>
      <c r="AK59" s="3">
        <v>171.91394793677301</v>
      </c>
      <c r="AL59" s="16">
        <v>0</v>
      </c>
      <c r="AM59">
        <f t="shared" si="7"/>
        <v>0</v>
      </c>
      <c r="AO59" s="1">
        <v>24.7</v>
      </c>
      <c r="AP59" s="3">
        <v>171.91394793677301</v>
      </c>
      <c r="AQ59" s="16">
        <v>0</v>
      </c>
      <c r="AR59">
        <f t="shared" si="8"/>
        <v>0</v>
      </c>
      <c r="AT59" s="1">
        <v>24.7</v>
      </c>
      <c r="AU59" s="3">
        <v>171.91394793677301</v>
      </c>
      <c r="AV59" s="16">
        <v>0</v>
      </c>
      <c r="AW59">
        <f t="shared" si="9"/>
        <v>0</v>
      </c>
    </row>
    <row r="60" spans="1:49" x14ac:dyDescent="0.3">
      <c r="A60" s="1">
        <v>27.2</v>
      </c>
      <c r="B60" s="16">
        <v>0</v>
      </c>
      <c r="C60" s="17">
        <v>3.6214315183585698E-9</v>
      </c>
      <c r="D60">
        <f t="shared" si="0"/>
        <v>0</v>
      </c>
      <c r="F60" s="1">
        <v>27.2</v>
      </c>
      <c r="G60" s="3">
        <v>0</v>
      </c>
      <c r="H60" s="17">
        <v>4.8729127160101297E-5</v>
      </c>
      <c r="I60" s="17">
        <f t="shared" si="1"/>
        <v>0</v>
      </c>
      <c r="K60" s="1">
        <v>27.2</v>
      </c>
      <c r="L60" s="3">
        <v>0</v>
      </c>
      <c r="M60" s="16">
        <v>0</v>
      </c>
      <c r="N60">
        <f t="shared" si="2"/>
        <v>0</v>
      </c>
      <c r="O60" s="17"/>
      <c r="P60" s="1">
        <v>27.2</v>
      </c>
      <c r="Q60" s="3">
        <v>0</v>
      </c>
      <c r="R60" s="16">
        <v>0</v>
      </c>
      <c r="S60">
        <f t="shared" si="3"/>
        <v>0</v>
      </c>
      <c r="U60" s="1">
        <v>27.2</v>
      </c>
      <c r="V60" s="3">
        <v>0</v>
      </c>
      <c r="W60" s="17">
        <v>1.7302172513322101E-6</v>
      </c>
      <c r="X60">
        <f t="shared" si="4"/>
        <v>0</v>
      </c>
      <c r="Z60" s="1">
        <v>27.2</v>
      </c>
      <c r="AA60" s="3">
        <v>0</v>
      </c>
      <c r="AB60" s="16">
        <v>0</v>
      </c>
      <c r="AC60">
        <f t="shared" si="5"/>
        <v>0</v>
      </c>
      <c r="AE60" s="1">
        <v>27.2</v>
      </c>
      <c r="AF60" s="3">
        <v>0</v>
      </c>
      <c r="AG60" s="16">
        <v>0</v>
      </c>
      <c r="AH60">
        <f t="shared" si="6"/>
        <v>0</v>
      </c>
      <c r="AJ60" s="1">
        <v>27.2</v>
      </c>
      <c r="AK60" s="3">
        <v>0</v>
      </c>
      <c r="AL60" s="16">
        <v>0</v>
      </c>
      <c r="AM60">
        <f t="shared" si="7"/>
        <v>0</v>
      </c>
      <c r="AO60" s="1">
        <v>27.2</v>
      </c>
      <c r="AP60" s="3">
        <v>0</v>
      </c>
      <c r="AQ60" s="16">
        <v>0</v>
      </c>
      <c r="AR60">
        <f t="shared" si="8"/>
        <v>0</v>
      </c>
      <c r="AT60" s="1">
        <v>27.2</v>
      </c>
      <c r="AU60" s="3">
        <v>0</v>
      </c>
      <c r="AV60" s="16">
        <v>0</v>
      </c>
      <c r="AW60">
        <f t="shared" si="9"/>
        <v>0</v>
      </c>
    </row>
    <row r="61" spans="1:49" x14ac:dyDescent="0.3">
      <c r="A61" s="1">
        <v>29</v>
      </c>
      <c r="B61" s="16">
        <v>0</v>
      </c>
      <c r="C61" s="17">
        <v>2.3727822309188901E-9</v>
      </c>
      <c r="D61">
        <f t="shared" si="0"/>
        <v>0</v>
      </c>
      <c r="F61" s="1">
        <v>29</v>
      </c>
      <c r="G61" s="3">
        <v>0</v>
      </c>
      <c r="H61" s="17">
        <v>4.5833977375086503E-5</v>
      </c>
      <c r="I61" s="17">
        <f t="shared" si="1"/>
        <v>0</v>
      </c>
      <c r="K61" s="1">
        <v>29</v>
      </c>
      <c r="L61" s="3">
        <v>0</v>
      </c>
      <c r="M61" s="16">
        <v>0</v>
      </c>
      <c r="N61">
        <f t="shared" si="2"/>
        <v>0</v>
      </c>
      <c r="O61" s="17"/>
      <c r="P61" s="1">
        <v>29</v>
      </c>
      <c r="Q61" s="3">
        <v>0</v>
      </c>
      <c r="R61" s="16">
        <v>0</v>
      </c>
      <c r="S61">
        <f t="shared" si="3"/>
        <v>0</v>
      </c>
      <c r="U61" s="1">
        <v>29</v>
      </c>
      <c r="V61" s="3">
        <v>0</v>
      </c>
      <c r="W61" s="17">
        <v>1.43807109012618E-6</v>
      </c>
      <c r="X61">
        <f t="shared" si="4"/>
        <v>0</v>
      </c>
      <c r="Z61" s="1">
        <v>29</v>
      </c>
      <c r="AA61" s="3">
        <v>0</v>
      </c>
      <c r="AB61" s="16">
        <v>0</v>
      </c>
      <c r="AC61">
        <f t="shared" si="5"/>
        <v>0</v>
      </c>
      <c r="AE61" s="1">
        <v>29</v>
      </c>
      <c r="AF61" s="3">
        <v>0</v>
      </c>
      <c r="AG61" s="16">
        <v>0</v>
      </c>
      <c r="AH61">
        <f t="shared" si="6"/>
        <v>0</v>
      </c>
      <c r="AJ61" s="1">
        <v>29</v>
      </c>
      <c r="AK61" s="3">
        <v>0</v>
      </c>
      <c r="AL61" s="16">
        <v>0</v>
      </c>
      <c r="AM61">
        <f t="shared" si="7"/>
        <v>0</v>
      </c>
      <c r="AO61" s="1">
        <v>29</v>
      </c>
      <c r="AP61" s="3">
        <v>0</v>
      </c>
      <c r="AQ61" s="16">
        <v>0</v>
      </c>
      <c r="AR61">
        <f t="shared" si="8"/>
        <v>0</v>
      </c>
      <c r="AT61" s="1">
        <v>29</v>
      </c>
      <c r="AU61" s="3">
        <v>0</v>
      </c>
      <c r="AV61" s="16">
        <v>0</v>
      </c>
      <c r="AW61">
        <f t="shared" si="9"/>
        <v>0</v>
      </c>
    </row>
    <row r="62" spans="1:49" x14ac:dyDescent="0.3">
      <c r="A62" s="1">
        <v>30</v>
      </c>
      <c r="B62" s="16">
        <v>0</v>
      </c>
      <c r="C62" s="17">
        <v>1.78793069390858E-9</v>
      </c>
      <c r="D62">
        <f t="shared" si="0"/>
        <v>0</v>
      </c>
      <c r="F62" s="1">
        <v>30</v>
      </c>
      <c r="G62" s="3">
        <v>0</v>
      </c>
      <c r="H62" s="17">
        <v>4.0764804268052403E-5</v>
      </c>
      <c r="I62" s="17">
        <f t="shared" si="1"/>
        <v>0</v>
      </c>
      <c r="K62" s="1">
        <v>30</v>
      </c>
      <c r="L62" s="3">
        <v>0</v>
      </c>
      <c r="M62" s="16">
        <v>0</v>
      </c>
      <c r="N62">
        <f t="shared" si="2"/>
        <v>0</v>
      </c>
      <c r="O62" s="17"/>
      <c r="P62" s="1">
        <v>30</v>
      </c>
      <c r="Q62" s="3">
        <v>0</v>
      </c>
      <c r="R62" s="16">
        <v>0</v>
      </c>
      <c r="S62">
        <f t="shared" si="3"/>
        <v>0</v>
      </c>
      <c r="U62" s="1">
        <v>30</v>
      </c>
      <c r="V62" s="3">
        <v>0</v>
      </c>
      <c r="W62" s="17">
        <v>1.2992026490354E-6</v>
      </c>
      <c r="X62">
        <f t="shared" si="4"/>
        <v>0</v>
      </c>
      <c r="Z62" s="1">
        <v>30</v>
      </c>
      <c r="AA62" s="3">
        <v>0</v>
      </c>
      <c r="AB62" s="16">
        <v>0</v>
      </c>
      <c r="AC62">
        <f t="shared" si="5"/>
        <v>0</v>
      </c>
      <c r="AE62" s="1">
        <v>30</v>
      </c>
      <c r="AF62" s="3">
        <v>0</v>
      </c>
      <c r="AG62" s="16">
        <v>0</v>
      </c>
      <c r="AH62">
        <f t="shared" si="6"/>
        <v>0</v>
      </c>
      <c r="AJ62" s="1">
        <v>30</v>
      </c>
      <c r="AK62" s="3">
        <v>0</v>
      </c>
      <c r="AL62" s="16">
        <v>0</v>
      </c>
      <c r="AM62">
        <f t="shared" si="7"/>
        <v>0</v>
      </c>
      <c r="AO62" s="1">
        <v>30</v>
      </c>
      <c r="AP62" s="3">
        <v>0</v>
      </c>
      <c r="AQ62" s="16">
        <v>0</v>
      </c>
      <c r="AR62">
        <f t="shared" si="8"/>
        <v>0</v>
      </c>
      <c r="AT62" s="1">
        <v>30</v>
      </c>
      <c r="AU62" s="3">
        <v>0</v>
      </c>
      <c r="AV62" s="16">
        <v>0</v>
      </c>
      <c r="AW62">
        <f t="shared" si="9"/>
        <v>0</v>
      </c>
    </row>
    <row r="63" spans="1:49" x14ac:dyDescent="0.3">
      <c r="B63" s="17"/>
      <c r="F63" s="17"/>
      <c r="G63" s="17"/>
      <c r="I63" s="17"/>
      <c r="K63" s="17"/>
      <c r="M63" s="17"/>
      <c r="O63" s="17"/>
      <c r="Q63" s="17"/>
    </row>
    <row r="64" spans="1:49" x14ac:dyDescent="0.3">
      <c r="A64" t="s">
        <v>62</v>
      </c>
      <c r="B64" s="17"/>
      <c r="D64">
        <f>SUM(D3:D63)</f>
        <v>33834.665059060761</v>
      </c>
      <c r="F64" s="17"/>
      <c r="G64" s="17"/>
      <c r="I64" s="17">
        <f>SUM(I3:I63)</f>
        <v>11.387110168578321</v>
      </c>
      <c r="K64" s="17"/>
      <c r="M64" s="17"/>
      <c r="N64">
        <f>SUM(N3:N63)</f>
        <v>27.612924182569358</v>
      </c>
      <c r="O64" s="17"/>
      <c r="Q64" s="17"/>
      <c r="S64">
        <f>SUM(S3:S63)</f>
        <v>15.71812079042825</v>
      </c>
      <c r="X64">
        <f>SUM(X3:X63)</f>
        <v>3.1092123131771059</v>
      </c>
      <c r="AC64">
        <f>SUM(AC3:AC63)</f>
        <v>0.11952200585146858</v>
      </c>
      <c r="AH64">
        <f>SUM(AH3:AH63)</f>
        <v>3.4368295825776105</v>
      </c>
      <c r="AM64">
        <f>SUM(AM3:AM63)</f>
        <v>705.63258313038102</v>
      </c>
      <c r="AR64">
        <f>SUM(AR3:AR63)</f>
        <v>11.053170268153774</v>
      </c>
      <c r="AW64">
        <f>SUM(AW3:AW63)</f>
        <v>17.141986510735361</v>
      </c>
    </row>
    <row r="65" spans="1:47" x14ac:dyDescent="0.3">
      <c r="F65" s="17"/>
      <c r="G65" s="17"/>
      <c r="I65" s="17"/>
      <c r="K65" s="17"/>
      <c r="M65" s="17"/>
      <c r="O65" s="17"/>
      <c r="Q65" s="17"/>
    </row>
    <row r="66" spans="1:47" x14ac:dyDescent="0.3">
      <c r="B66" s="17"/>
      <c r="F66" s="17"/>
      <c r="G66" s="17"/>
      <c r="I66" s="17"/>
      <c r="K66" s="17"/>
      <c r="M66" s="17"/>
      <c r="O66" s="17"/>
      <c r="Q66" s="17"/>
    </row>
    <row r="67" spans="1:47" x14ac:dyDescent="0.3">
      <c r="F67" s="17"/>
      <c r="G67" s="17"/>
      <c r="I67" s="17"/>
      <c r="K67" s="17"/>
      <c r="M67" s="17"/>
      <c r="O67" s="17"/>
      <c r="Q67" s="17"/>
    </row>
    <row r="68" spans="1:47" x14ac:dyDescent="0.3">
      <c r="F68" s="17"/>
      <c r="G68" s="17"/>
      <c r="I68" s="17"/>
      <c r="K68" s="17"/>
      <c r="M68" s="17"/>
      <c r="O68" s="17"/>
      <c r="Q68" s="17"/>
    </row>
    <row r="69" spans="1:47" x14ac:dyDescent="0.3">
      <c r="B69" s="17"/>
      <c r="F69" s="17"/>
      <c r="G69" s="17"/>
      <c r="I69" s="17"/>
      <c r="K69" s="17"/>
      <c r="M69" s="17"/>
      <c r="O69" s="17"/>
      <c r="Q69" s="17"/>
    </row>
    <row r="70" spans="1:47" ht="34" x14ac:dyDescent="0.35">
      <c r="A70" s="21" t="s">
        <v>60</v>
      </c>
      <c r="B70" s="17">
        <f>ABS((D64-activity_Ami!D242)/activity_Ami!D242)</f>
        <v>8.1285687041811337E-7</v>
      </c>
      <c r="F70" s="22" t="s">
        <v>60</v>
      </c>
      <c r="G70" s="17">
        <f>ABS((I64-activity_Ami!I242)/activity_Ami!I242)</f>
        <v>0.22919237051291083</v>
      </c>
      <c r="I70" s="17"/>
      <c r="K70" s="22" t="s">
        <v>60</v>
      </c>
      <c r="L70" s="16">
        <f>ABS((N64-activity_Ami!N242)/activity_Ami!N242)</f>
        <v>0.20922492356498745</v>
      </c>
      <c r="M70" s="17"/>
      <c r="O70" s="17"/>
      <c r="P70" s="23" t="s">
        <v>60</v>
      </c>
      <c r="Q70" s="17">
        <f>ABS((S64-activity_Ami!S242)/activity_Ami!S242)</f>
        <v>0.24343228897679106</v>
      </c>
      <c r="U70" s="23" t="s">
        <v>60</v>
      </c>
      <c r="V70" s="17">
        <f>ABS((X64-activity_Ami!X242)/activity_Ami!X242)</f>
        <v>0.24068866422935217</v>
      </c>
      <c r="Z70" s="23" t="s">
        <v>60</v>
      </c>
      <c r="AA70" s="17">
        <f>ABS((AC64-activity_Ami!AC242)/activity_Ami!AC242)</f>
        <v>0.20721812496001044</v>
      </c>
      <c r="AE70" s="23" t="s">
        <v>60</v>
      </c>
      <c r="AF70" s="17">
        <f>ABS((AH64-activity_Ami!AH242)/activity_Ami!AH242)</f>
        <v>0.21216924424919198</v>
      </c>
      <c r="AJ70" s="23" t="s">
        <v>60</v>
      </c>
      <c r="AK70" s="17">
        <f>ABS((AM64-activity_Ami!AM242)/activity_Ami!AM242)</f>
        <v>1.0546533927628691E-2</v>
      </c>
      <c r="AO70" s="23" t="s">
        <v>60</v>
      </c>
      <c r="AP70" s="17">
        <f>ABS((AR64-activity_Ami!AR242)/activity_Ami!AR242)</f>
        <v>5.3862015188052309E-2</v>
      </c>
      <c r="AT70" s="23" t="s">
        <v>60</v>
      </c>
      <c r="AU70" s="17">
        <f>ABS((AW64-activity_Ami!AW242)/activity_Ami!AW242)</f>
        <v>0.24106267783896071</v>
      </c>
    </row>
    <row r="71" spans="1:47" ht="17" x14ac:dyDescent="0.35">
      <c r="A71" s="21"/>
      <c r="B71" s="17"/>
      <c r="F71" s="22"/>
      <c r="G71" s="17"/>
      <c r="I71" s="17"/>
      <c r="K71" s="22"/>
      <c r="L71" s="16"/>
      <c r="M71" s="17"/>
      <c r="O71" s="17"/>
      <c r="P71" s="23"/>
      <c r="Q71" s="17"/>
      <c r="U71" s="23"/>
      <c r="V71" s="17"/>
      <c r="Z71" s="23"/>
      <c r="AA71" s="17"/>
      <c r="AE71" s="23"/>
      <c r="AF71" s="17"/>
      <c r="AJ71" s="23"/>
      <c r="AK71" s="17"/>
      <c r="AO71" s="23"/>
      <c r="AP71" s="17"/>
      <c r="AT71" s="23"/>
      <c r="AU71" s="17"/>
    </row>
    <row r="72" spans="1:47" ht="17" x14ac:dyDescent="0.35">
      <c r="A72" s="21"/>
      <c r="B72" s="17"/>
      <c r="F72" s="22"/>
      <c r="G72" s="17"/>
      <c r="I72" s="17"/>
      <c r="K72" s="22"/>
      <c r="L72" s="16"/>
      <c r="M72" s="17"/>
      <c r="O72" s="17"/>
      <c r="P72" s="23"/>
      <c r="Q72" s="17"/>
      <c r="U72" s="23"/>
      <c r="V72" s="17"/>
      <c r="Z72" s="23"/>
      <c r="AA72" s="17"/>
      <c r="AE72" s="23"/>
      <c r="AF72" s="17"/>
      <c r="AJ72" s="23"/>
      <c r="AK72" s="17"/>
      <c r="AO72" s="23"/>
      <c r="AP72" s="17"/>
      <c r="AT72" s="23"/>
      <c r="AU72" s="17"/>
    </row>
    <row r="73" spans="1:47" ht="17" x14ac:dyDescent="0.35">
      <c r="A73" s="21"/>
      <c r="B73" s="17"/>
      <c r="F73" s="22"/>
      <c r="G73" s="17"/>
      <c r="I73" s="17"/>
      <c r="K73" s="22"/>
      <c r="L73" s="16"/>
      <c r="M73" s="17"/>
      <c r="O73" s="17"/>
      <c r="P73" s="23"/>
      <c r="Q73" s="17"/>
      <c r="U73" s="23"/>
      <c r="V73" s="17"/>
      <c r="Z73" s="23"/>
      <c r="AA73" s="17"/>
      <c r="AE73" s="23"/>
      <c r="AF73" s="17"/>
      <c r="AJ73" s="23"/>
      <c r="AK73" s="17"/>
      <c r="AO73" s="23"/>
      <c r="AP73" s="17"/>
      <c r="AT73" s="23"/>
      <c r="AU73" s="17"/>
    </row>
    <row r="74" spans="1:47" ht="17" x14ac:dyDescent="0.35">
      <c r="A74" s="21"/>
      <c r="B74" s="17"/>
      <c r="F74" s="22"/>
      <c r="G74" s="17"/>
      <c r="I74" s="17"/>
      <c r="K74" s="22"/>
      <c r="L74" s="16"/>
      <c r="M74" s="17"/>
      <c r="O74" s="17"/>
      <c r="P74" s="23"/>
      <c r="Q74" s="17"/>
      <c r="U74" s="23"/>
      <c r="V74" s="17"/>
      <c r="Z74" s="23"/>
      <c r="AA74" s="17"/>
      <c r="AE74" s="23"/>
      <c r="AF74" s="17"/>
      <c r="AJ74" s="23"/>
      <c r="AK74" s="17"/>
      <c r="AO74" s="23"/>
      <c r="AP74" s="17"/>
      <c r="AT74" s="23"/>
      <c r="AU74" s="17"/>
    </row>
    <row r="75" spans="1:47" ht="17" x14ac:dyDescent="0.35">
      <c r="A75" s="21"/>
      <c r="B75" s="17"/>
      <c r="F75" s="22"/>
      <c r="G75" s="17"/>
      <c r="I75" s="17"/>
      <c r="K75" s="22"/>
      <c r="L75" s="16"/>
      <c r="M75" s="17"/>
      <c r="O75" s="17"/>
      <c r="P75" s="23"/>
      <c r="Q75" s="17"/>
      <c r="U75" s="23"/>
      <c r="V75" s="17"/>
      <c r="Z75" s="23"/>
      <c r="AA75" s="17"/>
      <c r="AE75" s="23"/>
      <c r="AF75" s="17"/>
      <c r="AJ75" s="23"/>
      <c r="AK75" s="17"/>
      <c r="AO75" s="23"/>
      <c r="AP75" s="17"/>
      <c r="AT75" s="23"/>
      <c r="AU75" s="17"/>
    </row>
    <row r="76" spans="1:47" ht="17" x14ac:dyDescent="0.35">
      <c r="A76" s="21"/>
      <c r="B76" s="17"/>
      <c r="F76" s="22"/>
      <c r="G76" s="17"/>
      <c r="I76" s="17"/>
      <c r="K76" s="22"/>
      <c r="L76" s="16"/>
      <c r="M76" s="17"/>
      <c r="O76" s="17"/>
      <c r="P76" s="23"/>
      <c r="Q76" s="17"/>
      <c r="U76" s="23"/>
      <c r="V76" s="17"/>
      <c r="Z76" s="23"/>
      <c r="AA76" s="17"/>
      <c r="AE76" s="23"/>
      <c r="AF76" s="17"/>
      <c r="AJ76" s="23"/>
      <c r="AK76" s="17"/>
      <c r="AO76" s="23"/>
      <c r="AP76" s="17"/>
      <c r="AT76" s="23"/>
      <c r="AU76" s="17"/>
    </row>
    <row r="77" spans="1:47" x14ac:dyDescent="0.3">
      <c r="A77" t="s">
        <v>64</v>
      </c>
      <c r="B77" s="17">
        <f>activity_Ami!D242/D64</f>
        <v>0.99999918714379032</v>
      </c>
      <c r="F77" s="17" t="s">
        <v>64</v>
      </c>
      <c r="G77" s="24">
        <f>activity_Ami!I242/I64</f>
        <v>1.2973405578061286</v>
      </c>
      <c r="I77" s="17"/>
      <c r="K77" s="17" t="s">
        <v>64</v>
      </c>
      <c r="L77">
        <f>activity_Ami!N242/N64</f>
        <v>1.2645820914187373</v>
      </c>
      <c r="M77" s="17"/>
      <c r="O77" s="17"/>
      <c r="P77" t="s">
        <v>64</v>
      </c>
      <c r="Q77" s="24">
        <f>activity_Ami!S242/S64</f>
        <v>1.321758760557683</v>
      </c>
      <c r="U77" t="s">
        <v>64</v>
      </c>
      <c r="V77">
        <f>activity_Ami!X242/X64</f>
        <v>1.3169828407540762</v>
      </c>
      <c r="Z77" t="s">
        <v>64</v>
      </c>
      <c r="AA77">
        <f>activity_Ami!AC242/AC64</f>
        <v>1.2613810071648748</v>
      </c>
      <c r="AE77" t="s">
        <v>64</v>
      </c>
      <c r="AF77">
        <f>activity_Ami!AH242/AH64</f>
        <v>1.2693081511485207</v>
      </c>
      <c r="AJ77" t="s">
        <v>64</v>
      </c>
      <c r="AK77">
        <f>activity_Ami!AM242/AM64</f>
        <v>1.0106589488937696</v>
      </c>
      <c r="AO77" t="s">
        <v>64</v>
      </c>
      <c r="AP77">
        <f>activity_Ami!AR242/AR64</f>
        <v>0.94889082782014766</v>
      </c>
      <c r="AT77" t="s">
        <v>64</v>
      </c>
      <c r="AU77">
        <f>activity_Ami!AW242/AW64</f>
        <v>1.3176318660315003</v>
      </c>
    </row>
    <row r="78" spans="1:47" x14ac:dyDescent="0.3">
      <c r="B78" s="17"/>
      <c r="F78" s="17"/>
      <c r="G78" s="17"/>
      <c r="I78" s="17"/>
      <c r="K78" s="17"/>
      <c r="M78" s="17"/>
      <c r="O78" s="17"/>
      <c r="Q78" s="17"/>
    </row>
    <row r="79" spans="1:47" x14ac:dyDescent="0.3">
      <c r="B79" s="17"/>
      <c r="F79" s="17"/>
      <c r="G79" s="17"/>
      <c r="I79" s="17"/>
      <c r="K79" s="17"/>
      <c r="M79" s="17"/>
      <c r="O79" s="17"/>
      <c r="Q79" s="17"/>
    </row>
    <row r="80" spans="1:47" x14ac:dyDescent="0.3">
      <c r="B80" s="17"/>
      <c r="F80" s="17"/>
      <c r="G80" s="17"/>
      <c r="I80" s="17"/>
      <c r="K80" s="17"/>
      <c r="M80" s="17"/>
      <c r="O80" s="17"/>
      <c r="Q80" s="17"/>
    </row>
    <row r="81" spans="1:17" x14ac:dyDescent="0.3">
      <c r="B81" s="17"/>
      <c r="F81" s="17"/>
      <c r="G81" s="17"/>
      <c r="I81" s="17"/>
      <c r="K81" s="17"/>
      <c r="M81" s="17"/>
      <c r="O81" s="17"/>
      <c r="Q81" s="17"/>
    </row>
    <row r="82" spans="1:17" x14ac:dyDescent="0.3">
      <c r="A82" t="s">
        <v>70</v>
      </c>
      <c r="B82" s="17">
        <f>0.1*(B70+G70+L70+Q70+V70+AA70+AF70+AK70+AP70+AU70)</f>
        <v>0.1647397656304756</v>
      </c>
      <c r="F82" s="17"/>
      <c r="G82" s="17"/>
      <c r="I82" s="17"/>
      <c r="K82" s="17"/>
      <c r="M82" s="17"/>
      <c r="O82" s="17"/>
      <c r="Q82" s="17"/>
    </row>
    <row r="83" spans="1:17" x14ac:dyDescent="0.3">
      <c r="B83" s="17"/>
      <c r="F83" s="17"/>
      <c r="G83" s="17"/>
      <c r="I83" s="17"/>
      <c r="K83" s="17"/>
      <c r="M83" s="17"/>
      <c r="O83" s="17"/>
      <c r="Q83" s="17"/>
    </row>
    <row r="84" spans="1:17" x14ac:dyDescent="0.3">
      <c r="B84" s="17"/>
      <c r="F84" s="17"/>
      <c r="G84" s="17"/>
      <c r="I84" s="17"/>
      <c r="K84" s="17"/>
      <c r="M84" s="17"/>
      <c r="O84" s="17"/>
      <c r="Q84" s="17"/>
    </row>
    <row r="85" spans="1:17" x14ac:dyDescent="0.3">
      <c r="B85" s="17"/>
      <c r="F85" s="17"/>
      <c r="G85" s="17"/>
      <c r="I85" s="17"/>
      <c r="K85" s="17"/>
      <c r="M85" s="17"/>
      <c r="O85" s="17"/>
      <c r="Q85" s="17"/>
    </row>
    <row r="86" spans="1:17" x14ac:dyDescent="0.3">
      <c r="B86" s="17"/>
      <c r="F86" s="17"/>
      <c r="G86" s="17"/>
      <c r="I86" s="17"/>
      <c r="K86" s="17"/>
      <c r="M86" s="17"/>
      <c r="O86" s="17"/>
      <c r="Q86" s="17"/>
    </row>
    <row r="87" spans="1:17" x14ac:dyDescent="0.3">
      <c r="B87" s="17"/>
      <c r="F87" s="17"/>
      <c r="G87" s="17"/>
      <c r="I87" s="17"/>
      <c r="K87" s="17"/>
      <c r="M87" s="17"/>
      <c r="O87" s="17"/>
      <c r="Q87" s="17"/>
    </row>
    <row r="88" spans="1:17" x14ac:dyDescent="0.3">
      <c r="B88" s="17"/>
      <c r="F88" s="17"/>
      <c r="G88" s="17"/>
      <c r="I88" s="17"/>
      <c r="K88" s="17"/>
      <c r="M88" s="17"/>
      <c r="O88" s="17"/>
      <c r="Q88" s="17"/>
    </row>
    <row r="89" spans="1:17" x14ac:dyDescent="0.3">
      <c r="F89" s="17"/>
      <c r="G89" s="17"/>
      <c r="I89" s="17"/>
      <c r="K89" s="17"/>
      <c r="M89" s="17"/>
      <c r="O89" s="17"/>
      <c r="Q89" s="17"/>
    </row>
    <row r="90" spans="1:17" x14ac:dyDescent="0.3">
      <c r="B90" s="17"/>
      <c r="F90" s="17"/>
      <c r="G90" s="17"/>
      <c r="I90" s="17"/>
      <c r="K90" s="17"/>
      <c r="M90" s="17"/>
      <c r="O90" s="17"/>
      <c r="Q90" s="17"/>
    </row>
    <row r="91" spans="1:17" x14ac:dyDescent="0.3">
      <c r="A91" t="s">
        <v>73</v>
      </c>
      <c r="B91" s="17">
        <f>(((B77-1)^2+(G77-1)^2+(L77-1)^2+(Q77-1)^2+(V77-1)^2+(AA77-1)^2+(AF77-1)^2+(AK77-1)^2+(AP77-1)^2+(AU77-1)^2)/9)^0.5</f>
        <v>0.25967599168481215</v>
      </c>
      <c r="F91" s="17"/>
      <c r="G91" s="17"/>
      <c r="I91" s="17"/>
      <c r="K91" s="17"/>
      <c r="M91" s="17"/>
      <c r="O91" s="17"/>
      <c r="Q91" s="17"/>
    </row>
    <row r="92" spans="1:17" x14ac:dyDescent="0.3">
      <c r="B92" s="17"/>
      <c r="F92" s="17"/>
      <c r="G92" s="17"/>
      <c r="I92" s="17"/>
      <c r="K92" s="17"/>
      <c r="M92" s="17"/>
      <c r="O92" s="17"/>
      <c r="Q92" s="17"/>
    </row>
    <row r="93" spans="1:17" x14ac:dyDescent="0.3">
      <c r="B93" s="17"/>
      <c r="F93" s="17"/>
      <c r="G93" s="17"/>
      <c r="I93" s="17"/>
      <c r="K93" s="17"/>
      <c r="M93" s="17"/>
      <c r="O93" s="17"/>
      <c r="Q93" s="17"/>
    </row>
    <row r="94" spans="1:17" x14ac:dyDescent="0.3">
      <c r="B94" s="17"/>
      <c r="F94" s="17"/>
      <c r="G94" s="17"/>
      <c r="I94" s="17"/>
      <c r="K94" s="17"/>
      <c r="M94" s="17"/>
      <c r="O94" s="17"/>
      <c r="Q94" s="17"/>
    </row>
    <row r="95" spans="1:17" x14ac:dyDescent="0.3">
      <c r="B95" s="17"/>
      <c r="F95" s="17"/>
      <c r="G95" s="17"/>
      <c r="I95" s="17"/>
      <c r="K95" s="17"/>
      <c r="M95" s="17"/>
      <c r="O95" s="17"/>
      <c r="Q95" s="17"/>
    </row>
    <row r="96" spans="1:17" x14ac:dyDescent="0.3">
      <c r="B96" s="17"/>
      <c r="F96" s="17"/>
      <c r="G96" s="17"/>
      <c r="I96" s="17"/>
      <c r="K96" s="17"/>
      <c r="M96" s="17"/>
      <c r="O96" s="17"/>
      <c r="Q96" s="17"/>
    </row>
    <row r="97" spans="2:17" x14ac:dyDescent="0.3">
      <c r="B97" s="17"/>
      <c r="F97" s="17"/>
      <c r="G97" s="17"/>
      <c r="I97" s="17"/>
      <c r="K97" s="17"/>
      <c r="M97" s="17"/>
      <c r="O97" s="17"/>
      <c r="Q97" s="17"/>
    </row>
    <row r="98" spans="2:17" x14ac:dyDescent="0.3">
      <c r="B98" s="17"/>
      <c r="F98" s="17"/>
      <c r="G98" s="17"/>
      <c r="I98" s="17"/>
      <c r="K98" s="17"/>
      <c r="M98" s="17"/>
      <c r="O98" s="17"/>
      <c r="Q98" s="17"/>
    </row>
    <row r="99" spans="2:17" x14ac:dyDescent="0.3">
      <c r="B99" s="17"/>
      <c r="F99" s="17"/>
      <c r="G99" s="17"/>
      <c r="I99" s="17"/>
      <c r="K99" s="17"/>
      <c r="M99" s="17"/>
      <c r="O99" s="17"/>
      <c r="Q99" s="17"/>
    </row>
    <row r="100" spans="2:17" x14ac:dyDescent="0.3">
      <c r="B100" s="17"/>
      <c r="F100" s="17"/>
      <c r="G100" s="17"/>
      <c r="I100" s="17"/>
      <c r="K100" s="17"/>
      <c r="M100" s="17"/>
      <c r="O100" s="17"/>
      <c r="Q100" s="17"/>
    </row>
    <row r="101" spans="2:17" x14ac:dyDescent="0.3">
      <c r="B101" s="17"/>
      <c r="F101" s="17"/>
      <c r="G101" s="17"/>
      <c r="I101" s="17"/>
      <c r="K101" s="17"/>
      <c r="M101" s="17"/>
      <c r="O101" s="17"/>
      <c r="Q101" s="17"/>
    </row>
    <row r="102" spans="2:17" x14ac:dyDescent="0.3">
      <c r="B102" s="17"/>
      <c r="F102" s="17"/>
      <c r="G102" s="17"/>
      <c r="I102" s="17"/>
      <c r="K102" s="17"/>
      <c r="M102" s="17"/>
      <c r="O102" s="17"/>
      <c r="Q102" s="17"/>
    </row>
    <row r="103" spans="2:17" x14ac:dyDescent="0.3">
      <c r="B103" s="17"/>
      <c r="F103" s="17"/>
      <c r="G103" s="17"/>
      <c r="I103" s="17"/>
      <c r="K103" s="17"/>
      <c r="M103" s="17"/>
      <c r="O103" s="17"/>
      <c r="Q103" s="17"/>
    </row>
    <row r="104" spans="2:17" x14ac:dyDescent="0.3">
      <c r="B104" s="17"/>
      <c r="F104" s="17"/>
      <c r="G104" s="17"/>
      <c r="I104" s="17"/>
      <c r="K104" s="17"/>
      <c r="M104" s="17"/>
      <c r="O104" s="17"/>
      <c r="Q104" s="17"/>
    </row>
    <row r="105" spans="2:17" x14ac:dyDescent="0.3">
      <c r="B105" s="17"/>
      <c r="F105" s="17"/>
      <c r="G105" s="17"/>
      <c r="I105" s="17"/>
      <c r="K105" s="17"/>
      <c r="M105" s="17"/>
      <c r="O105" s="17"/>
      <c r="Q105" s="17"/>
    </row>
    <row r="106" spans="2:17" x14ac:dyDescent="0.3">
      <c r="B106" s="17"/>
      <c r="F106" s="17"/>
      <c r="G106" s="17"/>
      <c r="I106" s="17"/>
      <c r="K106" s="17"/>
      <c r="M106" s="17"/>
      <c r="O106" s="17"/>
      <c r="Q106" s="17"/>
    </row>
    <row r="107" spans="2:17" x14ac:dyDescent="0.3">
      <c r="B107" s="17"/>
      <c r="F107" s="17"/>
      <c r="G107" s="17"/>
      <c r="I107" s="17"/>
      <c r="K107" s="17"/>
      <c r="M107" s="17"/>
      <c r="O107" s="17"/>
      <c r="Q107" s="17"/>
    </row>
    <row r="108" spans="2:17" x14ac:dyDescent="0.3">
      <c r="B108" s="17"/>
      <c r="F108" s="17"/>
      <c r="G108" s="17"/>
      <c r="I108" s="17"/>
      <c r="K108" s="17"/>
      <c r="M108" s="17"/>
      <c r="O108" s="17"/>
      <c r="Q108" s="17"/>
    </row>
    <row r="109" spans="2:17" x14ac:dyDescent="0.3">
      <c r="B109" s="17"/>
      <c r="F109" s="17"/>
      <c r="G109" s="17"/>
      <c r="I109" s="17"/>
      <c r="K109" s="17"/>
      <c r="M109" s="17"/>
      <c r="O109" s="17"/>
      <c r="Q109" s="17"/>
    </row>
    <row r="110" spans="2:17" x14ac:dyDescent="0.3">
      <c r="B110" s="17"/>
      <c r="F110" s="17"/>
      <c r="G110" s="17"/>
      <c r="I110" s="17"/>
      <c r="K110" s="17"/>
      <c r="M110" s="17"/>
      <c r="O110" s="17"/>
      <c r="Q110" s="17"/>
    </row>
    <row r="111" spans="2:17" x14ac:dyDescent="0.3">
      <c r="B111" s="17"/>
      <c r="F111" s="17"/>
      <c r="G111" s="17"/>
      <c r="I111" s="17"/>
      <c r="K111" s="17"/>
      <c r="M111" s="17"/>
      <c r="O111" s="17"/>
      <c r="Q111" s="17"/>
    </row>
    <row r="112" spans="2:17" x14ac:dyDescent="0.3">
      <c r="B112" s="17"/>
      <c r="F112" s="17"/>
      <c r="G112" s="17"/>
      <c r="I112" s="17"/>
      <c r="K112" s="17"/>
      <c r="M112" s="17"/>
      <c r="O112" s="17"/>
      <c r="Q112" s="17"/>
    </row>
    <row r="113" spans="2:17" x14ac:dyDescent="0.3">
      <c r="B113" s="17"/>
      <c r="F113" s="17"/>
      <c r="G113" s="17"/>
      <c r="I113" s="17"/>
      <c r="K113" s="17"/>
      <c r="M113" s="17"/>
      <c r="O113" s="17"/>
      <c r="Q113" s="17"/>
    </row>
    <row r="114" spans="2:17" x14ac:dyDescent="0.3">
      <c r="B114" s="17"/>
      <c r="F114" s="17"/>
      <c r="G114" s="17"/>
      <c r="I114" s="17"/>
      <c r="K114" s="17"/>
      <c r="M114" s="17"/>
      <c r="O114" s="17"/>
      <c r="Q114" s="17"/>
    </row>
    <row r="115" spans="2:17" x14ac:dyDescent="0.3">
      <c r="B115" s="17"/>
      <c r="F115" s="17"/>
      <c r="G115" s="17"/>
      <c r="I115" s="17"/>
      <c r="K115" s="17"/>
      <c r="M115" s="17"/>
      <c r="O115" s="17"/>
      <c r="Q115" s="17"/>
    </row>
    <row r="116" spans="2:17" x14ac:dyDescent="0.3">
      <c r="B116" s="17"/>
      <c r="F116" s="17"/>
      <c r="G116" s="17"/>
      <c r="I116" s="17"/>
      <c r="K116" s="17"/>
      <c r="M116" s="17"/>
      <c r="O116" s="17"/>
      <c r="Q116" s="17"/>
    </row>
    <row r="117" spans="2:17" x14ac:dyDescent="0.3">
      <c r="B117" s="17"/>
      <c r="F117" s="17"/>
      <c r="G117" s="17"/>
      <c r="I117" s="17"/>
      <c r="K117" s="17"/>
      <c r="M117" s="17"/>
      <c r="O117" s="17"/>
      <c r="Q117" s="17"/>
    </row>
    <row r="118" spans="2:17" x14ac:dyDescent="0.3">
      <c r="B118" s="17"/>
      <c r="F118" s="17"/>
      <c r="G118" s="17"/>
      <c r="I118" s="17"/>
      <c r="K118" s="17"/>
      <c r="M118" s="17"/>
      <c r="O118" s="17"/>
      <c r="Q118" s="17"/>
    </row>
    <row r="119" spans="2:17" x14ac:dyDescent="0.3">
      <c r="B119" s="17"/>
      <c r="F119" s="17"/>
      <c r="G119" s="17"/>
      <c r="I119" s="17"/>
      <c r="K119" s="17"/>
      <c r="M119" s="17"/>
      <c r="O119" s="17"/>
      <c r="Q119" s="17"/>
    </row>
    <row r="120" spans="2:17" x14ac:dyDescent="0.3">
      <c r="B120" s="17"/>
      <c r="F120" s="17"/>
      <c r="G120" s="17"/>
      <c r="I120" s="17"/>
      <c r="K120" s="17"/>
      <c r="M120" s="17"/>
      <c r="O120" s="17"/>
      <c r="Q120" s="17"/>
    </row>
    <row r="121" spans="2:17" x14ac:dyDescent="0.3">
      <c r="B121" s="17"/>
      <c r="F121" s="17"/>
      <c r="G121" s="17"/>
      <c r="I121" s="17"/>
      <c r="K121" s="17"/>
      <c r="M121" s="17"/>
      <c r="O121" s="17"/>
      <c r="Q121" s="17"/>
    </row>
    <row r="122" spans="2:17" x14ac:dyDescent="0.3">
      <c r="B122" s="17"/>
      <c r="F122" s="17"/>
      <c r="G122" s="17"/>
      <c r="I122" s="17"/>
      <c r="K122" s="17"/>
      <c r="M122" s="17"/>
      <c r="O122" s="17"/>
      <c r="Q122" s="17"/>
    </row>
    <row r="123" spans="2:17" x14ac:dyDescent="0.3">
      <c r="B123" s="17"/>
      <c r="F123" s="17"/>
      <c r="G123" s="17"/>
      <c r="I123" s="17"/>
      <c r="K123" s="17"/>
      <c r="M123" s="17"/>
      <c r="O123" s="17"/>
      <c r="Q123" s="17"/>
    </row>
    <row r="124" spans="2:17" x14ac:dyDescent="0.3">
      <c r="B124" s="17"/>
      <c r="F124" s="17"/>
      <c r="G124" s="17"/>
      <c r="I124" s="17"/>
      <c r="K124" s="17"/>
      <c r="M124" s="17"/>
      <c r="O124" s="17"/>
      <c r="Q124" s="17"/>
    </row>
    <row r="125" spans="2:17" x14ac:dyDescent="0.3">
      <c r="B125" s="17"/>
      <c r="F125" s="17"/>
      <c r="G125" s="17"/>
      <c r="I125" s="17"/>
      <c r="K125" s="17"/>
      <c r="M125" s="17"/>
      <c r="O125" s="17"/>
      <c r="Q125" s="17"/>
    </row>
    <row r="126" spans="2:17" x14ac:dyDescent="0.3">
      <c r="B126" s="17"/>
      <c r="F126" s="17"/>
      <c r="G126" s="17"/>
      <c r="I126" s="17"/>
      <c r="K126" s="17"/>
      <c r="M126" s="17"/>
      <c r="O126" s="17"/>
      <c r="Q126" s="17"/>
    </row>
    <row r="127" spans="2:17" x14ac:dyDescent="0.3">
      <c r="B127" s="17"/>
      <c r="F127" s="17"/>
      <c r="G127" s="17"/>
      <c r="I127" s="17"/>
      <c r="K127" s="17"/>
      <c r="M127" s="17"/>
      <c r="O127" s="17"/>
      <c r="Q127" s="17"/>
    </row>
    <row r="128" spans="2:17" x14ac:dyDescent="0.3">
      <c r="B128" s="17"/>
      <c r="F128" s="17"/>
      <c r="G128" s="17"/>
      <c r="I128" s="17"/>
      <c r="K128" s="17"/>
      <c r="M128" s="17"/>
      <c r="O128" s="17"/>
      <c r="Q128" s="17"/>
    </row>
    <row r="129" spans="2:17" x14ac:dyDescent="0.3">
      <c r="B129" s="17"/>
      <c r="F129" s="17"/>
      <c r="G129" s="17"/>
      <c r="I129" s="17"/>
      <c r="K129" s="17"/>
      <c r="M129" s="17"/>
      <c r="O129" s="17"/>
      <c r="Q129" s="17"/>
    </row>
    <row r="130" spans="2:17" x14ac:dyDescent="0.3">
      <c r="B130" s="17"/>
      <c r="F130" s="17"/>
      <c r="G130" s="17"/>
      <c r="I130" s="17"/>
      <c r="K130" s="17"/>
      <c r="M130" s="17"/>
      <c r="O130" s="17"/>
      <c r="Q130" s="17"/>
    </row>
    <row r="131" spans="2:17" x14ac:dyDescent="0.3">
      <c r="B131" s="17"/>
      <c r="F131" s="17"/>
      <c r="G131" s="17"/>
      <c r="I131" s="17"/>
      <c r="K131" s="17"/>
      <c r="M131" s="17"/>
      <c r="O131" s="17"/>
      <c r="Q131" s="17"/>
    </row>
    <row r="132" spans="2:17" x14ac:dyDescent="0.3">
      <c r="B132" s="17"/>
      <c r="F132" s="17"/>
      <c r="G132" s="17"/>
      <c r="I132" s="17"/>
      <c r="K132" s="17"/>
      <c r="M132" s="17"/>
      <c r="O132" s="17"/>
      <c r="Q132" s="17"/>
    </row>
    <row r="133" spans="2:17" x14ac:dyDescent="0.3">
      <c r="B133" s="17"/>
      <c r="F133" s="17"/>
      <c r="G133" s="17"/>
      <c r="I133" s="17"/>
      <c r="K133" s="17"/>
      <c r="M133" s="17"/>
      <c r="O133" s="17"/>
      <c r="Q133" s="17"/>
    </row>
    <row r="134" spans="2:17" x14ac:dyDescent="0.3">
      <c r="B134" s="17"/>
      <c r="F134" s="17"/>
      <c r="G134" s="17"/>
      <c r="I134" s="17"/>
      <c r="K134" s="17"/>
      <c r="M134" s="17"/>
      <c r="O134" s="17"/>
      <c r="Q134" s="17"/>
    </row>
    <row r="135" spans="2:17" x14ac:dyDescent="0.3">
      <c r="B135" s="17"/>
      <c r="F135" s="17"/>
      <c r="G135" s="17"/>
      <c r="I135" s="17"/>
      <c r="K135" s="17"/>
      <c r="M135" s="17"/>
      <c r="O135" s="17"/>
      <c r="Q135" s="17"/>
    </row>
    <row r="136" spans="2:17" x14ac:dyDescent="0.3">
      <c r="B136" s="17"/>
      <c r="F136" s="17"/>
      <c r="G136" s="17"/>
      <c r="I136" s="17"/>
      <c r="K136" s="17"/>
      <c r="M136" s="17"/>
      <c r="O136" s="17"/>
      <c r="Q136" s="17"/>
    </row>
    <row r="137" spans="2:17" x14ac:dyDescent="0.3">
      <c r="B137" s="17"/>
      <c r="F137" s="17"/>
      <c r="G137" s="17"/>
      <c r="I137" s="17"/>
      <c r="K137" s="17"/>
      <c r="M137" s="17"/>
      <c r="O137" s="17"/>
      <c r="Q137" s="17"/>
    </row>
    <row r="138" spans="2:17" x14ac:dyDescent="0.3">
      <c r="B138" s="17"/>
      <c r="F138" s="17"/>
      <c r="G138" s="17"/>
      <c r="I138" s="17"/>
      <c r="K138" s="17"/>
      <c r="M138" s="17"/>
      <c r="O138" s="17"/>
      <c r="Q138" s="17"/>
    </row>
    <row r="139" spans="2:17" x14ac:dyDescent="0.3">
      <c r="B139" s="17"/>
      <c r="F139" s="17"/>
      <c r="G139" s="17"/>
      <c r="I139" s="17"/>
      <c r="K139" s="17"/>
      <c r="M139" s="17"/>
      <c r="O139" s="17"/>
      <c r="Q139" s="17"/>
    </row>
    <row r="140" spans="2:17" x14ac:dyDescent="0.3">
      <c r="B140" s="17"/>
      <c r="F140" s="17"/>
      <c r="G140" s="17"/>
      <c r="I140" s="17"/>
      <c r="K140" s="17"/>
      <c r="M140" s="17"/>
      <c r="O140" s="17"/>
      <c r="Q140" s="17"/>
    </row>
    <row r="141" spans="2:17" x14ac:dyDescent="0.3">
      <c r="B141" s="17"/>
      <c r="F141" s="17"/>
      <c r="G141" s="17"/>
      <c r="I141" s="17"/>
      <c r="K141" s="17"/>
      <c r="M141" s="17"/>
      <c r="O141" s="17"/>
      <c r="Q141" s="17"/>
    </row>
    <row r="142" spans="2:17" x14ac:dyDescent="0.3">
      <c r="B142" s="17"/>
      <c r="F142" s="17"/>
      <c r="G142" s="17"/>
      <c r="I142" s="17"/>
      <c r="K142" s="17"/>
      <c r="M142" s="17"/>
      <c r="O142" s="17"/>
      <c r="Q142" s="17"/>
    </row>
    <row r="143" spans="2:17" x14ac:dyDescent="0.3">
      <c r="B143" s="17"/>
      <c r="F143" s="17"/>
      <c r="G143" s="17"/>
      <c r="I143" s="17"/>
      <c r="K143" s="17"/>
      <c r="M143" s="17"/>
      <c r="O143" s="17"/>
      <c r="Q143" s="17"/>
    </row>
    <row r="144" spans="2:17" x14ac:dyDescent="0.3">
      <c r="B144" s="17"/>
      <c r="F144" s="17"/>
      <c r="G144" s="17"/>
      <c r="I144" s="17"/>
      <c r="K144" s="17"/>
      <c r="M144" s="17"/>
      <c r="O144" s="17"/>
      <c r="Q144" s="17"/>
    </row>
    <row r="145" spans="2:17" x14ac:dyDescent="0.3">
      <c r="B145" s="17"/>
      <c r="F145" s="17"/>
      <c r="G145" s="17"/>
      <c r="I145" s="17"/>
      <c r="K145" s="17"/>
      <c r="M145" s="17"/>
      <c r="O145" s="17"/>
      <c r="Q145" s="17"/>
    </row>
    <row r="146" spans="2:17" x14ac:dyDescent="0.3">
      <c r="B146" s="17"/>
      <c r="F146" s="17"/>
      <c r="G146" s="17"/>
      <c r="I146" s="17"/>
      <c r="K146" s="17"/>
      <c r="M146" s="17"/>
      <c r="O146" s="17"/>
      <c r="Q146" s="17"/>
    </row>
    <row r="147" spans="2:17" x14ac:dyDescent="0.3">
      <c r="B147" s="17"/>
      <c r="F147" s="17"/>
      <c r="G147" s="17"/>
      <c r="I147" s="17"/>
      <c r="K147" s="17"/>
      <c r="M147" s="17"/>
      <c r="O147" s="17"/>
      <c r="Q147" s="17"/>
    </row>
    <row r="148" spans="2:17" x14ac:dyDescent="0.3">
      <c r="B148" s="17"/>
      <c r="F148" s="17"/>
      <c r="G148" s="17"/>
      <c r="I148" s="17"/>
      <c r="K148" s="17"/>
      <c r="M148" s="17"/>
      <c r="O148" s="17"/>
      <c r="Q148" s="17"/>
    </row>
    <row r="149" spans="2:17" x14ac:dyDescent="0.3">
      <c r="B149" s="17"/>
      <c r="F149" s="17"/>
      <c r="G149" s="17"/>
      <c r="I149" s="17"/>
      <c r="K149" s="17"/>
      <c r="M149" s="17"/>
      <c r="O149" s="17"/>
      <c r="Q149" s="17"/>
    </row>
    <row r="150" spans="2:17" x14ac:dyDescent="0.3">
      <c r="B150" s="17"/>
      <c r="F150" s="17"/>
      <c r="G150" s="17"/>
      <c r="I150" s="17"/>
      <c r="K150" s="17"/>
      <c r="M150" s="17"/>
      <c r="O150" s="17"/>
      <c r="Q150" s="17"/>
    </row>
    <row r="151" spans="2:17" x14ac:dyDescent="0.3">
      <c r="B151" s="17"/>
      <c r="F151" s="17"/>
      <c r="G151" s="17"/>
      <c r="I151" s="17"/>
      <c r="K151" s="17"/>
      <c r="M151" s="17"/>
      <c r="O151" s="17"/>
      <c r="Q151" s="17"/>
    </row>
    <row r="152" spans="2:17" x14ac:dyDescent="0.3">
      <c r="B152" s="17"/>
      <c r="F152" s="17"/>
      <c r="G152" s="17"/>
      <c r="I152" s="17"/>
      <c r="K152" s="17"/>
      <c r="M152" s="17"/>
      <c r="O152" s="17"/>
      <c r="Q152" s="17"/>
    </row>
    <row r="153" spans="2:17" x14ac:dyDescent="0.3">
      <c r="B153" s="17"/>
      <c r="F153" s="17"/>
      <c r="G153" s="17"/>
      <c r="I153" s="17"/>
      <c r="K153" s="17"/>
      <c r="M153" s="17"/>
      <c r="O153" s="17"/>
      <c r="Q153" s="17"/>
    </row>
    <row r="154" spans="2:17" x14ac:dyDescent="0.3">
      <c r="B154" s="17"/>
      <c r="F154" s="17"/>
      <c r="G154" s="17"/>
      <c r="I154" s="17"/>
      <c r="K154" s="17"/>
      <c r="M154" s="17"/>
      <c r="O154" s="17"/>
      <c r="Q154" s="17"/>
    </row>
    <row r="155" spans="2:17" x14ac:dyDescent="0.3">
      <c r="B155" s="17"/>
      <c r="F155" s="17"/>
      <c r="G155" s="17"/>
      <c r="I155" s="17"/>
      <c r="K155" s="17"/>
      <c r="M155" s="17"/>
      <c r="O155" s="17"/>
      <c r="Q155" s="17"/>
    </row>
    <row r="156" spans="2:17" x14ac:dyDescent="0.3">
      <c r="B156" s="17"/>
      <c r="F156" s="17"/>
      <c r="G156" s="17"/>
      <c r="I156" s="17"/>
      <c r="K156" s="17"/>
      <c r="M156" s="17"/>
      <c r="O156" s="17"/>
      <c r="Q156" s="17"/>
    </row>
    <row r="157" spans="2:17" x14ac:dyDescent="0.3">
      <c r="B157" s="17"/>
      <c r="F157" s="17"/>
      <c r="G157" s="17"/>
      <c r="I157" s="17"/>
      <c r="K157" s="17"/>
      <c r="M157" s="17"/>
      <c r="O157" s="17"/>
      <c r="Q157" s="17"/>
    </row>
    <row r="158" spans="2:17" x14ac:dyDescent="0.3">
      <c r="B158" s="17"/>
      <c r="F158" s="17"/>
      <c r="G158" s="17"/>
      <c r="I158" s="17"/>
      <c r="K158" s="17"/>
      <c r="M158" s="17"/>
      <c r="O158" s="17"/>
      <c r="Q158" s="17"/>
    </row>
    <row r="159" spans="2:17" x14ac:dyDescent="0.3">
      <c r="B159" s="17"/>
      <c r="F159" s="17"/>
      <c r="G159" s="17"/>
      <c r="I159" s="17"/>
      <c r="K159" s="17"/>
      <c r="M159" s="17"/>
      <c r="O159" s="17"/>
      <c r="Q159" s="17"/>
    </row>
    <row r="160" spans="2:17" x14ac:dyDescent="0.3">
      <c r="B160" s="17"/>
      <c r="F160" s="17"/>
      <c r="G160" s="17"/>
      <c r="I160" s="17"/>
      <c r="K160" s="17"/>
      <c r="M160" s="17"/>
      <c r="O160" s="17"/>
      <c r="Q160" s="17"/>
    </row>
    <row r="161" spans="2:17" x14ac:dyDescent="0.3">
      <c r="B161" s="17"/>
      <c r="F161" s="17"/>
      <c r="G161" s="17"/>
      <c r="I161" s="17"/>
      <c r="K161" s="17"/>
      <c r="M161" s="17"/>
      <c r="O161" s="17"/>
      <c r="Q161" s="17"/>
    </row>
    <row r="162" spans="2:17" x14ac:dyDescent="0.3">
      <c r="B162" s="17"/>
      <c r="F162" s="17"/>
      <c r="G162" s="17"/>
      <c r="I162" s="17"/>
      <c r="K162" s="17"/>
      <c r="M162" s="17"/>
      <c r="O162" s="17"/>
      <c r="Q162" s="17"/>
    </row>
    <row r="163" spans="2:17" x14ac:dyDescent="0.3">
      <c r="B163" s="17"/>
      <c r="F163" s="17"/>
      <c r="G163" s="17"/>
      <c r="I163" s="17"/>
      <c r="K163" s="17"/>
      <c r="M163" s="17"/>
      <c r="O163" s="17"/>
      <c r="Q163" s="17"/>
    </row>
    <row r="164" spans="2:17" x14ac:dyDescent="0.3">
      <c r="B164" s="17"/>
      <c r="F164" s="17"/>
      <c r="G164" s="17"/>
      <c r="I164" s="17"/>
      <c r="K164" s="17"/>
      <c r="M164" s="17"/>
      <c r="O164" s="17"/>
      <c r="Q164" s="17"/>
    </row>
    <row r="165" spans="2:17" x14ac:dyDescent="0.3">
      <c r="B165" s="17"/>
      <c r="F165" s="17"/>
      <c r="G165" s="17"/>
      <c r="I165" s="17"/>
      <c r="K165" s="17"/>
      <c r="M165" s="17"/>
      <c r="O165" s="17"/>
      <c r="Q165" s="17"/>
    </row>
    <row r="166" spans="2:17" x14ac:dyDescent="0.3">
      <c r="B166" s="17"/>
      <c r="F166" s="17"/>
      <c r="G166" s="17"/>
      <c r="I166" s="17"/>
      <c r="K166" s="17"/>
      <c r="M166" s="17"/>
      <c r="O166" s="17"/>
      <c r="Q166" s="17"/>
    </row>
    <row r="167" spans="2:17" x14ac:dyDescent="0.3">
      <c r="B167" s="17"/>
      <c r="F167" s="17"/>
      <c r="G167" s="17"/>
      <c r="I167" s="17"/>
      <c r="K167" s="17"/>
      <c r="M167" s="17"/>
      <c r="O167" s="17"/>
      <c r="Q167" s="17"/>
    </row>
    <row r="168" spans="2:17" x14ac:dyDescent="0.3">
      <c r="B168" s="17"/>
      <c r="F168" s="17"/>
      <c r="G168" s="17"/>
      <c r="I168" s="17"/>
      <c r="K168" s="17"/>
      <c r="M168" s="17"/>
      <c r="O168" s="17"/>
      <c r="Q168" s="17"/>
    </row>
    <row r="169" spans="2:17" x14ac:dyDescent="0.3">
      <c r="B169" s="17"/>
      <c r="F169" s="17"/>
      <c r="G169" s="17"/>
      <c r="I169" s="17"/>
      <c r="K169" s="17"/>
      <c r="M169" s="17"/>
      <c r="O169" s="17"/>
      <c r="Q169" s="17"/>
    </row>
    <row r="170" spans="2:17" x14ac:dyDescent="0.3">
      <c r="B170" s="17"/>
      <c r="F170" s="16"/>
      <c r="G170" s="17"/>
      <c r="I170" s="16"/>
      <c r="K170" s="16"/>
      <c r="M170" s="16"/>
      <c r="O170" s="16"/>
      <c r="Q170" s="16"/>
    </row>
    <row r="171" spans="2:17" x14ac:dyDescent="0.3">
      <c r="B171" s="17"/>
      <c r="F171" s="16"/>
      <c r="G171" s="17"/>
      <c r="I171" s="16"/>
      <c r="K171" s="16"/>
      <c r="M171" s="16"/>
      <c r="O171" s="16"/>
      <c r="Q171" s="16"/>
    </row>
    <row r="172" spans="2:17" x14ac:dyDescent="0.3">
      <c r="B172" s="17"/>
      <c r="F172" s="16"/>
      <c r="G172" s="17"/>
      <c r="I172" s="16"/>
      <c r="K172" s="16"/>
      <c r="M172" s="16"/>
      <c r="O172" s="16"/>
      <c r="Q172" s="16"/>
    </row>
    <row r="173" spans="2:17" x14ac:dyDescent="0.3">
      <c r="B173" s="17"/>
      <c r="F173" s="16"/>
      <c r="G173" s="17"/>
      <c r="I173" s="16"/>
      <c r="K173" s="16"/>
      <c r="M173" s="16"/>
      <c r="O173" s="16"/>
      <c r="Q173" s="16"/>
    </row>
    <row r="174" spans="2:17" x14ac:dyDescent="0.3">
      <c r="B174" s="17"/>
      <c r="F174" s="16"/>
      <c r="G174" s="17"/>
      <c r="I174" s="16"/>
      <c r="K174" s="16"/>
      <c r="M174" s="16"/>
      <c r="O174" s="16"/>
      <c r="Q174" s="16"/>
    </row>
    <row r="175" spans="2:17" x14ac:dyDescent="0.3">
      <c r="B175" s="17"/>
      <c r="F175" s="16"/>
      <c r="G175" s="17"/>
      <c r="I175" s="16"/>
      <c r="K175" s="16"/>
      <c r="M175" s="16"/>
      <c r="O175" s="16"/>
      <c r="Q175" s="16"/>
    </row>
    <row r="176" spans="2:17" x14ac:dyDescent="0.3">
      <c r="B176" s="17"/>
      <c r="F176" s="16"/>
      <c r="G176" s="17"/>
      <c r="I176" s="16"/>
      <c r="K176" s="16"/>
      <c r="M176" s="16"/>
      <c r="O176" s="16"/>
      <c r="Q176" s="16"/>
    </row>
    <row r="177" spans="2:17" x14ac:dyDescent="0.3">
      <c r="B177" s="17"/>
      <c r="F177" s="16"/>
      <c r="G177" s="17"/>
      <c r="I177" s="16"/>
      <c r="K177" s="16"/>
      <c r="M177" s="16"/>
      <c r="O177" s="16"/>
      <c r="Q177" s="16"/>
    </row>
    <row r="178" spans="2:17" x14ac:dyDescent="0.3">
      <c r="B178" s="17"/>
      <c r="F178" s="16"/>
      <c r="G178" s="17"/>
      <c r="I178" s="16"/>
      <c r="K178" s="16"/>
      <c r="M178" s="16"/>
      <c r="O178" s="16"/>
      <c r="Q178" s="16"/>
    </row>
    <row r="179" spans="2:17" x14ac:dyDescent="0.3">
      <c r="B179" s="17"/>
      <c r="F179" s="16"/>
      <c r="G179" s="17"/>
      <c r="I179" s="16"/>
      <c r="K179" s="16"/>
      <c r="M179" s="16"/>
      <c r="O179" s="16"/>
      <c r="Q179" s="16"/>
    </row>
    <row r="180" spans="2:17" x14ac:dyDescent="0.3">
      <c r="B180" s="17"/>
      <c r="F180" s="16"/>
      <c r="G180" s="17"/>
      <c r="I180" s="16"/>
      <c r="K180" s="16"/>
      <c r="M180" s="16"/>
      <c r="O180" s="16"/>
      <c r="Q180" s="16"/>
    </row>
    <row r="181" spans="2:17" x14ac:dyDescent="0.3">
      <c r="B181" s="17"/>
      <c r="F181" s="16"/>
      <c r="G181" s="17"/>
      <c r="I181" s="16"/>
      <c r="K181" s="16"/>
      <c r="M181" s="16"/>
      <c r="O181" s="16"/>
      <c r="Q181" s="16"/>
    </row>
    <row r="182" spans="2:17" x14ac:dyDescent="0.3">
      <c r="B182" s="17"/>
      <c r="F182" s="16"/>
      <c r="G182" s="17"/>
      <c r="I182" s="16"/>
      <c r="K182" s="16"/>
      <c r="M182" s="16"/>
      <c r="O182" s="16"/>
      <c r="Q182" s="16"/>
    </row>
    <row r="183" spans="2:17" x14ac:dyDescent="0.3">
      <c r="B183" s="17"/>
      <c r="F183" s="16"/>
      <c r="G183" s="17"/>
      <c r="I183" s="16"/>
      <c r="K183" s="16"/>
      <c r="M183" s="16"/>
      <c r="O183" s="16"/>
      <c r="Q183" s="16"/>
    </row>
    <row r="184" spans="2:17" x14ac:dyDescent="0.3">
      <c r="B184" s="17"/>
      <c r="F184" s="16"/>
      <c r="G184" s="17"/>
      <c r="I184" s="16"/>
      <c r="K184" s="16"/>
      <c r="M184" s="16"/>
      <c r="O184" s="16"/>
      <c r="Q184" s="16"/>
    </row>
    <row r="185" spans="2:17" x14ac:dyDescent="0.3">
      <c r="B185" s="17"/>
      <c r="F185" s="16"/>
      <c r="G185" s="17"/>
      <c r="I185" s="16"/>
      <c r="K185" s="16"/>
      <c r="M185" s="16"/>
      <c r="O185" s="16"/>
      <c r="Q185" s="16"/>
    </row>
    <row r="186" spans="2:17" x14ac:dyDescent="0.3">
      <c r="B186" s="17"/>
      <c r="F186" s="16"/>
      <c r="G186" s="17"/>
      <c r="I186" s="16"/>
      <c r="K186" s="16"/>
      <c r="M186" s="16"/>
      <c r="O186" s="16"/>
      <c r="Q186" s="16"/>
    </row>
    <row r="187" spans="2:17" x14ac:dyDescent="0.3">
      <c r="B187" s="17"/>
      <c r="F187" s="16"/>
      <c r="G187" s="17"/>
      <c r="I187" s="16"/>
      <c r="K187" s="16"/>
      <c r="M187" s="16"/>
      <c r="O187" s="16"/>
      <c r="Q187" s="16"/>
    </row>
    <row r="188" spans="2:17" x14ac:dyDescent="0.3">
      <c r="B188" s="17"/>
      <c r="F188" s="16"/>
      <c r="G188" s="17"/>
      <c r="I188" s="16"/>
      <c r="K188" s="16"/>
      <c r="M188" s="16"/>
      <c r="O188" s="16"/>
      <c r="Q188" s="16"/>
    </row>
    <row r="189" spans="2:17" x14ac:dyDescent="0.3">
      <c r="B189" s="17"/>
      <c r="F189" s="16"/>
      <c r="G189" s="17"/>
      <c r="I189" s="16"/>
      <c r="K189" s="16"/>
      <c r="M189" s="16"/>
      <c r="O189" s="16"/>
      <c r="Q189" s="16"/>
    </row>
    <row r="190" spans="2:17" x14ac:dyDescent="0.3">
      <c r="B190" s="17"/>
      <c r="F190" s="16"/>
      <c r="G190" s="17"/>
      <c r="I190" s="16"/>
      <c r="K190" s="16"/>
      <c r="M190" s="16"/>
      <c r="O190" s="16"/>
      <c r="Q190" s="16"/>
    </row>
    <row r="191" spans="2:17" x14ac:dyDescent="0.3">
      <c r="B191" s="17"/>
      <c r="F191" s="16"/>
      <c r="G191" s="17"/>
      <c r="I191" s="16"/>
      <c r="K191" s="16"/>
      <c r="M191" s="16"/>
      <c r="O191" s="16"/>
      <c r="Q191" s="16"/>
    </row>
    <row r="192" spans="2:17" x14ac:dyDescent="0.3">
      <c r="B192" s="17"/>
      <c r="F192" s="16"/>
      <c r="G192" s="17"/>
      <c r="I192" s="16"/>
      <c r="K192" s="16"/>
      <c r="M192" s="16"/>
      <c r="O192" s="16"/>
      <c r="Q192" s="16"/>
    </row>
    <row r="193" spans="2:17" x14ac:dyDescent="0.3">
      <c r="B193" s="17"/>
      <c r="F193" s="16"/>
      <c r="G193" s="17"/>
      <c r="I193" s="16"/>
      <c r="K193" s="16"/>
      <c r="M193" s="16"/>
      <c r="O193" s="16"/>
      <c r="Q193" s="16"/>
    </row>
    <row r="194" spans="2:17" x14ac:dyDescent="0.3">
      <c r="B194" s="17"/>
      <c r="F194" s="16"/>
      <c r="G194" s="17"/>
      <c r="I194" s="16"/>
      <c r="K194" s="16"/>
      <c r="M194" s="16"/>
      <c r="O194" s="16"/>
      <c r="Q194" s="16"/>
    </row>
    <row r="195" spans="2:17" x14ac:dyDescent="0.3">
      <c r="B195" s="17"/>
      <c r="F195" s="16"/>
      <c r="G195" s="17"/>
      <c r="I195" s="16"/>
      <c r="K195" s="16"/>
      <c r="M195" s="16"/>
      <c r="O195" s="16"/>
      <c r="Q195" s="16"/>
    </row>
    <row r="196" spans="2:17" x14ac:dyDescent="0.3">
      <c r="B196" s="17"/>
      <c r="F196" s="16"/>
      <c r="G196" s="17"/>
      <c r="I196" s="16"/>
      <c r="K196" s="16"/>
      <c r="M196" s="16"/>
      <c r="O196" s="16"/>
      <c r="Q196" s="16"/>
    </row>
    <row r="197" spans="2:17" x14ac:dyDescent="0.3">
      <c r="B197" s="17"/>
      <c r="F197" s="16"/>
      <c r="G197" s="17"/>
      <c r="I197" s="16"/>
      <c r="K197" s="16"/>
      <c r="M197" s="16"/>
      <c r="O197" s="16"/>
      <c r="Q197" s="16"/>
    </row>
    <row r="198" spans="2:17" x14ac:dyDescent="0.3">
      <c r="B198" s="17"/>
      <c r="F198" s="16"/>
      <c r="G198" s="17"/>
      <c r="I198" s="16"/>
      <c r="K198" s="16"/>
      <c r="M198" s="16"/>
      <c r="O198" s="16"/>
      <c r="Q198" s="16"/>
    </row>
    <row r="199" spans="2:17" x14ac:dyDescent="0.3">
      <c r="B199" s="17"/>
      <c r="F199" s="16"/>
      <c r="G199" s="17"/>
      <c r="I199" s="16"/>
      <c r="K199" s="16"/>
      <c r="M199" s="16"/>
      <c r="O199" s="16"/>
      <c r="Q199" s="16"/>
    </row>
    <row r="200" spans="2:17" x14ac:dyDescent="0.3">
      <c r="B200" s="17"/>
      <c r="F200" s="16"/>
      <c r="G200" s="17"/>
      <c r="I200" s="16"/>
      <c r="K200" s="16"/>
      <c r="M200" s="16"/>
      <c r="O200" s="16"/>
      <c r="Q200" s="16"/>
    </row>
    <row r="201" spans="2:17" x14ac:dyDescent="0.3">
      <c r="B201" s="17"/>
      <c r="F201" s="16"/>
      <c r="G201" s="17"/>
      <c r="I201" s="16"/>
      <c r="K201" s="16"/>
      <c r="M201" s="16"/>
      <c r="O201" s="16"/>
      <c r="Q201" s="16"/>
    </row>
    <row r="202" spans="2:17" x14ac:dyDescent="0.3">
      <c r="B202" s="17"/>
      <c r="F202" s="16"/>
      <c r="G202" s="17"/>
      <c r="I202" s="16"/>
      <c r="K202" s="16"/>
      <c r="M202" s="16"/>
      <c r="O202" s="16"/>
      <c r="Q202" s="16"/>
    </row>
    <row r="203" spans="2:17" x14ac:dyDescent="0.3">
      <c r="B203" s="17"/>
      <c r="F203" s="16"/>
      <c r="G203" s="17"/>
      <c r="I203" s="16"/>
      <c r="K203" s="16"/>
      <c r="M203" s="16"/>
      <c r="O203" s="16"/>
      <c r="Q203" s="16"/>
    </row>
    <row r="204" spans="2:17" x14ac:dyDescent="0.3">
      <c r="B204" s="17"/>
      <c r="F204" s="16"/>
      <c r="G204" s="17"/>
      <c r="I204" s="16"/>
      <c r="K204" s="16"/>
      <c r="M204" s="16"/>
      <c r="O204" s="16"/>
      <c r="Q204" s="16"/>
    </row>
    <row r="205" spans="2:17" x14ac:dyDescent="0.3">
      <c r="B205" s="17"/>
      <c r="F205" s="16"/>
      <c r="G205" s="17"/>
      <c r="I205" s="16"/>
      <c r="K205" s="16"/>
      <c r="M205" s="16"/>
      <c r="O205" s="16"/>
      <c r="Q205" s="16"/>
    </row>
    <row r="206" spans="2:17" x14ac:dyDescent="0.3">
      <c r="B206" s="17"/>
      <c r="F206" s="16"/>
      <c r="G206" s="17"/>
      <c r="I206" s="16"/>
      <c r="K206" s="16"/>
      <c r="M206" s="16"/>
      <c r="O206" s="16"/>
      <c r="Q206" s="16"/>
    </row>
    <row r="207" spans="2:17" x14ac:dyDescent="0.3">
      <c r="B207" s="17"/>
      <c r="F207" s="16"/>
      <c r="G207" s="17"/>
      <c r="I207" s="16"/>
      <c r="K207" s="16"/>
      <c r="M207" s="16"/>
      <c r="O207" s="16"/>
      <c r="Q207" s="16"/>
    </row>
    <row r="208" spans="2:17" x14ac:dyDescent="0.3">
      <c r="B208" s="17"/>
      <c r="F208" s="16"/>
      <c r="G208" s="17"/>
      <c r="I208" s="16"/>
      <c r="K208" s="16"/>
      <c r="M208" s="16"/>
      <c r="O208" s="16"/>
      <c r="Q208" s="16"/>
    </row>
    <row r="209" spans="2:17" x14ac:dyDescent="0.3">
      <c r="B209" s="17"/>
      <c r="F209" s="16"/>
      <c r="G209" s="17"/>
      <c r="I209" s="16"/>
      <c r="K209" s="16"/>
      <c r="M209" s="16"/>
      <c r="O209" s="16"/>
      <c r="Q209" s="16"/>
    </row>
    <row r="210" spans="2:17" x14ac:dyDescent="0.3">
      <c r="B210" s="17"/>
      <c r="F210" s="16"/>
      <c r="G210" s="17"/>
      <c r="I210" s="16"/>
      <c r="K210" s="16"/>
      <c r="M210" s="16"/>
      <c r="O210" s="16"/>
      <c r="Q210" s="16"/>
    </row>
    <row r="211" spans="2:17" x14ac:dyDescent="0.3">
      <c r="B211" s="17"/>
      <c r="F211" s="16"/>
      <c r="G211" s="17"/>
      <c r="I211" s="16"/>
      <c r="K211" s="16"/>
      <c r="M211" s="16"/>
      <c r="O211" s="16"/>
      <c r="Q211" s="16"/>
    </row>
    <row r="212" spans="2:17" x14ac:dyDescent="0.3">
      <c r="B212" s="17"/>
      <c r="F212" s="16"/>
      <c r="G212" s="17"/>
      <c r="I212" s="16"/>
      <c r="K212" s="16"/>
      <c r="M212" s="16"/>
      <c r="O212" s="16"/>
      <c r="Q212" s="16"/>
    </row>
    <row r="213" spans="2:17" x14ac:dyDescent="0.3">
      <c r="B213" s="17"/>
      <c r="F213" s="16"/>
      <c r="G213" s="17"/>
      <c r="I213" s="16"/>
      <c r="K213" s="16"/>
      <c r="M213" s="16"/>
      <c r="O213" s="16"/>
      <c r="Q213" s="16"/>
    </row>
    <row r="214" spans="2:17" x14ac:dyDescent="0.3">
      <c r="B214" s="17"/>
      <c r="F214" s="16"/>
      <c r="G214" s="17"/>
      <c r="I214" s="16"/>
      <c r="K214" s="16"/>
      <c r="M214" s="16"/>
      <c r="O214" s="16"/>
      <c r="Q214" s="16"/>
    </row>
    <row r="215" spans="2:17" x14ac:dyDescent="0.3">
      <c r="B215" s="17"/>
      <c r="F215" s="16"/>
      <c r="G215" s="17"/>
      <c r="I215" s="16"/>
      <c r="K215" s="16"/>
      <c r="M215" s="16"/>
      <c r="O215" s="16"/>
      <c r="Q215" s="16"/>
    </row>
    <row r="216" spans="2:17" x14ac:dyDescent="0.3">
      <c r="B216" s="17"/>
      <c r="F216" s="16"/>
      <c r="G216" s="17"/>
      <c r="I216" s="16"/>
      <c r="K216" s="16"/>
      <c r="M216" s="16"/>
      <c r="O216" s="16"/>
      <c r="Q216" s="16"/>
    </row>
    <row r="217" spans="2:17" x14ac:dyDescent="0.3">
      <c r="B217" s="17"/>
      <c r="F217" s="16"/>
      <c r="G217" s="17"/>
      <c r="I217" s="16"/>
      <c r="K217" s="16"/>
      <c r="M217" s="16"/>
      <c r="O217" s="16"/>
      <c r="Q217" s="16"/>
    </row>
    <row r="218" spans="2:17" x14ac:dyDescent="0.3">
      <c r="B218" s="17"/>
      <c r="F218" s="16"/>
      <c r="G218" s="17"/>
      <c r="I218" s="16"/>
      <c r="K218" s="16"/>
      <c r="M218" s="16"/>
      <c r="O218" s="16"/>
      <c r="Q218" s="16"/>
    </row>
    <row r="219" spans="2:17" x14ac:dyDescent="0.3">
      <c r="B219" s="17"/>
      <c r="F219" s="16"/>
      <c r="G219" s="17"/>
      <c r="I219" s="16"/>
      <c r="K219" s="16"/>
      <c r="M219" s="16"/>
      <c r="O219" s="16"/>
      <c r="Q219" s="16"/>
    </row>
    <row r="220" spans="2:17" x14ac:dyDescent="0.3">
      <c r="B220" s="17"/>
      <c r="F220" s="16"/>
      <c r="G220" s="17"/>
      <c r="I220" s="16"/>
      <c r="K220" s="16"/>
      <c r="M220" s="16"/>
      <c r="O220" s="16"/>
      <c r="Q220" s="16"/>
    </row>
    <row r="221" spans="2:17" x14ac:dyDescent="0.3">
      <c r="B221" s="17"/>
      <c r="F221" s="16"/>
      <c r="G221" s="17"/>
      <c r="I221" s="16"/>
      <c r="K221" s="16"/>
      <c r="M221" s="16"/>
      <c r="O221" s="16"/>
      <c r="Q221" s="16"/>
    </row>
    <row r="222" spans="2:17" x14ac:dyDescent="0.3">
      <c r="B222" s="17"/>
      <c r="F222" s="16"/>
      <c r="G222" s="17"/>
      <c r="I222" s="16"/>
      <c r="K222" s="16"/>
      <c r="M222" s="16"/>
      <c r="O222" s="16"/>
      <c r="Q222" s="16"/>
    </row>
    <row r="223" spans="2:17" x14ac:dyDescent="0.3">
      <c r="B223" s="17"/>
      <c r="F223" s="16"/>
      <c r="G223" s="17"/>
      <c r="I223" s="16"/>
      <c r="K223" s="16"/>
      <c r="M223" s="16"/>
      <c r="O223" s="16"/>
      <c r="Q223" s="16"/>
    </row>
    <row r="224" spans="2:17" x14ac:dyDescent="0.3">
      <c r="B224" s="17"/>
      <c r="F224" s="16"/>
      <c r="G224" s="17"/>
      <c r="I224" s="16"/>
      <c r="K224" s="16"/>
      <c r="M224" s="16"/>
      <c r="O224" s="16"/>
      <c r="Q224" s="16"/>
    </row>
    <row r="225" spans="2:17" x14ac:dyDescent="0.3">
      <c r="B225" s="17"/>
      <c r="F225" s="16"/>
      <c r="G225" s="17"/>
      <c r="I225" s="16"/>
      <c r="K225" s="16"/>
      <c r="M225" s="16"/>
      <c r="O225" s="16"/>
      <c r="Q225" s="16"/>
    </row>
    <row r="226" spans="2:17" x14ac:dyDescent="0.3">
      <c r="B226" s="17"/>
      <c r="F226" s="16"/>
      <c r="G226" s="17"/>
      <c r="I226" s="16"/>
      <c r="K226" s="16"/>
      <c r="M226" s="16"/>
      <c r="O226" s="16"/>
      <c r="Q226" s="16"/>
    </row>
    <row r="227" spans="2:17" x14ac:dyDescent="0.3">
      <c r="B227" s="17"/>
      <c r="F227" s="16"/>
      <c r="G227" s="17"/>
      <c r="I227" s="16"/>
      <c r="K227" s="16"/>
      <c r="M227" s="16"/>
      <c r="O227" s="16"/>
      <c r="Q227" s="16"/>
    </row>
    <row r="228" spans="2:17" x14ac:dyDescent="0.3">
      <c r="B228" s="17"/>
      <c r="F228" s="16"/>
      <c r="G228" s="17"/>
      <c r="I228" s="16"/>
      <c r="K228" s="16"/>
      <c r="M228" s="16"/>
      <c r="O228" s="16"/>
      <c r="Q228" s="16"/>
    </row>
    <row r="229" spans="2:17" x14ac:dyDescent="0.3">
      <c r="B229" s="17"/>
      <c r="F229" s="16"/>
      <c r="G229" s="17"/>
      <c r="I229" s="16"/>
      <c r="K229" s="16"/>
      <c r="M229" s="16"/>
      <c r="O229" s="16"/>
      <c r="Q229" s="16"/>
    </row>
    <row r="230" spans="2:17" x14ac:dyDescent="0.3">
      <c r="B230" s="17"/>
      <c r="F230" s="16"/>
      <c r="G230" s="17"/>
      <c r="I230" s="16"/>
      <c r="K230" s="16"/>
      <c r="M230" s="16"/>
      <c r="O230" s="16"/>
      <c r="Q230" s="16"/>
    </row>
    <row r="231" spans="2:17" x14ac:dyDescent="0.3">
      <c r="B231" s="17"/>
      <c r="F231" s="16"/>
      <c r="G231" s="17"/>
      <c r="I231" s="16"/>
      <c r="K231" s="16"/>
      <c r="M231" s="16"/>
      <c r="O231" s="16"/>
      <c r="Q231" s="16"/>
    </row>
    <row r="232" spans="2:17" x14ac:dyDescent="0.3">
      <c r="B232" s="17"/>
      <c r="F232" s="16"/>
      <c r="G232" s="17"/>
      <c r="I232" s="16"/>
      <c r="K232" s="16"/>
      <c r="M232" s="16"/>
      <c r="O232" s="16"/>
      <c r="Q232" s="16"/>
    </row>
    <row r="233" spans="2:17" x14ac:dyDescent="0.3">
      <c r="B233" s="17"/>
      <c r="F233" s="16"/>
      <c r="G233" s="17"/>
      <c r="I233" s="16"/>
      <c r="K233" s="16"/>
      <c r="M233" s="16"/>
      <c r="O233" s="16"/>
      <c r="Q233" s="16"/>
    </row>
    <row r="234" spans="2:17" x14ac:dyDescent="0.3">
      <c r="B234" s="17"/>
      <c r="F234" s="16"/>
      <c r="G234" s="17"/>
      <c r="I234" s="16"/>
      <c r="K234" s="16"/>
      <c r="M234" s="16"/>
      <c r="O234" s="16"/>
      <c r="Q234" s="16"/>
    </row>
    <row r="235" spans="2:17" x14ac:dyDescent="0.3">
      <c r="B235" s="17"/>
      <c r="F235" s="16"/>
      <c r="G235" s="17"/>
      <c r="I235" s="16"/>
      <c r="K235" s="16"/>
      <c r="M235" s="16"/>
      <c r="O235" s="16"/>
      <c r="Q235" s="16"/>
    </row>
    <row r="236" spans="2:17" x14ac:dyDescent="0.3">
      <c r="B236" s="17"/>
      <c r="F236" s="16"/>
      <c r="G236" s="17"/>
      <c r="I236" s="16"/>
      <c r="K236" s="16"/>
      <c r="M236" s="16"/>
      <c r="O236" s="16"/>
      <c r="Q236" s="16"/>
    </row>
    <row r="237" spans="2:17" x14ac:dyDescent="0.3">
      <c r="B237" s="17"/>
      <c r="F237" s="16"/>
      <c r="G237" s="17"/>
      <c r="I237" s="16"/>
      <c r="K237" s="16"/>
      <c r="M237" s="16"/>
      <c r="O237" s="16"/>
      <c r="Q237" s="16"/>
    </row>
    <row r="238" spans="2:17" x14ac:dyDescent="0.3">
      <c r="B238" s="17"/>
      <c r="F238" s="16"/>
      <c r="G238" s="17"/>
      <c r="I238" s="16"/>
      <c r="K238" s="16"/>
      <c r="M238" s="16"/>
      <c r="O238" s="16"/>
      <c r="Q238" s="16"/>
    </row>
    <row r="239" spans="2:17" x14ac:dyDescent="0.3">
      <c r="B239" s="17"/>
      <c r="F239" s="16"/>
      <c r="G239" s="17"/>
      <c r="I239" s="16"/>
      <c r="K239" s="16"/>
      <c r="M239" s="16"/>
      <c r="O239" s="16"/>
      <c r="Q239" s="16"/>
    </row>
    <row r="240" spans="2:17" x14ac:dyDescent="0.3">
      <c r="B240" s="17"/>
      <c r="F240" s="16"/>
      <c r="G240" s="17"/>
      <c r="I240" s="16"/>
      <c r="K240" s="16"/>
      <c r="M240" s="16"/>
      <c r="O240" s="16"/>
      <c r="Q240" s="16"/>
    </row>
    <row r="241" spans="2:17" x14ac:dyDescent="0.3">
      <c r="B241" s="17"/>
      <c r="F241" s="16"/>
      <c r="G241" s="17"/>
      <c r="I241" s="16"/>
      <c r="K241" s="16"/>
      <c r="M241" s="16"/>
      <c r="O241" s="16"/>
      <c r="Q241" s="16"/>
    </row>
    <row r="242" spans="2:17" x14ac:dyDescent="0.3">
      <c r="B242" s="17"/>
      <c r="F242" s="16"/>
      <c r="G242" s="17"/>
      <c r="I242" s="16"/>
      <c r="K242" s="16"/>
      <c r="M242" s="16"/>
      <c r="O242" s="16"/>
      <c r="Q242" s="16"/>
    </row>
    <row r="243" spans="2:17" x14ac:dyDescent="0.3">
      <c r="B243" s="17"/>
      <c r="F243" s="16"/>
      <c r="G243" s="17"/>
      <c r="I243" s="16"/>
      <c r="K243" s="16"/>
      <c r="M243" s="16"/>
      <c r="O243" s="16"/>
      <c r="Q243" s="16"/>
    </row>
    <row r="244" spans="2:17" x14ac:dyDescent="0.3">
      <c r="B244" s="17"/>
      <c r="F244" s="16"/>
      <c r="G244" s="17"/>
      <c r="I244" s="16"/>
      <c r="K244" s="16"/>
      <c r="M244" s="16"/>
      <c r="O244" s="16"/>
      <c r="Q244" s="16"/>
    </row>
    <row r="245" spans="2:17" x14ac:dyDescent="0.3">
      <c r="B245" s="17"/>
      <c r="F245" s="16"/>
      <c r="G245" s="17"/>
      <c r="I245" s="16"/>
      <c r="K245" s="16"/>
      <c r="M245" s="16"/>
      <c r="O245" s="16"/>
      <c r="Q245" s="16"/>
    </row>
    <row r="246" spans="2:17" x14ac:dyDescent="0.3">
      <c r="B246" s="17"/>
      <c r="F246" s="16"/>
      <c r="G246" s="17"/>
      <c r="I246" s="16"/>
      <c r="K246" s="16"/>
      <c r="M246" s="16"/>
      <c r="O246" s="16"/>
      <c r="Q246" s="16"/>
    </row>
    <row r="247" spans="2:17" x14ac:dyDescent="0.3">
      <c r="B247" s="17"/>
      <c r="F247" s="16"/>
      <c r="G247" s="17"/>
      <c r="I247" s="16"/>
      <c r="K247" s="16"/>
      <c r="M247" s="16"/>
      <c r="O247" s="16"/>
      <c r="Q247" s="16"/>
    </row>
    <row r="248" spans="2:17" x14ac:dyDescent="0.3">
      <c r="B248" s="17"/>
      <c r="F248" s="16"/>
      <c r="G248" s="17"/>
      <c r="I248" s="16"/>
      <c r="K248" s="16"/>
      <c r="M248" s="16"/>
      <c r="O248" s="16"/>
      <c r="Q248" s="16"/>
    </row>
    <row r="249" spans="2:17" x14ac:dyDescent="0.3">
      <c r="B249" s="17"/>
      <c r="F249" s="16"/>
      <c r="G249" s="17"/>
      <c r="I249" s="16"/>
      <c r="K249" s="16"/>
      <c r="M249" s="16"/>
      <c r="O249" s="16"/>
      <c r="Q249" s="16"/>
    </row>
    <row r="250" spans="2:17" x14ac:dyDescent="0.3">
      <c r="B250" s="17"/>
    </row>
    <row r="251" spans="2:17" x14ac:dyDescent="0.3">
      <c r="B251" s="17"/>
    </row>
    <row r="252" spans="2:17" x14ac:dyDescent="0.3">
      <c r="B252" s="17"/>
      <c r="E252" s="17"/>
    </row>
    <row r="253" spans="2:17" x14ac:dyDescent="0.3">
      <c r="E253" s="17"/>
    </row>
    <row r="254" spans="2:17" x14ac:dyDescent="0.3">
      <c r="E254" s="17"/>
    </row>
    <row r="255" spans="2:17" x14ac:dyDescent="0.3">
      <c r="E255" s="17"/>
    </row>
    <row r="256" spans="2:17" x14ac:dyDescent="0.3">
      <c r="E256" s="17"/>
    </row>
    <row r="257" spans="5:5" x14ac:dyDescent="0.3">
      <c r="E257" s="17"/>
    </row>
    <row r="258" spans="5:5" x14ac:dyDescent="0.3">
      <c r="E258" s="17"/>
    </row>
    <row r="259" spans="5:5" x14ac:dyDescent="0.3">
      <c r="E259" s="17"/>
    </row>
    <row r="260" spans="5:5" x14ac:dyDescent="0.3">
      <c r="E260" s="17"/>
    </row>
    <row r="261" spans="5:5" x14ac:dyDescent="0.3">
      <c r="E261" s="17"/>
    </row>
    <row r="262" spans="5:5" x14ac:dyDescent="0.3">
      <c r="E262" s="17"/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4"/>
  <sheetViews>
    <sheetView topLeftCell="A105" workbookViewId="0">
      <selection activeCell="A144" sqref="A144:B144"/>
    </sheetView>
  </sheetViews>
  <sheetFormatPr defaultRowHeight="14.5" x14ac:dyDescent="0.3"/>
  <cols>
    <col min="2" max="2" width="11" customWidth="1"/>
    <col min="5" max="5" width="1.5" customWidth="1"/>
    <col min="10" max="10" width="1.69921875" customWidth="1"/>
    <col min="15" max="15" width="1.3984375" customWidth="1"/>
    <col min="20" max="20" width="1.19921875" customWidth="1"/>
    <col min="25" max="25" width="1.3984375" customWidth="1"/>
    <col min="30" max="30" width="1.3984375" customWidth="1"/>
    <col min="35" max="35" width="1.3984375" customWidth="1"/>
    <col min="40" max="40" width="1.5" customWidth="1"/>
    <col min="45" max="45" width="1.296875" customWidth="1"/>
  </cols>
  <sheetData>
    <row r="1" spans="1:49" x14ac:dyDescent="0.3">
      <c r="A1" s="26" t="s">
        <v>42</v>
      </c>
      <c r="B1" s="26"/>
      <c r="C1" s="26"/>
      <c r="D1" s="27"/>
      <c r="F1" s="26" t="s">
        <v>14</v>
      </c>
      <c r="G1" s="26"/>
      <c r="H1" s="26"/>
      <c r="I1" s="27"/>
      <c r="K1" s="26" t="s">
        <v>1</v>
      </c>
      <c r="L1" s="26"/>
      <c r="M1" s="26"/>
      <c r="N1" s="27"/>
      <c r="P1" s="26" t="s">
        <v>2</v>
      </c>
      <c r="Q1" s="26"/>
      <c r="R1" s="26"/>
      <c r="S1" s="27"/>
      <c r="U1" s="26" t="s">
        <v>3</v>
      </c>
      <c r="V1" s="26"/>
      <c r="W1" s="26"/>
      <c r="X1" s="27"/>
      <c r="Z1" s="26" t="s">
        <v>10</v>
      </c>
      <c r="AA1" s="26"/>
      <c r="AB1" s="26"/>
      <c r="AC1" s="27"/>
      <c r="AE1" s="26" t="s">
        <v>5</v>
      </c>
      <c r="AF1" s="26"/>
      <c r="AG1" s="26"/>
      <c r="AH1" s="27"/>
      <c r="AJ1" s="26" t="s">
        <v>12</v>
      </c>
      <c r="AK1" s="26"/>
      <c r="AL1" s="26"/>
      <c r="AM1" s="27"/>
      <c r="AO1" s="26" t="s">
        <v>33</v>
      </c>
      <c r="AP1" s="26"/>
      <c r="AQ1" s="26"/>
      <c r="AR1" s="27"/>
      <c r="AT1" s="26" t="s">
        <v>44</v>
      </c>
      <c r="AU1" s="26"/>
      <c r="AV1" s="26"/>
      <c r="AW1" s="27"/>
    </row>
    <row r="2" spans="1:49" x14ac:dyDescent="0.3">
      <c r="A2" s="1" t="s">
        <v>55</v>
      </c>
      <c r="B2" s="1" t="s">
        <v>56</v>
      </c>
      <c r="C2" s="1" t="s">
        <v>57</v>
      </c>
      <c r="D2" s="1" t="s">
        <v>58</v>
      </c>
      <c r="F2" s="1" t="s">
        <v>55</v>
      </c>
      <c r="G2" s="1" t="s">
        <v>56</v>
      </c>
      <c r="H2" s="1" t="s">
        <v>57</v>
      </c>
      <c r="I2" s="1" t="s">
        <v>58</v>
      </c>
      <c r="K2" s="1" t="s">
        <v>55</v>
      </c>
      <c r="L2" s="1" t="s">
        <v>56</v>
      </c>
      <c r="M2" s="1" t="s">
        <v>57</v>
      </c>
      <c r="N2" s="1" t="s">
        <v>58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55</v>
      </c>
      <c r="V2" s="1" t="s">
        <v>56</v>
      </c>
      <c r="W2" s="1" t="s">
        <v>57</v>
      </c>
      <c r="X2" s="1" t="s">
        <v>58</v>
      </c>
      <c r="Z2" s="1" t="s">
        <v>55</v>
      </c>
      <c r="AA2" s="1" t="s">
        <v>56</v>
      </c>
      <c r="AB2" s="1" t="s">
        <v>57</v>
      </c>
      <c r="AC2" s="1" t="s">
        <v>58</v>
      </c>
      <c r="AE2" s="1" t="s">
        <v>55</v>
      </c>
      <c r="AF2" s="1" t="s">
        <v>56</v>
      </c>
      <c r="AG2" s="1" t="s">
        <v>57</v>
      </c>
      <c r="AH2" s="1" t="s">
        <v>58</v>
      </c>
      <c r="AJ2" s="1" t="s">
        <v>55</v>
      </c>
      <c r="AK2" s="1" t="s">
        <v>56</v>
      </c>
      <c r="AL2" s="1" t="s">
        <v>57</v>
      </c>
      <c r="AM2" s="1" t="s">
        <v>58</v>
      </c>
      <c r="AO2" s="1" t="s">
        <v>55</v>
      </c>
      <c r="AP2" s="1" t="s">
        <v>56</v>
      </c>
      <c r="AQ2" s="1" t="s">
        <v>57</v>
      </c>
      <c r="AR2" s="1" t="s">
        <v>58</v>
      </c>
      <c r="AT2" s="1" t="s">
        <v>55</v>
      </c>
      <c r="AU2" s="1" t="s">
        <v>56</v>
      </c>
      <c r="AV2" s="1" t="s">
        <v>57</v>
      </c>
      <c r="AW2" s="1" t="s">
        <v>58</v>
      </c>
    </row>
    <row r="3" spans="1:49" x14ac:dyDescent="0.3">
      <c r="A3" s="2">
        <v>9.9999999999999994E-12</v>
      </c>
      <c r="B3" s="16">
        <v>0</v>
      </c>
      <c r="C3" s="16">
        <v>0</v>
      </c>
      <c r="D3">
        <f>B3*C3</f>
        <v>0</v>
      </c>
      <c r="F3" s="2">
        <v>9.9999999999999994E-12</v>
      </c>
      <c r="G3" s="3">
        <v>0</v>
      </c>
      <c r="H3" s="16">
        <v>0</v>
      </c>
      <c r="I3">
        <f>G3*H3</f>
        <v>0</v>
      </c>
      <c r="K3" s="2">
        <v>9.9999999999999994E-12</v>
      </c>
      <c r="L3" s="3">
        <v>0</v>
      </c>
      <c r="M3" s="16">
        <v>0</v>
      </c>
      <c r="N3">
        <f>L3*M3</f>
        <v>0</v>
      </c>
      <c r="P3" s="2">
        <v>9.9999999999999994E-12</v>
      </c>
      <c r="Q3" s="3">
        <v>0</v>
      </c>
      <c r="R3" s="16">
        <v>0</v>
      </c>
      <c r="S3">
        <f>Q3*R3</f>
        <v>0</v>
      </c>
      <c r="U3" s="2">
        <v>9.9999999999999994E-12</v>
      </c>
      <c r="V3" s="3">
        <v>0</v>
      </c>
      <c r="W3" s="16">
        <v>0</v>
      </c>
      <c r="X3">
        <f>V3*W3</f>
        <v>0</v>
      </c>
      <c r="Z3" s="2">
        <v>9.9999999999999994E-12</v>
      </c>
      <c r="AA3" s="3">
        <v>0</v>
      </c>
      <c r="AB3" s="16">
        <v>0</v>
      </c>
      <c r="AC3">
        <f>AA3*AB3</f>
        <v>0</v>
      </c>
      <c r="AE3" s="2">
        <v>9.9999999999999994E-12</v>
      </c>
      <c r="AF3" s="3">
        <v>0</v>
      </c>
      <c r="AG3" s="16">
        <v>0</v>
      </c>
      <c r="AH3">
        <f>AF3*AG3</f>
        <v>0</v>
      </c>
      <c r="AJ3" s="2">
        <v>9.9999999999999994E-12</v>
      </c>
      <c r="AK3" s="3">
        <v>0</v>
      </c>
      <c r="AL3" s="16">
        <v>0</v>
      </c>
      <c r="AM3">
        <f>AK3*AL3</f>
        <v>0</v>
      </c>
      <c r="AO3" s="2">
        <v>9.9999999999999994E-12</v>
      </c>
      <c r="AP3" s="3">
        <v>0</v>
      </c>
      <c r="AQ3" s="16">
        <v>0</v>
      </c>
      <c r="AR3">
        <f>AP3*AQ3</f>
        <v>0</v>
      </c>
      <c r="AT3" s="2">
        <v>9.9999999999999994E-12</v>
      </c>
      <c r="AU3" s="3">
        <v>0</v>
      </c>
      <c r="AV3" s="16">
        <v>0</v>
      </c>
      <c r="AW3">
        <f>AU3*AV3</f>
        <v>0</v>
      </c>
    </row>
    <row r="4" spans="1:49" x14ac:dyDescent="0.3">
      <c r="A4" s="2">
        <v>1.5849999999999999E-11</v>
      </c>
      <c r="B4" s="16">
        <v>0</v>
      </c>
      <c r="C4" s="16">
        <v>0.798943581792663</v>
      </c>
      <c r="D4">
        <f t="shared" ref="D4:D67" si="0">B4*C4</f>
        <v>0</v>
      </c>
      <c r="F4" s="2">
        <v>1.5849999999999999E-11</v>
      </c>
      <c r="G4" s="3">
        <v>0</v>
      </c>
      <c r="H4" s="16">
        <v>0</v>
      </c>
      <c r="I4">
        <f t="shared" ref="I4:I67" si="1">G4*H4</f>
        <v>0</v>
      </c>
      <c r="K4" s="2">
        <v>1.5849999999999999E-11</v>
      </c>
      <c r="L4" s="3">
        <v>0</v>
      </c>
      <c r="M4" s="16">
        <v>0</v>
      </c>
      <c r="N4">
        <f t="shared" ref="N4:N67" si="2">L4*M4</f>
        <v>0</v>
      </c>
      <c r="P4" s="2">
        <v>1.5849999999999999E-11</v>
      </c>
      <c r="Q4" s="3">
        <v>0</v>
      </c>
      <c r="R4" s="16">
        <v>0</v>
      </c>
      <c r="S4">
        <f t="shared" ref="S4:S67" si="3">Q4*R4</f>
        <v>0</v>
      </c>
      <c r="U4" s="2">
        <v>1.5849999999999999E-11</v>
      </c>
      <c r="V4" s="3">
        <v>0</v>
      </c>
      <c r="W4" s="16">
        <v>0</v>
      </c>
      <c r="X4">
        <f t="shared" ref="X4:X67" si="4">V4*W4</f>
        <v>0</v>
      </c>
      <c r="Z4" s="2">
        <v>1.5849999999999999E-11</v>
      </c>
      <c r="AA4" s="3">
        <v>0</v>
      </c>
      <c r="AB4" s="16">
        <v>0</v>
      </c>
      <c r="AC4">
        <f t="shared" ref="AC4:AC67" si="5">AA4*AB4</f>
        <v>0</v>
      </c>
      <c r="AE4" s="2">
        <v>1.5849999999999999E-11</v>
      </c>
      <c r="AF4" s="3">
        <v>0</v>
      </c>
      <c r="AG4" s="16">
        <v>0</v>
      </c>
      <c r="AH4">
        <f t="shared" ref="AH4:AH67" si="6">AF4*AG4</f>
        <v>0</v>
      </c>
      <c r="AJ4" s="2">
        <v>1.5849999999999999E-11</v>
      </c>
      <c r="AK4" s="3">
        <v>0</v>
      </c>
      <c r="AL4" s="16">
        <v>0.11829255817128</v>
      </c>
      <c r="AM4">
        <f t="shared" ref="AM4:AM67" si="7">AK4*AL4</f>
        <v>0</v>
      </c>
      <c r="AO4" s="2">
        <v>1.5849999999999999E-11</v>
      </c>
      <c r="AP4" s="3">
        <v>0</v>
      </c>
      <c r="AQ4" s="16">
        <v>1.56101461322566E-3</v>
      </c>
      <c r="AR4">
        <f t="shared" ref="AR4:AR67" si="8">AP4*AQ4</f>
        <v>0</v>
      </c>
      <c r="AT4" s="2">
        <v>1.5849999999999999E-11</v>
      </c>
      <c r="AU4" s="3">
        <v>0</v>
      </c>
      <c r="AV4" s="16">
        <v>0</v>
      </c>
      <c r="AW4">
        <f t="shared" ref="AW4:AW67" si="9">AU4*AV4</f>
        <v>0</v>
      </c>
    </row>
    <row r="5" spans="1:49" x14ac:dyDescent="0.3">
      <c r="A5" s="2">
        <v>2.512E-11</v>
      </c>
      <c r="B5" s="16">
        <v>0</v>
      </c>
      <c r="C5" s="16">
        <v>0.62523348655337296</v>
      </c>
      <c r="D5">
        <f t="shared" si="0"/>
        <v>0</v>
      </c>
      <c r="F5" s="2">
        <v>2.512E-11</v>
      </c>
      <c r="G5" s="3">
        <v>0</v>
      </c>
      <c r="H5" s="16">
        <v>0</v>
      </c>
      <c r="I5">
        <f t="shared" si="1"/>
        <v>0</v>
      </c>
      <c r="K5" s="2">
        <v>2.512E-11</v>
      </c>
      <c r="L5" s="3">
        <v>0</v>
      </c>
      <c r="M5" s="16">
        <v>0</v>
      </c>
      <c r="N5">
        <f t="shared" si="2"/>
        <v>0</v>
      </c>
      <c r="P5" s="2">
        <v>2.512E-11</v>
      </c>
      <c r="Q5" s="3">
        <v>0</v>
      </c>
      <c r="R5" s="16">
        <v>0</v>
      </c>
      <c r="S5">
        <f t="shared" si="3"/>
        <v>0</v>
      </c>
      <c r="U5" s="2">
        <v>2.512E-11</v>
      </c>
      <c r="V5" s="3">
        <v>0</v>
      </c>
      <c r="W5" s="16">
        <v>0</v>
      </c>
      <c r="X5">
        <f t="shared" si="4"/>
        <v>0</v>
      </c>
      <c r="Z5" s="2">
        <v>2.512E-11</v>
      </c>
      <c r="AA5" s="3">
        <v>0</v>
      </c>
      <c r="AB5" s="16">
        <v>0</v>
      </c>
      <c r="AC5">
        <f t="shared" si="5"/>
        <v>0</v>
      </c>
      <c r="AE5" s="2">
        <v>2.512E-11</v>
      </c>
      <c r="AF5" s="3">
        <v>0</v>
      </c>
      <c r="AG5" s="16">
        <v>0</v>
      </c>
      <c r="AH5">
        <f t="shared" si="6"/>
        <v>0</v>
      </c>
      <c r="AJ5" s="2">
        <v>2.512E-11</v>
      </c>
      <c r="AK5" s="3">
        <v>0</v>
      </c>
      <c r="AL5" s="16">
        <v>9.2572441966531999E-2</v>
      </c>
      <c r="AM5">
        <f t="shared" si="7"/>
        <v>0</v>
      </c>
      <c r="AO5" s="2">
        <v>2.512E-11</v>
      </c>
      <c r="AP5" s="3">
        <v>0</v>
      </c>
      <c r="AQ5" s="16">
        <v>1.22160711264966E-3</v>
      </c>
      <c r="AR5">
        <f t="shared" si="8"/>
        <v>0</v>
      </c>
      <c r="AT5" s="2">
        <v>2.512E-11</v>
      </c>
      <c r="AU5" s="3">
        <v>0</v>
      </c>
      <c r="AV5" s="16">
        <v>0</v>
      </c>
      <c r="AW5">
        <f t="shared" si="9"/>
        <v>0</v>
      </c>
    </row>
    <row r="6" spans="1:49" x14ac:dyDescent="0.3">
      <c r="A6" s="2">
        <v>3.9810000000000003E-11</v>
      </c>
      <c r="B6" s="16">
        <v>0</v>
      </c>
      <c r="C6" s="16">
        <v>0.48929276714064801</v>
      </c>
      <c r="D6">
        <f t="shared" si="0"/>
        <v>0</v>
      </c>
      <c r="F6" s="2">
        <v>3.9810000000000003E-11</v>
      </c>
      <c r="G6" s="3">
        <v>0</v>
      </c>
      <c r="H6" s="16">
        <v>0</v>
      </c>
      <c r="I6">
        <f t="shared" si="1"/>
        <v>0</v>
      </c>
      <c r="K6" s="2">
        <v>3.9810000000000003E-11</v>
      </c>
      <c r="L6" s="3">
        <v>0</v>
      </c>
      <c r="M6" s="16">
        <v>0</v>
      </c>
      <c r="N6">
        <f t="shared" si="2"/>
        <v>0</v>
      </c>
      <c r="P6" s="2">
        <v>3.9810000000000003E-11</v>
      </c>
      <c r="Q6" s="3">
        <v>0</v>
      </c>
      <c r="R6" s="16">
        <v>0</v>
      </c>
      <c r="S6">
        <f t="shared" si="3"/>
        <v>0</v>
      </c>
      <c r="U6" s="2">
        <v>3.9810000000000003E-11</v>
      </c>
      <c r="V6" s="3">
        <v>0</v>
      </c>
      <c r="W6" s="16">
        <v>0</v>
      </c>
      <c r="X6">
        <f t="shared" si="4"/>
        <v>0</v>
      </c>
      <c r="Z6" s="2">
        <v>3.9810000000000003E-11</v>
      </c>
      <c r="AA6" s="3">
        <v>0</v>
      </c>
      <c r="AB6" s="16">
        <v>0</v>
      </c>
      <c r="AC6">
        <f t="shared" si="5"/>
        <v>0</v>
      </c>
      <c r="AE6" s="2">
        <v>3.9810000000000003E-11</v>
      </c>
      <c r="AF6" s="3">
        <v>0</v>
      </c>
      <c r="AG6" s="16">
        <v>0</v>
      </c>
      <c r="AH6">
        <f t="shared" si="6"/>
        <v>0</v>
      </c>
      <c r="AJ6" s="2">
        <v>3.9810000000000003E-11</v>
      </c>
      <c r="AK6" s="3">
        <v>0</v>
      </c>
      <c r="AL6" s="16">
        <v>7.2444631304621407E-2</v>
      </c>
      <c r="AM6">
        <f t="shared" si="7"/>
        <v>0</v>
      </c>
      <c r="AO6" s="2">
        <v>3.9810000000000003E-11</v>
      </c>
      <c r="AP6" s="3">
        <v>0</v>
      </c>
      <c r="AQ6" s="16">
        <v>9.5599865100993802E-4</v>
      </c>
      <c r="AR6">
        <f t="shared" si="8"/>
        <v>0</v>
      </c>
      <c r="AT6" s="2">
        <v>3.9810000000000003E-11</v>
      </c>
      <c r="AU6" s="3">
        <v>0</v>
      </c>
      <c r="AV6" s="16">
        <v>0</v>
      </c>
      <c r="AW6">
        <f t="shared" si="9"/>
        <v>0</v>
      </c>
    </row>
    <row r="7" spans="1:49" x14ac:dyDescent="0.3">
      <c r="A7" s="2">
        <v>6.3099999999999994E-11</v>
      </c>
      <c r="B7" s="16">
        <v>0</v>
      </c>
      <c r="C7" s="16">
        <v>0.39206036611848899</v>
      </c>
      <c r="D7">
        <f t="shared" si="0"/>
        <v>0</v>
      </c>
      <c r="F7" s="2">
        <v>6.3099999999999994E-11</v>
      </c>
      <c r="G7" s="3">
        <v>0</v>
      </c>
      <c r="H7" s="16">
        <v>0</v>
      </c>
      <c r="I7">
        <f t="shared" si="1"/>
        <v>0</v>
      </c>
      <c r="K7" s="2">
        <v>6.3099999999999994E-11</v>
      </c>
      <c r="L7" s="3">
        <v>0</v>
      </c>
      <c r="M7" s="16">
        <v>0</v>
      </c>
      <c r="N7">
        <f t="shared" si="2"/>
        <v>0</v>
      </c>
      <c r="P7" s="2">
        <v>6.3099999999999994E-11</v>
      </c>
      <c r="Q7" s="3">
        <v>0</v>
      </c>
      <c r="R7" s="16">
        <v>0</v>
      </c>
      <c r="S7">
        <f t="shared" si="3"/>
        <v>0</v>
      </c>
      <c r="U7" s="2">
        <v>6.3099999999999994E-11</v>
      </c>
      <c r="V7" s="3">
        <v>0</v>
      </c>
      <c r="W7" s="16">
        <v>0</v>
      </c>
      <c r="X7">
        <f t="shared" si="4"/>
        <v>0</v>
      </c>
      <c r="Z7" s="2">
        <v>6.3099999999999994E-11</v>
      </c>
      <c r="AA7" s="3">
        <v>0</v>
      </c>
      <c r="AB7" s="16">
        <v>0</v>
      </c>
      <c r="AC7">
        <f t="shared" si="5"/>
        <v>0</v>
      </c>
      <c r="AE7" s="2">
        <v>6.3099999999999994E-11</v>
      </c>
      <c r="AF7" s="3">
        <v>0</v>
      </c>
      <c r="AG7" s="16">
        <v>0</v>
      </c>
      <c r="AH7">
        <f t="shared" si="6"/>
        <v>0</v>
      </c>
      <c r="AJ7" s="2">
        <v>6.3099999999999994E-11</v>
      </c>
      <c r="AK7" s="3">
        <v>0</v>
      </c>
      <c r="AL7" s="16">
        <v>5.8047995287573199E-2</v>
      </c>
      <c r="AM7">
        <f t="shared" si="7"/>
        <v>0</v>
      </c>
      <c r="AO7" s="2">
        <v>6.3099999999999994E-11</v>
      </c>
      <c r="AP7" s="3">
        <v>0</v>
      </c>
      <c r="AQ7" s="16">
        <v>7.6601603591386596E-4</v>
      </c>
      <c r="AR7">
        <f t="shared" si="8"/>
        <v>0</v>
      </c>
      <c r="AT7" s="2">
        <v>6.3099999999999994E-11</v>
      </c>
      <c r="AU7" s="3">
        <v>0</v>
      </c>
      <c r="AV7" s="16">
        <v>0</v>
      </c>
      <c r="AW7">
        <f t="shared" si="9"/>
        <v>0</v>
      </c>
    </row>
    <row r="8" spans="1:49" x14ac:dyDescent="0.3">
      <c r="A8" s="2">
        <v>1E-10</v>
      </c>
      <c r="B8" s="16">
        <v>0</v>
      </c>
      <c r="C8" s="16">
        <v>0.31471774346940201</v>
      </c>
      <c r="D8">
        <f t="shared" si="0"/>
        <v>0</v>
      </c>
      <c r="F8" s="2">
        <v>1E-10</v>
      </c>
      <c r="G8" s="3">
        <v>0</v>
      </c>
      <c r="H8" s="16">
        <v>0</v>
      </c>
      <c r="I8">
        <f t="shared" si="1"/>
        <v>0</v>
      </c>
      <c r="K8" s="2">
        <v>1E-10</v>
      </c>
      <c r="L8" s="3">
        <v>0</v>
      </c>
      <c r="M8" s="16">
        <v>0</v>
      </c>
      <c r="N8">
        <f t="shared" si="2"/>
        <v>0</v>
      </c>
      <c r="P8" s="2">
        <v>1E-10</v>
      </c>
      <c r="Q8" s="3">
        <v>0</v>
      </c>
      <c r="R8" s="16">
        <v>0</v>
      </c>
      <c r="S8">
        <f t="shared" si="3"/>
        <v>0</v>
      </c>
      <c r="U8" s="2">
        <v>1E-10</v>
      </c>
      <c r="V8" s="3">
        <v>0</v>
      </c>
      <c r="W8" s="16">
        <v>0</v>
      </c>
      <c r="X8">
        <f t="shared" si="4"/>
        <v>0</v>
      </c>
      <c r="Z8" s="2">
        <v>1E-10</v>
      </c>
      <c r="AA8" s="3">
        <v>0</v>
      </c>
      <c r="AB8" s="16">
        <v>0</v>
      </c>
      <c r="AC8">
        <f t="shared" si="5"/>
        <v>0</v>
      </c>
      <c r="AE8" s="2">
        <v>1E-10</v>
      </c>
      <c r="AF8" s="3">
        <v>0</v>
      </c>
      <c r="AG8" s="16">
        <v>0</v>
      </c>
      <c r="AH8">
        <f t="shared" si="6"/>
        <v>0</v>
      </c>
      <c r="AJ8" s="2">
        <v>1E-10</v>
      </c>
      <c r="AK8" s="3">
        <v>0</v>
      </c>
      <c r="AL8" s="16">
        <v>4.6596237002947398E-2</v>
      </c>
      <c r="AM8">
        <f t="shared" si="7"/>
        <v>0</v>
      </c>
      <c r="AO8" s="2">
        <v>1E-10</v>
      </c>
      <c r="AP8" s="3">
        <v>0</v>
      </c>
      <c r="AQ8" s="16">
        <v>6.1489598766381896E-4</v>
      </c>
      <c r="AR8">
        <f t="shared" si="8"/>
        <v>0</v>
      </c>
      <c r="AT8" s="2">
        <v>1E-10</v>
      </c>
      <c r="AU8" s="3">
        <v>0</v>
      </c>
      <c r="AV8" s="16">
        <v>0</v>
      </c>
      <c r="AW8">
        <f t="shared" si="9"/>
        <v>0</v>
      </c>
    </row>
    <row r="9" spans="1:49" x14ac:dyDescent="0.3">
      <c r="A9" s="2">
        <v>1.585E-10</v>
      </c>
      <c r="B9" s="16">
        <v>0</v>
      </c>
      <c r="C9" s="16">
        <v>0.246294360065937</v>
      </c>
      <c r="D9">
        <f t="shared" si="0"/>
        <v>0</v>
      </c>
      <c r="F9" s="2">
        <v>1.585E-10</v>
      </c>
      <c r="G9" s="3">
        <v>0</v>
      </c>
      <c r="H9" s="16">
        <v>0</v>
      </c>
      <c r="I9">
        <f t="shared" si="1"/>
        <v>0</v>
      </c>
      <c r="K9" s="2">
        <v>1.585E-10</v>
      </c>
      <c r="L9" s="3">
        <v>0</v>
      </c>
      <c r="M9" s="16">
        <v>0</v>
      </c>
      <c r="N9">
        <f t="shared" si="2"/>
        <v>0</v>
      </c>
      <c r="P9" s="2">
        <v>1.585E-10</v>
      </c>
      <c r="Q9" s="3">
        <v>0</v>
      </c>
      <c r="R9" s="16">
        <v>0</v>
      </c>
      <c r="S9">
        <f t="shared" si="3"/>
        <v>0</v>
      </c>
      <c r="U9" s="2">
        <v>1.585E-10</v>
      </c>
      <c r="V9" s="3">
        <v>0</v>
      </c>
      <c r="W9" s="16">
        <v>0</v>
      </c>
      <c r="X9">
        <f t="shared" si="4"/>
        <v>0</v>
      </c>
      <c r="Z9" s="2">
        <v>1.585E-10</v>
      </c>
      <c r="AA9" s="3">
        <v>0</v>
      </c>
      <c r="AB9" s="16">
        <v>0</v>
      </c>
      <c r="AC9">
        <f t="shared" si="5"/>
        <v>0</v>
      </c>
      <c r="AE9" s="2">
        <v>1.585E-10</v>
      </c>
      <c r="AF9" s="3">
        <v>0</v>
      </c>
      <c r="AG9" s="16">
        <v>0</v>
      </c>
      <c r="AH9">
        <f t="shared" si="6"/>
        <v>0</v>
      </c>
      <c r="AJ9" s="2">
        <v>1.585E-10</v>
      </c>
      <c r="AK9" s="3">
        <v>0</v>
      </c>
      <c r="AL9" s="16">
        <v>3.6464923673783303E-2</v>
      </c>
      <c r="AM9">
        <f t="shared" si="7"/>
        <v>0</v>
      </c>
      <c r="AO9" s="2">
        <v>1.585E-10</v>
      </c>
      <c r="AP9" s="3">
        <v>0</v>
      </c>
      <c r="AQ9" s="16">
        <v>4.8120144257978299E-4</v>
      </c>
      <c r="AR9">
        <f t="shared" si="8"/>
        <v>0</v>
      </c>
      <c r="AT9" s="2">
        <v>1.585E-10</v>
      </c>
      <c r="AU9" s="3">
        <v>0</v>
      </c>
      <c r="AV9" s="16">
        <v>0</v>
      </c>
      <c r="AW9">
        <f t="shared" si="9"/>
        <v>0</v>
      </c>
    </row>
    <row r="10" spans="1:49" x14ac:dyDescent="0.3">
      <c r="A10" s="2">
        <v>2.5120000000000002E-10</v>
      </c>
      <c r="B10" s="16">
        <v>0</v>
      </c>
      <c r="C10" s="16">
        <v>0.19735403486549499</v>
      </c>
      <c r="D10">
        <f t="shared" si="0"/>
        <v>0</v>
      </c>
      <c r="F10" s="2">
        <v>2.5120000000000002E-10</v>
      </c>
      <c r="G10" s="3">
        <v>0</v>
      </c>
      <c r="H10" s="16">
        <v>0</v>
      </c>
      <c r="I10">
        <f t="shared" si="1"/>
        <v>0</v>
      </c>
      <c r="K10" s="2">
        <v>2.5120000000000002E-10</v>
      </c>
      <c r="L10" s="3">
        <v>0</v>
      </c>
      <c r="M10" s="16">
        <v>0</v>
      </c>
      <c r="N10">
        <f t="shared" si="2"/>
        <v>0</v>
      </c>
      <c r="P10" s="2">
        <v>2.5120000000000002E-10</v>
      </c>
      <c r="Q10" s="3">
        <v>0</v>
      </c>
      <c r="R10" s="16">
        <v>0</v>
      </c>
      <c r="S10">
        <f t="shared" si="3"/>
        <v>0</v>
      </c>
      <c r="U10" s="2">
        <v>2.5120000000000002E-10</v>
      </c>
      <c r="V10" s="3">
        <v>0</v>
      </c>
      <c r="W10" s="16">
        <v>0</v>
      </c>
      <c r="X10">
        <f t="shared" si="4"/>
        <v>0</v>
      </c>
      <c r="Z10" s="2">
        <v>2.5120000000000002E-10</v>
      </c>
      <c r="AA10" s="3">
        <v>0</v>
      </c>
      <c r="AB10" s="16">
        <v>0</v>
      </c>
      <c r="AC10">
        <f t="shared" si="5"/>
        <v>0</v>
      </c>
      <c r="AE10" s="2">
        <v>2.5120000000000002E-10</v>
      </c>
      <c r="AF10" s="3">
        <v>0</v>
      </c>
      <c r="AG10" s="16">
        <v>0</v>
      </c>
      <c r="AH10">
        <f t="shared" si="6"/>
        <v>0</v>
      </c>
      <c r="AJ10" s="2">
        <v>2.5120000000000002E-10</v>
      </c>
      <c r="AK10" s="3">
        <v>0</v>
      </c>
      <c r="AL10" s="16">
        <v>2.9218370277854001E-2</v>
      </c>
      <c r="AM10">
        <f t="shared" si="7"/>
        <v>0</v>
      </c>
      <c r="AO10" s="2">
        <v>2.5120000000000002E-10</v>
      </c>
      <c r="AP10" s="3">
        <v>0</v>
      </c>
      <c r="AQ10" s="16">
        <v>3.8557440304361998E-4</v>
      </c>
      <c r="AR10">
        <f t="shared" si="8"/>
        <v>0</v>
      </c>
      <c r="AT10" s="2">
        <v>2.5120000000000002E-10</v>
      </c>
      <c r="AU10" s="3">
        <v>0</v>
      </c>
      <c r="AV10" s="16">
        <v>0</v>
      </c>
      <c r="AW10">
        <f t="shared" si="9"/>
        <v>0</v>
      </c>
    </row>
    <row r="11" spans="1:49" x14ac:dyDescent="0.3">
      <c r="A11" s="2">
        <v>3.981E-10</v>
      </c>
      <c r="B11" s="16">
        <v>0</v>
      </c>
      <c r="C11" s="16">
        <v>0.15842635575024699</v>
      </c>
      <c r="D11">
        <f t="shared" si="0"/>
        <v>0</v>
      </c>
      <c r="F11" s="2">
        <v>3.981E-10</v>
      </c>
      <c r="G11" s="3">
        <v>0</v>
      </c>
      <c r="H11" s="16">
        <v>0</v>
      </c>
      <c r="I11">
        <f t="shared" si="1"/>
        <v>0</v>
      </c>
      <c r="K11" s="2">
        <v>3.981E-10</v>
      </c>
      <c r="L11" s="3">
        <v>0</v>
      </c>
      <c r="M11" s="16">
        <v>0</v>
      </c>
      <c r="N11">
        <f t="shared" si="2"/>
        <v>0</v>
      </c>
      <c r="P11" s="2">
        <v>3.981E-10</v>
      </c>
      <c r="Q11" s="3">
        <v>0</v>
      </c>
      <c r="R11" s="16">
        <v>0</v>
      </c>
      <c r="S11">
        <f t="shared" si="3"/>
        <v>0</v>
      </c>
      <c r="U11" s="2">
        <v>3.981E-10</v>
      </c>
      <c r="V11" s="3">
        <v>0</v>
      </c>
      <c r="W11" s="16">
        <v>0</v>
      </c>
      <c r="X11">
        <f t="shared" si="4"/>
        <v>0</v>
      </c>
      <c r="Z11" s="2">
        <v>3.981E-10</v>
      </c>
      <c r="AA11" s="3">
        <v>0</v>
      </c>
      <c r="AB11" s="16">
        <v>0</v>
      </c>
      <c r="AC11">
        <f t="shared" si="5"/>
        <v>0</v>
      </c>
      <c r="AE11" s="2">
        <v>3.981E-10</v>
      </c>
      <c r="AF11" s="3">
        <v>0</v>
      </c>
      <c r="AG11" s="16">
        <v>0</v>
      </c>
      <c r="AH11">
        <f t="shared" si="6"/>
        <v>0</v>
      </c>
      <c r="AJ11" s="2">
        <v>3.981E-10</v>
      </c>
      <c r="AK11" s="3">
        <v>0</v>
      </c>
      <c r="AL11" s="16">
        <v>2.3454092003218401E-2</v>
      </c>
      <c r="AM11">
        <f t="shared" si="7"/>
        <v>0</v>
      </c>
      <c r="AO11" s="2">
        <v>3.981E-10</v>
      </c>
      <c r="AP11" s="3">
        <v>0</v>
      </c>
      <c r="AQ11" s="16">
        <v>3.0950845379443899E-4</v>
      </c>
      <c r="AR11">
        <f t="shared" si="8"/>
        <v>0</v>
      </c>
      <c r="AT11" s="2">
        <v>3.981E-10</v>
      </c>
      <c r="AU11" s="3">
        <v>0</v>
      </c>
      <c r="AV11" s="16">
        <v>0</v>
      </c>
      <c r="AW11">
        <f t="shared" si="9"/>
        <v>0</v>
      </c>
    </row>
    <row r="12" spans="1:49" x14ac:dyDescent="0.3">
      <c r="A12" s="2">
        <v>6.3099999999999999E-10</v>
      </c>
      <c r="B12" s="16">
        <v>0</v>
      </c>
      <c r="C12" s="16">
        <v>0.123989010334828</v>
      </c>
      <c r="D12">
        <f t="shared" si="0"/>
        <v>0</v>
      </c>
      <c r="F12" s="2">
        <v>6.3099999999999999E-10</v>
      </c>
      <c r="G12" s="3">
        <v>0</v>
      </c>
      <c r="H12" s="16">
        <v>0</v>
      </c>
      <c r="I12">
        <f t="shared" si="1"/>
        <v>0</v>
      </c>
      <c r="K12" s="2">
        <v>6.3099999999999999E-10</v>
      </c>
      <c r="L12" s="3">
        <v>0</v>
      </c>
      <c r="M12" s="16">
        <v>0</v>
      </c>
      <c r="N12">
        <f t="shared" si="2"/>
        <v>0</v>
      </c>
      <c r="P12" s="2">
        <v>6.3099999999999999E-10</v>
      </c>
      <c r="Q12" s="3">
        <v>0</v>
      </c>
      <c r="R12" s="16">
        <v>0</v>
      </c>
      <c r="S12">
        <f t="shared" si="3"/>
        <v>0</v>
      </c>
      <c r="U12" s="2">
        <v>6.3099999999999999E-10</v>
      </c>
      <c r="V12" s="3">
        <v>0</v>
      </c>
      <c r="W12" s="16">
        <v>0</v>
      </c>
      <c r="X12">
        <f t="shared" si="4"/>
        <v>0</v>
      </c>
      <c r="Z12" s="2">
        <v>6.3099999999999999E-10</v>
      </c>
      <c r="AA12" s="3">
        <v>0</v>
      </c>
      <c r="AB12" s="16">
        <v>0</v>
      </c>
      <c r="AC12">
        <f t="shared" si="5"/>
        <v>0</v>
      </c>
      <c r="AE12" s="2">
        <v>6.3099999999999999E-10</v>
      </c>
      <c r="AF12" s="3">
        <v>0</v>
      </c>
      <c r="AG12" s="16">
        <v>0</v>
      </c>
      <c r="AH12">
        <f t="shared" si="6"/>
        <v>0</v>
      </c>
      <c r="AJ12" s="2">
        <v>6.3099999999999999E-10</v>
      </c>
      <c r="AK12" s="3">
        <v>0</v>
      </c>
      <c r="AL12" s="16">
        <v>1.8354481389851199E-2</v>
      </c>
      <c r="AM12">
        <f t="shared" si="7"/>
        <v>0</v>
      </c>
      <c r="AO12" s="2">
        <v>6.3099999999999999E-10</v>
      </c>
      <c r="AP12" s="3">
        <v>0</v>
      </c>
      <c r="AQ12" s="16">
        <v>2.4221345095772301E-4</v>
      </c>
      <c r="AR12">
        <f t="shared" si="8"/>
        <v>0</v>
      </c>
      <c r="AT12" s="2">
        <v>6.3099999999999999E-10</v>
      </c>
      <c r="AU12" s="3">
        <v>0</v>
      </c>
      <c r="AV12" s="16">
        <v>0</v>
      </c>
      <c r="AW12">
        <f t="shared" si="9"/>
        <v>0</v>
      </c>
    </row>
    <row r="13" spans="1:49" x14ac:dyDescent="0.3">
      <c r="A13" s="2">
        <v>1.0000000000000001E-9</v>
      </c>
      <c r="B13" s="16">
        <v>0</v>
      </c>
      <c r="C13" s="16">
        <v>9.9359413427947907E-2</v>
      </c>
      <c r="D13">
        <f t="shared" si="0"/>
        <v>0</v>
      </c>
      <c r="F13" s="2">
        <v>1.0000000000000001E-9</v>
      </c>
      <c r="G13" s="3">
        <v>0</v>
      </c>
      <c r="H13" s="16">
        <v>0</v>
      </c>
      <c r="I13">
        <f t="shared" si="1"/>
        <v>0</v>
      </c>
      <c r="K13" s="2">
        <v>1.0000000000000001E-9</v>
      </c>
      <c r="L13" s="3">
        <v>0</v>
      </c>
      <c r="M13" s="16">
        <v>0</v>
      </c>
      <c r="N13">
        <f t="shared" si="2"/>
        <v>0</v>
      </c>
      <c r="P13" s="2">
        <v>1.0000000000000001E-9</v>
      </c>
      <c r="Q13" s="3">
        <v>0</v>
      </c>
      <c r="R13" s="16">
        <v>0</v>
      </c>
      <c r="S13">
        <f t="shared" si="3"/>
        <v>0</v>
      </c>
      <c r="U13" s="2">
        <v>1.0000000000000001E-9</v>
      </c>
      <c r="V13" s="3">
        <v>0</v>
      </c>
      <c r="W13" s="16">
        <v>0</v>
      </c>
      <c r="X13">
        <f t="shared" si="4"/>
        <v>0</v>
      </c>
      <c r="Z13" s="2">
        <v>1.0000000000000001E-9</v>
      </c>
      <c r="AA13" s="3">
        <v>0</v>
      </c>
      <c r="AB13" s="16">
        <v>0</v>
      </c>
      <c r="AC13">
        <f t="shared" si="5"/>
        <v>0</v>
      </c>
      <c r="AE13" s="2">
        <v>1.0000000000000001E-9</v>
      </c>
      <c r="AF13" s="3">
        <v>0</v>
      </c>
      <c r="AG13" s="16">
        <v>0</v>
      </c>
      <c r="AH13">
        <f t="shared" si="6"/>
        <v>0</v>
      </c>
      <c r="AJ13" s="2">
        <v>1.0000000000000001E-9</v>
      </c>
      <c r="AK13" s="3">
        <v>0</v>
      </c>
      <c r="AL13" s="16">
        <v>1.4706904436897501E-2</v>
      </c>
      <c r="AM13">
        <f t="shared" si="7"/>
        <v>0</v>
      </c>
      <c r="AO13" s="2">
        <v>1.0000000000000001E-9</v>
      </c>
      <c r="AP13" s="3">
        <v>0</v>
      </c>
      <c r="AQ13" s="16">
        <v>1.9407987111495699E-4</v>
      </c>
      <c r="AR13">
        <f t="shared" si="8"/>
        <v>0</v>
      </c>
      <c r="AT13" s="2">
        <v>1.0000000000000001E-9</v>
      </c>
      <c r="AU13" s="3">
        <v>0</v>
      </c>
      <c r="AV13" s="16">
        <v>0</v>
      </c>
      <c r="AW13">
        <f t="shared" si="9"/>
        <v>0</v>
      </c>
    </row>
    <row r="14" spans="1:49" x14ac:dyDescent="0.3">
      <c r="A14" s="2">
        <v>1.585E-9</v>
      </c>
      <c r="B14" s="16">
        <v>165.97200000000001</v>
      </c>
      <c r="C14" s="16">
        <v>7.9770429202616303E-2</v>
      </c>
      <c r="D14">
        <f t="shared" si="0"/>
        <v>13.239657675616634</v>
      </c>
      <c r="F14" s="2">
        <v>1.585E-9</v>
      </c>
      <c r="G14" s="3">
        <v>165.97200000000001</v>
      </c>
      <c r="H14" s="16">
        <v>0</v>
      </c>
      <c r="I14">
        <f t="shared" si="1"/>
        <v>0</v>
      </c>
      <c r="K14" s="2">
        <v>1.585E-9</v>
      </c>
      <c r="L14" s="3">
        <v>165.97200000000001</v>
      </c>
      <c r="M14" s="16">
        <v>0</v>
      </c>
      <c r="N14">
        <f t="shared" si="2"/>
        <v>0</v>
      </c>
      <c r="P14" s="2">
        <v>1.585E-9</v>
      </c>
      <c r="Q14" s="3">
        <v>165.97200000000001</v>
      </c>
      <c r="R14" s="16">
        <v>0</v>
      </c>
      <c r="S14">
        <f t="shared" si="3"/>
        <v>0</v>
      </c>
      <c r="U14" s="2">
        <v>1.585E-9</v>
      </c>
      <c r="V14" s="3">
        <v>165.97200000000001</v>
      </c>
      <c r="W14" s="16">
        <v>0</v>
      </c>
      <c r="X14">
        <f t="shared" si="4"/>
        <v>0</v>
      </c>
      <c r="Z14" s="2">
        <v>1.585E-9</v>
      </c>
      <c r="AA14" s="3">
        <v>165.97200000000001</v>
      </c>
      <c r="AB14" s="16">
        <v>0</v>
      </c>
      <c r="AC14">
        <f t="shared" si="5"/>
        <v>0</v>
      </c>
      <c r="AE14" s="2">
        <v>1.585E-9</v>
      </c>
      <c r="AF14" s="3">
        <v>165.97200000000001</v>
      </c>
      <c r="AG14" s="16">
        <v>0</v>
      </c>
      <c r="AH14">
        <f t="shared" si="6"/>
        <v>0</v>
      </c>
      <c r="AJ14" s="2">
        <v>1.585E-9</v>
      </c>
      <c r="AK14" s="3">
        <v>165.97200000000001</v>
      </c>
      <c r="AL14" s="16">
        <v>1.1805427280899099E-2</v>
      </c>
      <c r="AM14">
        <f t="shared" si="7"/>
        <v>1.9593703766653854</v>
      </c>
      <c r="AO14" s="2">
        <v>1.585E-9</v>
      </c>
      <c r="AP14" s="3">
        <v>165.97200000000001</v>
      </c>
      <c r="AQ14" s="16">
        <v>1.5579249801165099E-4</v>
      </c>
      <c r="AR14">
        <f t="shared" si="8"/>
        <v>2.585719247998974E-2</v>
      </c>
      <c r="AT14" s="2">
        <v>1.585E-9</v>
      </c>
      <c r="AU14" s="3">
        <v>165.97200000000001</v>
      </c>
      <c r="AV14" s="16">
        <v>0</v>
      </c>
      <c r="AW14">
        <f t="shared" si="9"/>
        <v>0</v>
      </c>
    </row>
    <row r="15" spans="1:49" x14ac:dyDescent="0.3">
      <c r="A15" s="2">
        <v>2.512E-9</v>
      </c>
      <c r="B15" s="16">
        <v>903.79600000000005</v>
      </c>
      <c r="C15" s="16">
        <v>6.2443828157913897E-2</v>
      </c>
      <c r="D15">
        <f t="shared" si="0"/>
        <v>56.436482113809951</v>
      </c>
      <c r="F15" s="2">
        <v>2.512E-9</v>
      </c>
      <c r="G15" s="3">
        <v>903.79600000000005</v>
      </c>
      <c r="H15" s="16">
        <v>0</v>
      </c>
      <c r="I15">
        <f t="shared" si="1"/>
        <v>0</v>
      </c>
      <c r="K15" s="2">
        <v>2.512E-9</v>
      </c>
      <c r="L15" s="3">
        <v>903.79600000000005</v>
      </c>
      <c r="M15" s="16">
        <v>0</v>
      </c>
      <c r="N15">
        <f t="shared" si="2"/>
        <v>0</v>
      </c>
      <c r="P15" s="2">
        <v>2.512E-9</v>
      </c>
      <c r="Q15" s="3">
        <v>903.79600000000005</v>
      </c>
      <c r="R15" s="16">
        <v>0</v>
      </c>
      <c r="S15">
        <f t="shared" si="3"/>
        <v>0</v>
      </c>
      <c r="U15" s="2">
        <v>2.512E-9</v>
      </c>
      <c r="V15" s="3">
        <v>903.79600000000005</v>
      </c>
      <c r="W15" s="16">
        <v>0</v>
      </c>
      <c r="X15">
        <f t="shared" si="4"/>
        <v>0</v>
      </c>
      <c r="Z15" s="2">
        <v>2.512E-9</v>
      </c>
      <c r="AA15" s="3">
        <v>903.79600000000005</v>
      </c>
      <c r="AB15" s="16">
        <v>0</v>
      </c>
      <c r="AC15">
        <f t="shared" si="5"/>
        <v>0</v>
      </c>
      <c r="AE15" s="2">
        <v>2.512E-9</v>
      </c>
      <c r="AF15" s="3">
        <v>903.79600000000005</v>
      </c>
      <c r="AG15" s="16">
        <v>0</v>
      </c>
      <c r="AH15">
        <f t="shared" si="6"/>
        <v>0</v>
      </c>
      <c r="AJ15" s="2">
        <v>2.512E-9</v>
      </c>
      <c r="AK15" s="3">
        <v>903.79600000000005</v>
      </c>
      <c r="AL15" s="16">
        <v>9.2385028715731808E-3</v>
      </c>
      <c r="AM15">
        <f t="shared" si="7"/>
        <v>8.3497219413163553</v>
      </c>
      <c r="AO15" s="2">
        <v>2.512E-9</v>
      </c>
      <c r="AP15" s="3">
        <v>903.79600000000005</v>
      </c>
      <c r="AQ15" s="16">
        <v>1.2192030435796E-4</v>
      </c>
      <c r="AR15">
        <f t="shared" si="8"/>
        <v>0.11019108339750683</v>
      </c>
      <c r="AT15" s="2">
        <v>2.512E-9</v>
      </c>
      <c r="AU15" s="3">
        <v>903.79600000000005</v>
      </c>
      <c r="AV15" s="16">
        <v>0</v>
      </c>
      <c r="AW15">
        <f t="shared" si="9"/>
        <v>0</v>
      </c>
    </row>
    <row r="16" spans="1:49" x14ac:dyDescent="0.3">
      <c r="A16" s="2">
        <v>3.9810000000000002E-9</v>
      </c>
      <c r="B16" s="16">
        <v>694.73400000000004</v>
      </c>
      <c r="C16" s="16">
        <v>4.8889874021546598E-2</v>
      </c>
      <c r="D16">
        <f t="shared" si="0"/>
        <v>33.965457738485156</v>
      </c>
      <c r="F16" s="2">
        <v>3.9810000000000002E-9</v>
      </c>
      <c r="G16" s="3">
        <v>694.73400000000004</v>
      </c>
      <c r="H16" s="16">
        <v>0</v>
      </c>
      <c r="I16">
        <f t="shared" si="1"/>
        <v>0</v>
      </c>
      <c r="K16" s="2">
        <v>3.9810000000000002E-9</v>
      </c>
      <c r="L16" s="3">
        <v>694.73400000000004</v>
      </c>
      <c r="M16" s="16">
        <v>0</v>
      </c>
      <c r="N16">
        <f t="shared" si="2"/>
        <v>0</v>
      </c>
      <c r="P16" s="2">
        <v>3.9810000000000002E-9</v>
      </c>
      <c r="Q16" s="3">
        <v>694.73400000000004</v>
      </c>
      <c r="R16" s="16">
        <v>0</v>
      </c>
      <c r="S16">
        <f t="shared" si="3"/>
        <v>0</v>
      </c>
      <c r="U16" s="2">
        <v>3.9810000000000002E-9</v>
      </c>
      <c r="V16" s="3">
        <v>694.73400000000004</v>
      </c>
      <c r="W16" s="16">
        <v>0</v>
      </c>
      <c r="X16">
        <f t="shared" si="4"/>
        <v>0</v>
      </c>
      <c r="Z16" s="2">
        <v>3.9810000000000002E-9</v>
      </c>
      <c r="AA16" s="3">
        <v>694.73400000000004</v>
      </c>
      <c r="AB16" s="16">
        <v>0</v>
      </c>
      <c r="AC16">
        <f t="shared" si="5"/>
        <v>0</v>
      </c>
      <c r="AE16" s="2">
        <v>3.9810000000000002E-9</v>
      </c>
      <c r="AF16" s="3">
        <v>694.73400000000004</v>
      </c>
      <c r="AG16" s="16">
        <v>0</v>
      </c>
      <c r="AH16">
        <f t="shared" si="6"/>
        <v>0</v>
      </c>
      <c r="AJ16" s="2">
        <v>3.9810000000000002E-9</v>
      </c>
      <c r="AK16" s="3">
        <v>694.73400000000004</v>
      </c>
      <c r="AL16" s="16">
        <v>7.2296817924806201E-3</v>
      </c>
      <c r="AM16">
        <f t="shared" si="7"/>
        <v>5.0227057504172317</v>
      </c>
      <c r="AO16" s="2">
        <v>3.9810000000000002E-9</v>
      </c>
      <c r="AP16" s="3">
        <v>694.73400000000004</v>
      </c>
      <c r="AQ16" s="17">
        <v>9.5412924837143798E-5</v>
      </c>
      <c r="AR16">
        <f t="shared" si="8"/>
        <v>6.6286602923808266E-2</v>
      </c>
      <c r="AT16" s="2">
        <v>3.9810000000000002E-9</v>
      </c>
      <c r="AU16" s="3">
        <v>694.73400000000004</v>
      </c>
      <c r="AV16" s="16">
        <v>0</v>
      </c>
      <c r="AW16">
        <f t="shared" si="9"/>
        <v>0</v>
      </c>
    </row>
    <row r="17" spans="1:49" x14ac:dyDescent="0.3">
      <c r="A17" s="2">
        <v>6.3099999999999999E-9</v>
      </c>
      <c r="B17" s="16">
        <v>857.57500000000005</v>
      </c>
      <c r="C17" s="16">
        <v>3.9202326966341801E-2</v>
      </c>
      <c r="D17">
        <f t="shared" si="0"/>
        <v>33.618935548160572</v>
      </c>
      <c r="F17" s="2">
        <v>6.3099999999999999E-9</v>
      </c>
      <c r="G17" s="3">
        <v>857.57500000000005</v>
      </c>
      <c r="H17" s="16">
        <v>0</v>
      </c>
      <c r="I17">
        <f t="shared" si="1"/>
        <v>0</v>
      </c>
      <c r="K17" s="2">
        <v>6.3099999999999999E-9</v>
      </c>
      <c r="L17" s="3">
        <v>857.57500000000005</v>
      </c>
      <c r="M17" s="16">
        <v>0</v>
      </c>
      <c r="N17">
        <f t="shared" si="2"/>
        <v>0</v>
      </c>
      <c r="P17" s="2">
        <v>6.3099999999999999E-9</v>
      </c>
      <c r="Q17" s="3">
        <v>857.57500000000005</v>
      </c>
      <c r="R17" s="16">
        <v>0</v>
      </c>
      <c r="S17">
        <f t="shared" si="3"/>
        <v>0</v>
      </c>
      <c r="U17" s="2">
        <v>6.3099999999999999E-9</v>
      </c>
      <c r="V17" s="3">
        <v>857.57500000000005</v>
      </c>
      <c r="W17" s="16">
        <v>0</v>
      </c>
      <c r="X17">
        <f t="shared" si="4"/>
        <v>0</v>
      </c>
      <c r="Z17" s="2">
        <v>6.3099999999999999E-9</v>
      </c>
      <c r="AA17" s="3">
        <v>857.57500000000005</v>
      </c>
      <c r="AB17" s="16">
        <v>0</v>
      </c>
      <c r="AC17">
        <f t="shared" si="5"/>
        <v>0</v>
      </c>
      <c r="AE17" s="2">
        <v>6.3099999999999999E-9</v>
      </c>
      <c r="AF17" s="3">
        <v>857.57500000000005</v>
      </c>
      <c r="AG17" s="16">
        <v>0</v>
      </c>
      <c r="AH17">
        <f t="shared" si="6"/>
        <v>0</v>
      </c>
      <c r="AJ17" s="2">
        <v>6.3099999999999999E-9</v>
      </c>
      <c r="AK17" s="3">
        <v>857.57500000000005</v>
      </c>
      <c r="AL17" s="16">
        <v>5.7928534043110401E-3</v>
      </c>
      <c r="AM17">
        <f t="shared" si="7"/>
        <v>4.9678062582020406</v>
      </c>
      <c r="AO17" s="2">
        <v>6.3099999999999999E-9</v>
      </c>
      <c r="AP17" s="3">
        <v>857.57500000000005</v>
      </c>
      <c r="AQ17" s="17">
        <v>7.6453416994464994E-5</v>
      </c>
      <c r="AR17">
        <f t="shared" si="8"/>
        <v>6.5564539079028317E-2</v>
      </c>
      <c r="AT17" s="2">
        <v>6.3099999999999999E-9</v>
      </c>
      <c r="AU17" s="3">
        <v>857.57500000000005</v>
      </c>
      <c r="AV17" s="16">
        <v>0</v>
      </c>
      <c r="AW17">
        <f t="shared" si="9"/>
        <v>0</v>
      </c>
    </row>
    <row r="18" spans="1:49" x14ac:dyDescent="0.3">
      <c r="A18" s="2">
        <v>1E-8</v>
      </c>
      <c r="B18" s="16">
        <v>2511.87</v>
      </c>
      <c r="C18" s="16">
        <v>3.1502810224531698E-2</v>
      </c>
      <c r="D18">
        <f t="shared" si="0"/>
        <v>79.130963918694434</v>
      </c>
      <c r="F18" s="2">
        <v>1E-8</v>
      </c>
      <c r="G18" s="3">
        <v>2511.87</v>
      </c>
      <c r="H18" s="16">
        <v>0</v>
      </c>
      <c r="I18">
        <f t="shared" si="1"/>
        <v>0</v>
      </c>
      <c r="K18" s="2">
        <v>1E-8</v>
      </c>
      <c r="L18" s="3">
        <v>2511.87</v>
      </c>
      <c r="M18" s="16">
        <v>0</v>
      </c>
      <c r="N18">
        <f t="shared" si="2"/>
        <v>0</v>
      </c>
      <c r="P18" s="2">
        <v>1E-8</v>
      </c>
      <c r="Q18" s="3">
        <v>2511.87</v>
      </c>
      <c r="R18" s="16">
        <v>0</v>
      </c>
      <c r="S18">
        <f t="shared" si="3"/>
        <v>0</v>
      </c>
      <c r="U18" s="2">
        <v>1E-8</v>
      </c>
      <c r="V18" s="3">
        <v>2511.87</v>
      </c>
      <c r="W18" s="16">
        <v>0</v>
      </c>
      <c r="X18">
        <f t="shared" si="4"/>
        <v>0</v>
      </c>
      <c r="Z18" s="2">
        <v>1E-8</v>
      </c>
      <c r="AA18" s="3">
        <v>2511.87</v>
      </c>
      <c r="AB18" s="16">
        <v>0</v>
      </c>
      <c r="AC18">
        <f t="shared" si="5"/>
        <v>0</v>
      </c>
      <c r="AE18" s="2">
        <v>1E-8</v>
      </c>
      <c r="AF18" s="3">
        <v>2511.87</v>
      </c>
      <c r="AG18" s="16">
        <v>0</v>
      </c>
      <c r="AH18">
        <f t="shared" si="6"/>
        <v>0</v>
      </c>
      <c r="AJ18" s="2">
        <v>1E-8</v>
      </c>
      <c r="AK18" s="3">
        <v>2511.87</v>
      </c>
      <c r="AL18" s="16">
        <v>4.6499923059309198E-3</v>
      </c>
      <c r="AM18">
        <f t="shared" si="7"/>
        <v>11.680176173498699</v>
      </c>
      <c r="AO18" s="2">
        <v>1E-8</v>
      </c>
      <c r="AP18" s="3">
        <v>2511.87</v>
      </c>
      <c r="AQ18" s="17">
        <v>6.1372666905344298E-5</v>
      </c>
      <c r="AR18">
        <f t="shared" si="8"/>
        <v>0.15416016081952719</v>
      </c>
      <c r="AT18" s="2">
        <v>1E-8</v>
      </c>
      <c r="AU18" s="3">
        <v>2511.87</v>
      </c>
      <c r="AV18" s="16">
        <v>0</v>
      </c>
      <c r="AW18">
        <f t="shared" si="9"/>
        <v>0</v>
      </c>
    </row>
    <row r="19" spans="1:49" x14ac:dyDescent="0.3">
      <c r="A19" s="2">
        <v>1.585E-8</v>
      </c>
      <c r="B19" s="16">
        <v>3816.13</v>
      </c>
      <c r="C19" s="16">
        <v>2.4698515863168399E-2</v>
      </c>
      <c r="D19">
        <f t="shared" si="0"/>
        <v>94.252747340912819</v>
      </c>
      <c r="F19" s="2">
        <v>1.585E-8</v>
      </c>
      <c r="G19" s="3">
        <v>3816.13</v>
      </c>
      <c r="H19" s="16">
        <v>0</v>
      </c>
      <c r="I19">
        <f t="shared" si="1"/>
        <v>0</v>
      </c>
      <c r="K19" s="2">
        <v>1.585E-8</v>
      </c>
      <c r="L19" s="3">
        <v>3816.13</v>
      </c>
      <c r="M19" s="16">
        <v>0</v>
      </c>
      <c r="N19">
        <f t="shared" si="2"/>
        <v>0</v>
      </c>
      <c r="P19" s="2">
        <v>1.585E-8</v>
      </c>
      <c r="Q19" s="3">
        <v>3816.13</v>
      </c>
      <c r="R19" s="16">
        <v>0</v>
      </c>
      <c r="S19">
        <f t="shared" si="3"/>
        <v>0</v>
      </c>
      <c r="U19" s="2">
        <v>1.585E-8</v>
      </c>
      <c r="V19" s="3">
        <v>3816.13</v>
      </c>
      <c r="W19" s="16">
        <v>0</v>
      </c>
      <c r="X19">
        <f t="shared" si="4"/>
        <v>0</v>
      </c>
      <c r="Z19" s="2">
        <v>1.585E-8</v>
      </c>
      <c r="AA19" s="3">
        <v>3816.13</v>
      </c>
      <c r="AB19" s="16">
        <v>0</v>
      </c>
      <c r="AC19">
        <f t="shared" si="5"/>
        <v>0</v>
      </c>
      <c r="AE19" s="2">
        <v>1.585E-8</v>
      </c>
      <c r="AF19" s="3">
        <v>3816.13</v>
      </c>
      <c r="AG19" s="16">
        <v>0</v>
      </c>
      <c r="AH19">
        <f t="shared" si="6"/>
        <v>0</v>
      </c>
      <c r="AJ19" s="2">
        <v>1.585E-8</v>
      </c>
      <c r="AK19" s="3">
        <v>3816.13</v>
      </c>
      <c r="AL19" s="16">
        <v>3.6389536889687899E-3</v>
      </c>
      <c r="AM19">
        <f t="shared" si="7"/>
        <v>13.886720341084468</v>
      </c>
      <c r="AO19" s="2">
        <v>1.585E-8</v>
      </c>
      <c r="AP19" s="3">
        <v>3816.13</v>
      </c>
      <c r="AQ19" s="17">
        <v>4.8032491311532497E-5</v>
      </c>
      <c r="AR19">
        <f t="shared" si="8"/>
        <v>0.18329823106867851</v>
      </c>
      <c r="AT19" s="2">
        <v>1.585E-8</v>
      </c>
      <c r="AU19" s="3">
        <v>3816.13</v>
      </c>
      <c r="AV19" s="16">
        <v>0</v>
      </c>
      <c r="AW19">
        <f t="shared" si="9"/>
        <v>0</v>
      </c>
    </row>
    <row r="20" spans="1:49" x14ac:dyDescent="0.3">
      <c r="A20" s="2">
        <v>2.5119999999999999E-8</v>
      </c>
      <c r="B20" s="16">
        <v>9311.39</v>
      </c>
      <c r="C20" s="16">
        <v>1.9842178704818601E-2</v>
      </c>
      <c r="D20">
        <f t="shared" si="0"/>
        <v>184.75826437026086</v>
      </c>
      <c r="F20" s="2">
        <v>2.5119999999999999E-8</v>
      </c>
      <c r="G20" s="3">
        <v>9311.39</v>
      </c>
      <c r="H20" s="16">
        <v>0</v>
      </c>
      <c r="I20">
        <f t="shared" si="1"/>
        <v>0</v>
      </c>
      <c r="K20" s="2">
        <v>2.5119999999999999E-8</v>
      </c>
      <c r="L20" s="3">
        <v>9311.39</v>
      </c>
      <c r="M20" s="16">
        <v>0</v>
      </c>
      <c r="N20">
        <f t="shared" si="2"/>
        <v>0</v>
      </c>
      <c r="P20" s="2">
        <v>2.5119999999999999E-8</v>
      </c>
      <c r="Q20" s="3">
        <v>9311.39</v>
      </c>
      <c r="R20" s="16">
        <v>0</v>
      </c>
      <c r="S20">
        <f t="shared" si="3"/>
        <v>0</v>
      </c>
      <c r="U20" s="2">
        <v>2.5119999999999999E-8</v>
      </c>
      <c r="V20" s="3">
        <v>9311.39</v>
      </c>
      <c r="W20" s="16">
        <v>0</v>
      </c>
      <c r="X20">
        <f t="shared" si="4"/>
        <v>0</v>
      </c>
      <c r="Z20" s="2">
        <v>2.5119999999999999E-8</v>
      </c>
      <c r="AA20" s="3">
        <v>9311.39</v>
      </c>
      <c r="AB20" s="16">
        <v>0</v>
      </c>
      <c r="AC20">
        <f t="shared" si="5"/>
        <v>0</v>
      </c>
      <c r="AE20" s="2">
        <v>2.5119999999999999E-8</v>
      </c>
      <c r="AF20" s="3">
        <v>9311.39</v>
      </c>
      <c r="AG20" s="16">
        <v>0</v>
      </c>
      <c r="AH20">
        <f t="shared" si="6"/>
        <v>0</v>
      </c>
      <c r="AJ20" s="2">
        <v>2.5119999999999999E-8</v>
      </c>
      <c r="AK20" s="3">
        <v>9311.39</v>
      </c>
      <c r="AL20" s="16">
        <v>2.9158247577691998E-3</v>
      </c>
      <c r="AM20">
        <f t="shared" si="7"/>
        <v>27.150381491244548</v>
      </c>
      <c r="AO20" s="2">
        <v>2.5119999999999999E-8</v>
      </c>
      <c r="AP20" s="3">
        <v>9311.39</v>
      </c>
      <c r="AQ20" s="17">
        <v>3.8493295036361199E-5</v>
      </c>
      <c r="AR20">
        <f t="shared" si="8"/>
        <v>0.35842608246862329</v>
      </c>
      <c r="AT20" s="2">
        <v>2.5119999999999999E-8</v>
      </c>
      <c r="AU20" s="3">
        <v>9311.39</v>
      </c>
      <c r="AV20" s="16">
        <v>0</v>
      </c>
      <c r="AW20">
        <f t="shared" si="9"/>
        <v>0</v>
      </c>
    </row>
    <row r="21" spans="1:49" x14ac:dyDescent="0.3">
      <c r="A21" s="2">
        <v>3.9809999999999997E-8</v>
      </c>
      <c r="B21" s="16">
        <v>15698.8</v>
      </c>
      <c r="C21" s="16">
        <v>1.6332696134498101E-2</v>
      </c>
      <c r="D21">
        <f t="shared" si="0"/>
        <v>256.4037300762588</v>
      </c>
      <c r="F21" s="2">
        <v>3.9809999999999997E-8</v>
      </c>
      <c r="G21" s="3">
        <v>15698.8</v>
      </c>
      <c r="H21" s="16">
        <v>0</v>
      </c>
      <c r="I21">
        <f t="shared" si="1"/>
        <v>0</v>
      </c>
      <c r="K21" s="2">
        <v>3.9809999999999997E-8</v>
      </c>
      <c r="L21" s="3">
        <v>15698.8</v>
      </c>
      <c r="M21" s="16">
        <v>0</v>
      </c>
      <c r="N21">
        <f t="shared" si="2"/>
        <v>0</v>
      </c>
      <c r="P21" s="2">
        <v>3.9809999999999997E-8</v>
      </c>
      <c r="Q21" s="3">
        <v>15698.8</v>
      </c>
      <c r="R21" s="16">
        <v>0</v>
      </c>
      <c r="S21">
        <f t="shared" si="3"/>
        <v>0</v>
      </c>
      <c r="U21" s="2">
        <v>3.9809999999999997E-8</v>
      </c>
      <c r="V21" s="3">
        <v>15698.8</v>
      </c>
      <c r="W21" s="16">
        <v>0</v>
      </c>
      <c r="X21">
        <f t="shared" si="4"/>
        <v>0</v>
      </c>
      <c r="Z21" s="2">
        <v>3.9809999999999997E-8</v>
      </c>
      <c r="AA21" s="3">
        <v>15698.8</v>
      </c>
      <c r="AB21" s="16">
        <v>0</v>
      </c>
      <c r="AC21">
        <f t="shared" si="5"/>
        <v>0</v>
      </c>
      <c r="AE21" s="2">
        <v>3.9809999999999997E-8</v>
      </c>
      <c r="AF21" s="3">
        <v>15698.8</v>
      </c>
      <c r="AG21" s="16">
        <v>0</v>
      </c>
      <c r="AH21">
        <f t="shared" si="6"/>
        <v>0</v>
      </c>
      <c r="AJ21" s="2">
        <v>3.9809999999999997E-8</v>
      </c>
      <c r="AK21" s="3">
        <v>15698.8</v>
      </c>
      <c r="AL21" s="16">
        <v>2.3915356985581499E-3</v>
      </c>
      <c r="AM21">
        <f t="shared" si="7"/>
        <v>37.544240624524683</v>
      </c>
      <c r="AO21" s="2">
        <v>3.9809999999999997E-8</v>
      </c>
      <c r="AP21" s="3">
        <v>15698.8</v>
      </c>
      <c r="AQ21" s="17">
        <v>3.1575477540512601E-5</v>
      </c>
      <c r="AR21">
        <f t="shared" si="8"/>
        <v>0.49569710681299922</v>
      </c>
      <c r="AT21" s="2">
        <v>3.9809999999999997E-8</v>
      </c>
      <c r="AU21" s="3">
        <v>15698.8</v>
      </c>
      <c r="AV21" s="16">
        <v>0</v>
      </c>
      <c r="AW21">
        <f t="shared" si="9"/>
        <v>0</v>
      </c>
    </row>
    <row r="22" spans="1:49" x14ac:dyDescent="0.3">
      <c r="A22" s="2">
        <v>6.3100000000000003E-8</v>
      </c>
      <c r="B22" s="16">
        <v>22376.1</v>
      </c>
      <c r="C22" s="16">
        <v>1.2664189851213399E-2</v>
      </c>
      <c r="D22">
        <f t="shared" si="0"/>
        <v>283.3751785297361</v>
      </c>
      <c r="F22" s="2">
        <v>6.3100000000000003E-8</v>
      </c>
      <c r="G22" s="3">
        <v>22376.1</v>
      </c>
      <c r="H22" s="16">
        <v>0</v>
      </c>
      <c r="I22">
        <f t="shared" si="1"/>
        <v>0</v>
      </c>
      <c r="K22" s="2">
        <v>6.3100000000000003E-8</v>
      </c>
      <c r="L22" s="3">
        <v>22376.1</v>
      </c>
      <c r="M22" s="16">
        <v>0</v>
      </c>
      <c r="N22">
        <f t="shared" si="2"/>
        <v>0</v>
      </c>
      <c r="P22" s="2">
        <v>6.3100000000000003E-8</v>
      </c>
      <c r="Q22" s="3">
        <v>22376.1</v>
      </c>
      <c r="R22" s="16">
        <v>0</v>
      </c>
      <c r="S22">
        <f t="shared" si="3"/>
        <v>0</v>
      </c>
      <c r="U22" s="2">
        <v>6.3100000000000003E-8</v>
      </c>
      <c r="V22" s="3">
        <v>22376.1</v>
      </c>
      <c r="W22" s="16">
        <v>0</v>
      </c>
      <c r="X22">
        <f t="shared" si="4"/>
        <v>0</v>
      </c>
      <c r="Z22" s="2">
        <v>6.3100000000000003E-8</v>
      </c>
      <c r="AA22" s="3">
        <v>22376.1</v>
      </c>
      <c r="AB22" s="16">
        <v>0</v>
      </c>
      <c r="AC22">
        <f t="shared" si="5"/>
        <v>0</v>
      </c>
      <c r="AE22" s="2">
        <v>6.3100000000000003E-8</v>
      </c>
      <c r="AF22" s="3">
        <v>22376.1</v>
      </c>
      <c r="AG22" s="16">
        <v>0</v>
      </c>
      <c r="AH22">
        <f t="shared" si="6"/>
        <v>0</v>
      </c>
      <c r="AJ22" s="2">
        <v>6.3100000000000003E-8</v>
      </c>
      <c r="AK22" s="3">
        <v>22376.1</v>
      </c>
      <c r="AL22" s="16">
        <v>1.8408352897508E-3</v>
      </c>
      <c r="AM22">
        <f t="shared" si="7"/>
        <v>41.190714526992878</v>
      </c>
      <c r="AO22" s="2">
        <v>6.3100000000000003E-8</v>
      </c>
      <c r="AP22" s="3">
        <v>22376.1</v>
      </c>
      <c r="AQ22" s="17">
        <v>2.43044031089802E-5</v>
      </c>
      <c r="AR22">
        <f t="shared" si="8"/>
        <v>0.54383775440685178</v>
      </c>
      <c r="AT22" s="2">
        <v>6.3100000000000003E-8</v>
      </c>
      <c r="AU22" s="3">
        <v>22376.1</v>
      </c>
      <c r="AV22" s="16">
        <v>0</v>
      </c>
      <c r="AW22">
        <f t="shared" si="9"/>
        <v>0</v>
      </c>
    </row>
    <row r="23" spans="1:49" x14ac:dyDescent="0.3">
      <c r="A23" s="2">
        <v>9.9999999999999995E-8</v>
      </c>
      <c r="B23" s="16">
        <v>27431.7</v>
      </c>
      <c r="C23" s="16">
        <v>1.02049398060324E-2</v>
      </c>
      <c r="D23">
        <f t="shared" si="0"/>
        <v>279.93884727713902</v>
      </c>
      <c r="F23" s="2">
        <v>9.9999999999999995E-8</v>
      </c>
      <c r="G23" s="3">
        <v>27431.7</v>
      </c>
      <c r="H23" s="16">
        <v>0</v>
      </c>
      <c r="I23">
        <f t="shared" si="1"/>
        <v>0</v>
      </c>
      <c r="K23" s="2">
        <v>9.9999999999999995E-8</v>
      </c>
      <c r="L23" s="3">
        <v>27431.7</v>
      </c>
      <c r="M23" s="16">
        <v>0</v>
      </c>
      <c r="N23">
        <f t="shared" si="2"/>
        <v>0</v>
      </c>
      <c r="P23" s="2">
        <v>9.9999999999999995E-8</v>
      </c>
      <c r="Q23" s="3">
        <v>27431.7</v>
      </c>
      <c r="R23" s="16">
        <v>0</v>
      </c>
      <c r="S23">
        <f t="shared" si="3"/>
        <v>0</v>
      </c>
      <c r="U23" s="2">
        <v>9.9999999999999995E-8</v>
      </c>
      <c r="V23" s="3">
        <v>27431.7</v>
      </c>
      <c r="W23" s="16">
        <v>0</v>
      </c>
      <c r="X23">
        <f t="shared" si="4"/>
        <v>0</v>
      </c>
      <c r="Z23" s="2">
        <v>9.9999999999999995E-8</v>
      </c>
      <c r="AA23" s="3">
        <v>27431.7</v>
      </c>
      <c r="AB23" s="16">
        <v>0</v>
      </c>
      <c r="AC23">
        <f t="shared" si="5"/>
        <v>0</v>
      </c>
      <c r="AE23" s="2">
        <v>9.9999999999999995E-8</v>
      </c>
      <c r="AF23" s="3">
        <v>27431.7</v>
      </c>
      <c r="AG23" s="16">
        <v>0</v>
      </c>
      <c r="AH23">
        <f t="shared" si="6"/>
        <v>0</v>
      </c>
      <c r="AJ23" s="2">
        <v>9.9999999999999995E-8</v>
      </c>
      <c r="AK23" s="3">
        <v>27431.7</v>
      </c>
      <c r="AL23" s="16">
        <v>1.4408315038404299E-3</v>
      </c>
      <c r="AM23">
        <f t="shared" si="7"/>
        <v>39.524457563899524</v>
      </c>
      <c r="AO23" s="2">
        <v>9.9999999999999995E-8</v>
      </c>
      <c r="AP23" s="3">
        <v>27431.7</v>
      </c>
      <c r="AQ23" s="17">
        <v>1.9027048766342401E-5</v>
      </c>
      <c r="AR23">
        <f t="shared" si="8"/>
        <v>0.52194429364367489</v>
      </c>
      <c r="AT23" s="2">
        <v>9.9999999999999995E-8</v>
      </c>
      <c r="AU23" s="3">
        <v>27431.7</v>
      </c>
      <c r="AV23" s="16">
        <v>0</v>
      </c>
      <c r="AW23">
        <f t="shared" si="9"/>
        <v>0</v>
      </c>
    </row>
    <row r="24" spans="1:49" x14ac:dyDescent="0.3">
      <c r="A24" s="2">
        <v>1.585E-7</v>
      </c>
      <c r="B24" s="16">
        <v>32215.200000000001</v>
      </c>
      <c r="C24" s="16">
        <v>8.2108667929685995E-3</v>
      </c>
      <c r="D24">
        <f t="shared" si="0"/>
        <v>264.51471590884205</v>
      </c>
      <c r="F24" s="2">
        <v>1.585E-7</v>
      </c>
      <c r="G24" s="3">
        <v>32215.200000000001</v>
      </c>
      <c r="H24" s="16">
        <v>0</v>
      </c>
      <c r="I24">
        <f t="shared" si="1"/>
        <v>0</v>
      </c>
      <c r="K24" s="2">
        <v>1.585E-7</v>
      </c>
      <c r="L24" s="3">
        <v>32215.200000000001</v>
      </c>
      <c r="M24" s="16">
        <v>0</v>
      </c>
      <c r="N24">
        <f t="shared" si="2"/>
        <v>0</v>
      </c>
      <c r="P24" s="2">
        <v>1.585E-7</v>
      </c>
      <c r="Q24" s="3">
        <v>32215.200000000001</v>
      </c>
      <c r="R24" s="16">
        <v>0</v>
      </c>
      <c r="S24">
        <f t="shared" si="3"/>
        <v>0</v>
      </c>
      <c r="U24" s="2">
        <v>1.585E-7</v>
      </c>
      <c r="V24" s="3">
        <v>32215.200000000001</v>
      </c>
      <c r="W24" s="16">
        <v>0</v>
      </c>
      <c r="X24">
        <f t="shared" si="4"/>
        <v>0</v>
      </c>
      <c r="Z24" s="2">
        <v>1.585E-7</v>
      </c>
      <c r="AA24" s="3">
        <v>32215.200000000001</v>
      </c>
      <c r="AB24" s="16">
        <v>0</v>
      </c>
      <c r="AC24">
        <f t="shared" si="5"/>
        <v>0</v>
      </c>
      <c r="AE24" s="2">
        <v>1.585E-7</v>
      </c>
      <c r="AF24" s="3">
        <v>32215.200000000001</v>
      </c>
      <c r="AG24" s="16">
        <v>0</v>
      </c>
      <c r="AH24">
        <f t="shared" si="6"/>
        <v>0</v>
      </c>
      <c r="AJ24" s="2">
        <v>1.585E-7</v>
      </c>
      <c r="AK24" s="3">
        <v>32215.200000000001</v>
      </c>
      <c r="AL24" s="16">
        <v>1.1545200257422701E-3</v>
      </c>
      <c r="AM24">
        <f t="shared" si="7"/>
        <v>37.193093533292384</v>
      </c>
      <c r="AO24" s="2">
        <v>1.585E-7</v>
      </c>
      <c r="AP24" s="3">
        <v>32215.200000000001</v>
      </c>
      <c r="AQ24" s="17">
        <v>1.5253983667122001E-5</v>
      </c>
      <c r="AR24">
        <f t="shared" si="8"/>
        <v>0.49141013463306871</v>
      </c>
      <c r="AT24" s="2">
        <v>1.585E-7</v>
      </c>
      <c r="AU24" s="3">
        <v>32215.200000000001</v>
      </c>
      <c r="AV24" s="16">
        <v>0</v>
      </c>
      <c r="AW24">
        <f t="shared" si="9"/>
        <v>0</v>
      </c>
    </row>
    <row r="25" spans="1:49" x14ac:dyDescent="0.3">
      <c r="A25" s="2">
        <v>2.5120000000000003E-7</v>
      </c>
      <c r="B25" s="16">
        <v>43708.2</v>
      </c>
      <c r="C25" s="16">
        <v>6.6676855482030997E-3</v>
      </c>
      <c r="D25">
        <f t="shared" si="0"/>
        <v>291.43253347797071</v>
      </c>
      <c r="F25" s="2">
        <v>2.5120000000000003E-7</v>
      </c>
      <c r="G25" s="3">
        <v>43708.2</v>
      </c>
      <c r="H25" s="16">
        <v>0</v>
      </c>
      <c r="I25">
        <f t="shared" si="1"/>
        <v>0</v>
      </c>
      <c r="K25" s="2">
        <v>2.5120000000000003E-7</v>
      </c>
      <c r="L25" s="3">
        <v>43708.2</v>
      </c>
      <c r="M25" s="16">
        <v>0</v>
      </c>
      <c r="N25">
        <f t="shared" si="2"/>
        <v>0</v>
      </c>
      <c r="P25" s="2">
        <v>2.5120000000000003E-7</v>
      </c>
      <c r="Q25" s="3">
        <v>43708.2</v>
      </c>
      <c r="R25" s="16">
        <v>0</v>
      </c>
      <c r="S25">
        <f t="shared" si="3"/>
        <v>0</v>
      </c>
      <c r="U25" s="2">
        <v>2.5120000000000003E-7</v>
      </c>
      <c r="V25" s="3">
        <v>43708.2</v>
      </c>
      <c r="W25" s="16">
        <v>0</v>
      </c>
      <c r="X25">
        <f t="shared" si="4"/>
        <v>0</v>
      </c>
      <c r="Z25" s="2">
        <v>2.5120000000000003E-7</v>
      </c>
      <c r="AA25" s="3">
        <v>43708.2</v>
      </c>
      <c r="AB25" s="16">
        <v>0</v>
      </c>
      <c r="AC25">
        <f t="shared" si="5"/>
        <v>0</v>
      </c>
      <c r="AE25" s="2">
        <v>2.5120000000000003E-7</v>
      </c>
      <c r="AF25" s="3">
        <v>43708.2</v>
      </c>
      <c r="AG25" s="16">
        <v>0</v>
      </c>
      <c r="AH25">
        <f t="shared" si="6"/>
        <v>0</v>
      </c>
      <c r="AJ25" s="2">
        <v>2.5120000000000003E-7</v>
      </c>
      <c r="AK25" s="3">
        <v>43708.2</v>
      </c>
      <c r="AL25" s="16">
        <v>9.2675166384334603E-4</v>
      </c>
      <c r="AM25">
        <f t="shared" si="7"/>
        <v>40.506647073597733</v>
      </c>
      <c r="AO25" s="2">
        <v>2.5120000000000003E-7</v>
      </c>
      <c r="AP25" s="3">
        <v>43708.2</v>
      </c>
      <c r="AQ25" s="17">
        <v>1.22548156035584E-5</v>
      </c>
      <c r="AR25">
        <f t="shared" si="8"/>
        <v>0.53563593136345122</v>
      </c>
      <c r="AT25" s="2">
        <v>2.5120000000000003E-7</v>
      </c>
      <c r="AU25" s="3">
        <v>43708.2</v>
      </c>
      <c r="AV25" s="16">
        <v>0</v>
      </c>
      <c r="AW25">
        <f t="shared" si="9"/>
        <v>0</v>
      </c>
    </row>
    <row r="26" spans="1:49" x14ac:dyDescent="0.3">
      <c r="A26" s="2">
        <v>3.981E-7</v>
      </c>
      <c r="B26" s="16">
        <v>53609</v>
      </c>
      <c r="C26" s="16">
        <v>5.6335078920765102E-3</v>
      </c>
      <c r="D26">
        <f t="shared" si="0"/>
        <v>302.00672458632965</v>
      </c>
      <c r="F26" s="2">
        <v>3.981E-7</v>
      </c>
      <c r="G26" s="3">
        <v>53609</v>
      </c>
      <c r="H26" s="16">
        <v>0</v>
      </c>
      <c r="I26">
        <f t="shared" si="1"/>
        <v>0</v>
      </c>
      <c r="K26" s="2">
        <v>3.981E-7</v>
      </c>
      <c r="L26" s="3">
        <v>53609</v>
      </c>
      <c r="M26" s="16">
        <v>0</v>
      </c>
      <c r="N26">
        <f t="shared" si="2"/>
        <v>0</v>
      </c>
      <c r="P26" s="2">
        <v>3.981E-7</v>
      </c>
      <c r="Q26" s="3">
        <v>53609</v>
      </c>
      <c r="R26" s="16">
        <v>0</v>
      </c>
      <c r="S26">
        <f t="shared" si="3"/>
        <v>0</v>
      </c>
      <c r="U26" s="2">
        <v>3.981E-7</v>
      </c>
      <c r="V26" s="3">
        <v>53609</v>
      </c>
      <c r="W26" s="16">
        <v>0</v>
      </c>
      <c r="X26">
        <f t="shared" si="4"/>
        <v>0</v>
      </c>
      <c r="Z26" s="2">
        <v>3.981E-7</v>
      </c>
      <c r="AA26" s="3">
        <v>53609</v>
      </c>
      <c r="AB26" s="16">
        <v>0</v>
      </c>
      <c r="AC26">
        <f t="shared" si="5"/>
        <v>0</v>
      </c>
      <c r="AE26" s="2">
        <v>3.981E-7</v>
      </c>
      <c r="AF26" s="3">
        <v>53609</v>
      </c>
      <c r="AG26" s="16">
        <v>0</v>
      </c>
      <c r="AH26">
        <f t="shared" si="6"/>
        <v>0</v>
      </c>
      <c r="AJ26" s="2">
        <v>3.981E-7</v>
      </c>
      <c r="AK26" s="3">
        <v>53609</v>
      </c>
      <c r="AL26" s="16">
        <v>7.2531770624684904E-4</v>
      </c>
      <c r="AM26">
        <f t="shared" si="7"/>
        <v>38.883556914187331</v>
      </c>
      <c r="AO26" s="2">
        <v>3.981E-7</v>
      </c>
      <c r="AP26" s="3">
        <v>53609</v>
      </c>
      <c r="AQ26" s="17">
        <v>9.6044103246432102E-6</v>
      </c>
      <c r="AR26">
        <f t="shared" si="8"/>
        <v>0.5148828330937979</v>
      </c>
      <c r="AT26" s="2">
        <v>3.981E-7</v>
      </c>
      <c r="AU26" s="3">
        <v>53609</v>
      </c>
      <c r="AV26" s="16">
        <v>0</v>
      </c>
      <c r="AW26">
        <f t="shared" si="9"/>
        <v>0</v>
      </c>
    </row>
    <row r="27" spans="1:49" x14ac:dyDescent="0.3">
      <c r="A27" s="2">
        <v>6.3099999999999997E-7</v>
      </c>
      <c r="B27" s="16">
        <v>64621.2</v>
      </c>
      <c r="C27" s="16">
        <v>4.8516218860485899E-3</v>
      </c>
      <c r="D27">
        <f t="shared" si="0"/>
        <v>313.51762822272315</v>
      </c>
      <c r="F27" s="2">
        <v>6.3099999999999997E-7</v>
      </c>
      <c r="G27" s="3">
        <v>64621.2</v>
      </c>
      <c r="H27" s="16">
        <v>0</v>
      </c>
      <c r="I27">
        <f t="shared" si="1"/>
        <v>0</v>
      </c>
      <c r="K27" s="2">
        <v>6.3099999999999997E-7</v>
      </c>
      <c r="L27" s="3">
        <v>64621.2</v>
      </c>
      <c r="M27" s="16">
        <v>0</v>
      </c>
      <c r="N27">
        <f t="shared" si="2"/>
        <v>0</v>
      </c>
      <c r="P27" s="2">
        <v>6.3099999999999997E-7</v>
      </c>
      <c r="Q27" s="3">
        <v>64621.2</v>
      </c>
      <c r="R27" s="16">
        <v>0</v>
      </c>
      <c r="S27">
        <f t="shared" si="3"/>
        <v>0</v>
      </c>
      <c r="U27" s="2">
        <v>6.3099999999999997E-7</v>
      </c>
      <c r="V27" s="3">
        <v>64621.2</v>
      </c>
      <c r="W27" s="16">
        <v>0</v>
      </c>
      <c r="X27">
        <f t="shared" si="4"/>
        <v>0</v>
      </c>
      <c r="Z27" s="2">
        <v>6.3099999999999997E-7</v>
      </c>
      <c r="AA27" s="3">
        <v>64621.2</v>
      </c>
      <c r="AB27" s="16">
        <v>0</v>
      </c>
      <c r="AC27">
        <f t="shared" si="5"/>
        <v>0</v>
      </c>
      <c r="AE27" s="2">
        <v>6.3099999999999997E-7</v>
      </c>
      <c r="AF27" s="3">
        <v>64621.2</v>
      </c>
      <c r="AG27" s="16">
        <v>0</v>
      </c>
      <c r="AH27">
        <f t="shared" si="6"/>
        <v>0</v>
      </c>
      <c r="AJ27" s="2">
        <v>6.3099999999999997E-7</v>
      </c>
      <c r="AK27" s="3">
        <v>64621.2</v>
      </c>
      <c r="AL27" s="16">
        <v>5.8122367570023303E-4</v>
      </c>
      <c r="AM27">
        <f t="shared" si="7"/>
        <v>37.559371392159896</v>
      </c>
      <c r="AO27" s="2">
        <v>6.3099999999999997E-7</v>
      </c>
      <c r="AP27" s="3">
        <v>64621.2</v>
      </c>
      <c r="AQ27" s="17">
        <v>7.7120095857949095E-6</v>
      </c>
      <c r="AR27">
        <f t="shared" si="8"/>
        <v>0.49835931384556997</v>
      </c>
      <c r="AT27" s="2">
        <v>6.3099999999999997E-7</v>
      </c>
      <c r="AU27" s="3">
        <v>64621.2</v>
      </c>
      <c r="AV27" s="16">
        <v>0</v>
      </c>
      <c r="AW27">
        <f t="shared" si="9"/>
        <v>0</v>
      </c>
    </row>
    <row r="28" spans="1:49" x14ac:dyDescent="0.3">
      <c r="A28" s="2">
        <v>9.9999999999999995E-7</v>
      </c>
      <c r="B28" s="16">
        <v>76094.7</v>
      </c>
      <c r="C28" s="16">
        <v>4.3344463506083796E-3</v>
      </c>
      <c r="D28">
        <f t="shared" si="0"/>
        <v>329.82839471563943</v>
      </c>
      <c r="F28" s="2">
        <v>9.9999999999999995E-7</v>
      </c>
      <c r="G28" s="3">
        <v>76094.7</v>
      </c>
      <c r="H28" s="16">
        <v>0</v>
      </c>
      <c r="I28">
        <f t="shared" si="1"/>
        <v>0</v>
      </c>
      <c r="K28" s="2">
        <v>9.9999999999999995E-7</v>
      </c>
      <c r="L28" s="3">
        <v>76094.7</v>
      </c>
      <c r="M28" s="16">
        <v>0</v>
      </c>
      <c r="N28">
        <f t="shared" si="2"/>
        <v>0</v>
      </c>
      <c r="P28" s="2">
        <v>9.9999999999999995E-7</v>
      </c>
      <c r="Q28" s="3">
        <v>76094.7</v>
      </c>
      <c r="R28" s="16">
        <v>0</v>
      </c>
      <c r="S28">
        <f t="shared" si="3"/>
        <v>0</v>
      </c>
      <c r="U28" s="2">
        <v>9.9999999999999995E-7</v>
      </c>
      <c r="V28" s="3">
        <v>76094.7</v>
      </c>
      <c r="W28" s="16">
        <v>0</v>
      </c>
      <c r="X28">
        <f t="shared" si="4"/>
        <v>0</v>
      </c>
      <c r="Z28" s="2">
        <v>9.9999999999999995E-7</v>
      </c>
      <c r="AA28" s="3">
        <v>76094.7</v>
      </c>
      <c r="AB28" s="16">
        <v>0</v>
      </c>
      <c r="AC28">
        <f t="shared" si="5"/>
        <v>0</v>
      </c>
      <c r="AE28" s="2">
        <v>9.9999999999999995E-7</v>
      </c>
      <c r="AF28" s="3">
        <v>76094.7</v>
      </c>
      <c r="AG28" s="16">
        <v>0</v>
      </c>
      <c r="AH28">
        <f t="shared" si="6"/>
        <v>0</v>
      </c>
      <c r="AJ28" s="2">
        <v>9.9999999999999995E-7</v>
      </c>
      <c r="AK28" s="3">
        <v>76094.7</v>
      </c>
      <c r="AL28" s="16">
        <v>4.6528456530704602E-4</v>
      </c>
      <c r="AM28">
        <f t="shared" si="7"/>
        <v>35.405689411670075</v>
      </c>
      <c r="AO28" s="2">
        <v>9.9999999999999995E-7</v>
      </c>
      <c r="AP28" s="3">
        <v>76094.7</v>
      </c>
      <c r="AQ28" s="17">
        <v>6.2109822854830997E-6</v>
      </c>
      <c r="AR28">
        <f t="shared" si="8"/>
        <v>0.47262283371915081</v>
      </c>
      <c r="AT28" s="2">
        <v>9.9999999999999995E-7</v>
      </c>
      <c r="AU28" s="3">
        <v>76094.7</v>
      </c>
      <c r="AV28" s="16">
        <v>0</v>
      </c>
      <c r="AW28">
        <f t="shared" si="9"/>
        <v>0</v>
      </c>
    </row>
    <row r="29" spans="1:49" x14ac:dyDescent="0.3">
      <c r="A29" s="2">
        <v>1.5850000000000001E-6</v>
      </c>
      <c r="B29" s="16">
        <v>79062.2</v>
      </c>
      <c r="C29" s="16">
        <v>4.3231726038288898E-3</v>
      </c>
      <c r="D29">
        <f t="shared" si="0"/>
        <v>341.79953703844046</v>
      </c>
      <c r="F29" s="2">
        <v>1.5850000000000001E-6</v>
      </c>
      <c r="G29" s="3">
        <v>79062.2</v>
      </c>
      <c r="H29" s="16">
        <v>0</v>
      </c>
      <c r="I29">
        <f t="shared" si="1"/>
        <v>0</v>
      </c>
      <c r="K29" s="2">
        <v>1.5850000000000001E-6</v>
      </c>
      <c r="L29" s="3">
        <v>79062.2</v>
      </c>
      <c r="M29" s="16">
        <v>0</v>
      </c>
      <c r="N29">
        <f t="shared" si="2"/>
        <v>0</v>
      </c>
      <c r="P29" s="2">
        <v>1.5850000000000001E-6</v>
      </c>
      <c r="Q29" s="3">
        <v>79062.2</v>
      </c>
      <c r="R29" s="16">
        <v>0</v>
      </c>
      <c r="S29">
        <f t="shared" si="3"/>
        <v>0</v>
      </c>
      <c r="U29" s="2">
        <v>1.5850000000000001E-6</v>
      </c>
      <c r="V29" s="3">
        <v>79062.2</v>
      </c>
      <c r="W29" s="16">
        <v>0</v>
      </c>
      <c r="X29">
        <f t="shared" si="4"/>
        <v>0</v>
      </c>
      <c r="Z29" s="2">
        <v>1.5850000000000001E-6</v>
      </c>
      <c r="AA29" s="3">
        <v>79062.2</v>
      </c>
      <c r="AB29" s="16">
        <v>0</v>
      </c>
      <c r="AC29">
        <f t="shared" si="5"/>
        <v>0</v>
      </c>
      <c r="AE29" s="2">
        <v>1.5850000000000001E-6</v>
      </c>
      <c r="AF29" s="3">
        <v>79062.2</v>
      </c>
      <c r="AG29" s="16">
        <v>0</v>
      </c>
      <c r="AH29">
        <f t="shared" si="6"/>
        <v>0</v>
      </c>
      <c r="AJ29" s="2">
        <v>1.5850000000000001E-6</v>
      </c>
      <c r="AK29" s="3">
        <v>79062.2</v>
      </c>
      <c r="AL29" s="16">
        <v>3.6362336483256399E-4</v>
      </c>
      <c r="AM29">
        <f t="shared" si="7"/>
        <v>28.748863195065141</v>
      </c>
      <c r="AO29" s="2">
        <v>1.5850000000000001E-6</v>
      </c>
      <c r="AP29" s="3">
        <v>79062.2</v>
      </c>
      <c r="AQ29" s="17">
        <v>4.8891449751288901E-6</v>
      </c>
      <c r="AR29">
        <f t="shared" si="8"/>
        <v>0.38654655785263531</v>
      </c>
      <c r="AT29" s="2">
        <v>1.5850000000000001E-6</v>
      </c>
      <c r="AU29" s="3">
        <v>79062.2</v>
      </c>
      <c r="AV29" s="16">
        <v>0</v>
      </c>
      <c r="AW29">
        <f t="shared" si="9"/>
        <v>0</v>
      </c>
    </row>
    <row r="30" spans="1:49" x14ac:dyDescent="0.3">
      <c r="A30" s="2">
        <v>2.5119999999999998E-6</v>
      </c>
      <c r="B30" s="16">
        <v>87983.3</v>
      </c>
      <c r="C30" s="16">
        <v>5.4751998874262896E-3</v>
      </c>
      <c r="D30">
        <f t="shared" si="0"/>
        <v>481.72615425539351</v>
      </c>
      <c r="F30" s="2">
        <v>2.5119999999999998E-6</v>
      </c>
      <c r="G30" s="3">
        <v>87983.3</v>
      </c>
      <c r="H30" s="16">
        <v>0</v>
      </c>
      <c r="I30">
        <f t="shared" si="1"/>
        <v>0</v>
      </c>
      <c r="K30" s="2">
        <v>2.5119999999999998E-6</v>
      </c>
      <c r="L30" s="3">
        <v>87983.3</v>
      </c>
      <c r="M30" s="16">
        <v>0</v>
      </c>
      <c r="N30">
        <f t="shared" si="2"/>
        <v>0</v>
      </c>
      <c r="P30" s="2">
        <v>2.5119999999999998E-6</v>
      </c>
      <c r="Q30" s="3">
        <v>87983.3</v>
      </c>
      <c r="R30" s="16">
        <v>0</v>
      </c>
      <c r="S30">
        <f t="shared" si="3"/>
        <v>0</v>
      </c>
      <c r="U30" s="2">
        <v>2.5119999999999998E-6</v>
      </c>
      <c r="V30" s="3">
        <v>87983.3</v>
      </c>
      <c r="W30" s="16">
        <v>0</v>
      </c>
      <c r="X30">
        <f t="shared" si="4"/>
        <v>0</v>
      </c>
      <c r="Z30" s="2">
        <v>2.5119999999999998E-6</v>
      </c>
      <c r="AA30" s="3">
        <v>87983.3</v>
      </c>
      <c r="AB30" s="16">
        <v>0</v>
      </c>
      <c r="AC30">
        <f t="shared" si="5"/>
        <v>0</v>
      </c>
      <c r="AE30" s="2">
        <v>2.5119999999999998E-6</v>
      </c>
      <c r="AF30" s="3">
        <v>87983.3</v>
      </c>
      <c r="AG30" s="16">
        <v>0</v>
      </c>
      <c r="AH30">
        <f t="shared" si="6"/>
        <v>0</v>
      </c>
      <c r="AJ30" s="2">
        <v>2.5119999999999998E-6</v>
      </c>
      <c r="AK30" s="3">
        <v>87983.3</v>
      </c>
      <c r="AL30" s="16">
        <v>2.9112876809666801E-4</v>
      </c>
      <c r="AM30">
        <f t="shared" si="7"/>
        <v>25.614469742079571</v>
      </c>
      <c r="AO30" s="2">
        <v>2.5119999999999998E-6</v>
      </c>
      <c r="AP30" s="3">
        <v>87983.3</v>
      </c>
      <c r="AQ30" s="17">
        <v>3.9508109016613303E-6</v>
      </c>
      <c r="AR30">
        <f t="shared" si="8"/>
        <v>0.34760538080413933</v>
      </c>
      <c r="AT30" s="2">
        <v>2.5119999999999998E-6</v>
      </c>
      <c r="AU30" s="3">
        <v>87983.3</v>
      </c>
      <c r="AV30" s="16">
        <v>0</v>
      </c>
      <c r="AW30">
        <f t="shared" si="9"/>
        <v>0</v>
      </c>
    </row>
    <row r="31" spans="1:49" x14ac:dyDescent="0.3">
      <c r="A31" s="2">
        <v>3.9809999999999997E-6</v>
      </c>
      <c r="B31" s="16">
        <v>78594.7</v>
      </c>
      <c r="C31" s="16">
        <v>1.6804181436890699E-2</v>
      </c>
      <c r="D31">
        <f t="shared" si="0"/>
        <v>1320.7195987779933</v>
      </c>
      <c r="F31" s="2">
        <v>3.9809999999999997E-6</v>
      </c>
      <c r="G31" s="3">
        <v>78594.7</v>
      </c>
      <c r="H31" s="16">
        <v>0</v>
      </c>
      <c r="I31">
        <f t="shared" si="1"/>
        <v>0</v>
      </c>
      <c r="K31" s="2">
        <v>3.9809999999999997E-6</v>
      </c>
      <c r="L31" s="3">
        <v>78594.7</v>
      </c>
      <c r="M31" s="16">
        <v>0</v>
      </c>
      <c r="N31">
        <f t="shared" si="2"/>
        <v>0</v>
      </c>
      <c r="P31" s="2">
        <v>3.9809999999999997E-6</v>
      </c>
      <c r="Q31" s="3">
        <v>78594.7</v>
      </c>
      <c r="R31" s="16">
        <v>0</v>
      </c>
      <c r="S31">
        <f t="shared" si="3"/>
        <v>0</v>
      </c>
      <c r="U31" s="2">
        <v>3.9809999999999997E-6</v>
      </c>
      <c r="V31" s="3">
        <v>78594.7</v>
      </c>
      <c r="W31" s="16">
        <v>0</v>
      </c>
      <c r="X31">
        <f t="shared" si="4"/>
        <v>0</v>
      </c>
      <c r="Z31" s="2">
        <v>3.9809999999999997E-6</v>
      </c>
      <c r="AA31" s="3">
        <v>78594.7</v>
      </c>
      <c r="AB31" s="16">
        <v>0</v>
      </c>
      <c r="AC31">
        <f t="shared" si="5"/>
        <v>0</v>
      </c>
      <c r="AE31" s="2">
        <v>3.9809999999999997E-6</v>
      </c>
      <c r="AF31" s="3">
        <v>78594.7</v>
      </c>
      <c r="AG31" s="16">
        <v>0</v>
      </c>
      <c r="AH31">
        <f t="shared" si="6"/>
        <v>0</v>
      </c>
      <c r="AJ31" s="2">
        <v>3.9809999999999997E-6</v>
      </c>
      <c r="AK31" s="3">
        <v>78594.7</v>
      </c>
      <c r="AL31" s="16">
        <v>2.3367364364981999E-4</v>
      </c>
      <c r="AM31">
        <f t="shared" si="7"/>
        <v>18.365509920564506</v>
      </c>
      <c r="AO31" s="2">
        <v>3.9809999999999997E-6</v>
      </c>
      <c r="AP31" s="3">
        <v>78594.7</v>
      </c>
      <c r="AQ31" s="17">
        <v>3.1942284934314999E-6</v>
      </c>
      <c r="AR31">
        <f t="shared" si="8"/>
        <v>0.2510494301727007</v>
      </c>
      <c r="AT31" s="2">
        <v>3.9809999999999997E-6</v>
      </c>
      <c r="AU31" s="3">
        <v>78594.7</v>
      </c>
      <c r="AV31" s="16">
        <v>0</v>
      </c>
      <c r="AW31">
        <f t="shared" si="9"/>
        <v>0</v>
      </c>
    </row>
    <row r="32" spans="1:49" x14ac:dyDescent="0.3">
      <c r="A32" s="2">
        <v>1.0000000000000001E-5</v>
      </c>
      <c r="B32" s="16">
        <v>125652</v>
      </c>
      <c r="C32" s="16">
        <v>0.78299401822236303</v>
      </c>
      <c r="D32">
        <f t="shared" si="0"/>
        <v>98384.764377676358</v>
      </c>
      <c r="F32" s="2">
        <v>1.0000000000000001E-5</v>
      </c>
      <c r="G32" s="3">
        <v>125652</v>
      </c>
      <c r="H32" s="16">
        <v>0</v>
      </c>
      <c r="I32">
        <f t="shared" si="1"/>
        <v>0</v>
      </c>
      <c r="K32" s="2">
        <v>1.0000000000000001E-5</v>
      </c>
      <c r="L32" s="3">
        <v>125652</v>
      </c>
      <c r="M32" s="16">
        <v>0</v>
      </c>
      <c r="N32">
        <f t="shared" si="2"/>
        <v>0</v>
      </c>
      <c r="P32" s="2">
        <v>1.0000000000000001E-5</v>
      </c>
      <c r="Q32" s="3">
        <v>125652</v>
      </c>
      <c r="R32" s="16">
        <v>0</v>
      </c>
      <c r="S32">
        <f t="shared" si="3"/>
        <v>0</v>
      </c>
      <c r="U32" s="2">
        <v>1.0000000000000001E-5</v>
      </c>
      <c r="V32" s="3">
        <v>125652</v>
      </c>
      <c r="W32" s="16">
        <v>0</v>
      </c>
      <c r="X32">
        <f t="shared" si="4"/>
        <v>0</v>
      </c>
      <c r="Z32" s="2">
        <v>1.0000000000000001E-5</v>
      </c>
      <c r="AA32" s="3">
        <v>125652</v>
      </c>
      <c r="AB32" s="16">
        <v>0</v>
      </c>
      <c r="AC32">
        <f t="shared" si="5"/>
        <v>0</v>
      </c>
      <c r="AE32" s="2">
        <v>1.0000000000000001E-5</v>
      </c>
      <c r="AF32" s="3">
        <v>125652</v>
      </c>
      <c r="AG32" s="16">
        <v>0</v>
      </c>
      <c r="AH32">
        <f t="shared" si="6"/>
        <v>0</v>
      </c>
      <c r="AJ32" s="2">
        <v>1.0000000000000001E-5</v>
      </c>
      <c r="AK32" s="3">
        <v>125652</v>
      </c>
      <c r="AL32" s="16">
        <v>1.6831213976366299E-4</v>
      </c>
      <c r="AM32">
        <f t="shared" si="7"/>
        <v>21.14875698558378</v>
      </c>
      <c r="AO32" s="2">
        <v>1.0000000000000001E-5</v>
      </c>
      <c r="AP32" s="3">
        <v>125652</v>
      </c>
      <c r="AQ32" s="17">
        <v>2.32252227933837E-6</v>
      </c>
      <c r="AR32">
        <f t="shared" si="8"/>
        <v>0.29182956944342486</v>
      </c>
      <c r="AT32" s="2">
        <v>1.0000000000000001E-5</v>
      </c>
      <c r="AU32" s="3">
        <v>125652</v>
      </c>
      <c r="AV32" s="16">
        <v>0</v>
      </c>
      <c r="AW32">
        <f t="shared" si="9"/>
        <v>0</v>
      </c>
    </row>
    <row r="33" spans="1:49" x14ac:dyDescent="0.3">
      <c r="A33" s="2">
        <v>1.5849999999999999E-5</v>
      </c>
      <c r="B33" s="16">
        <v>43530.1</v>
      </c>
      <c r="C33" s="16">
        <v>4.2487575619027301E-4</v>
      </c>
      <c r="D33">
        <f t="shared" si="0"/>
        <v>18.494884154538202</v>
      </c>
      <c r="F33" s="2">
        <v>1.5849999999999999E-5</v>
      </c>
      <c r="G33" s="3">
        <v>43530.1</v>
      </c>
      <c r="H33" s="16">
        <v>0</v>
      </c>
      <c r="I33">
        <f t="shared" si="1"/>
        <v>0</v>
      </c>
      <c r="K33" s="2">
        <v>1.5849999999999999E-5</v>
      </c>
      <c r="L33" s="3">
        <v>43530.1</v>
      </c>
      <c r="M33" s="16">
        <v>0</v>
      </c>
      <c r="N33">
        <f t="shared" si="2"/>
        <v>0</v>
      </c>
      <c r="P33" s="2">
        <v>1.5849999999999999E-5</v>
      </c>
      <c r="Q33" s="3">
        <v>43530.1</v>
      </c>
      <c r="R33" s="16">
        <v>0</v>
      </c>
      <c r="S33">
        <f t="shared" si="3"/>
        <v>0</v>
      </c>
      <c r="U33" s="2">
        <v>1.5849999999999999E-5</v>
      </c>
      <c r="V33" s="3">
        <v>43530.1</v>
      </c>
      <c r="W33" s="16">
        <v>0</v>
      </c>
      <c r="X33">
        <f t="shared" si="4"/>
        <v>0</v>
      </c>
      <c r="Z33" s="2">
        <v>1.5849999999999999E-5</v>
      </c>
      <c r="AA33" s="3">
        <v>43530.1</v>
      </c>
      <c r="AB33" s="16">
        <v>0</v>
      </c>
      <c r="AC33">
        <f t="shared" si="5"/>
        <v>0</v>
      </c>
      <c r="AE33" s="2">
        <v>1.5849999999999999E-5</v>
      </c>
      <c r="AF33" s="3">
        <v>43530.1</v>
      </c>
      <c r="AG33" s="16">
        <v>0</v>
      </c>
      <c r="AH33">
        <f t="shared" si="6"/>
        <v>0</v>
      </c>
      <c r="AJ33" s="2">
        <v>1.5849999999999999E-5</v>
      </c>
      <c r="AK33" s="3">
        <v>43530.1</v>
      </c>
      <c r="AL33" s="16">
        <v>1.1869463408905301E-4</v>
      </c>
      <c r="AM33">
        <f t="shared" si="7"/>
        <v>5.1667892913598861</v>
      </c>
      <c r="AO33" s="2">
        <v>1.5849999999999999E-5</v>
      </c>
      <c r="AP33" s="3">
        <v>43530.1</v>
      </c>
      <c r="AQ33" s="17">
        <v>1.7772650372133901E-6</v>
      </c>
      <c r="AR33">
        <f t="shared" si="8"/>
        <v>7.7364524796402587E-2</v>
      </c>
      <c r="AT33" s="2">
        <v>1.5849999999999999E-5</v>
      </c>
      <c r="AU33" s="3">
        <v>43530.1</v>
      </c>
      <c r="AV33" s="16">
        <v>0</v>
      </c>
      <c r="AW33">
        <f t="shared" si="9"/>
        <v>0</v>
      </c>
    </row>
    <row r="34" spans="1:49" x14ac:dyDescent="0.3">
      <c r="A34" s="2">
        <v>2.512E-5</v>
      </c>
      <c r="B34" s="16">
        <v>38073.5</v>
      </c>
      <c r="C34" s="16">
        <v>1.16485044054851E-4</v>
      </c>
      <c r="D34">
        <f t="shared" si="0"/>
        <v>4.4349933248223694</v>
      </c>
      <c r="F34" s="2">
        <v>2.512E-5</v>
      </c>
      <c r="G34" s="3">
        <v>38073.5</v>
      </c>
      <c r="H34" s="16">
        <v>0</v>
      </c>
      <c r="I34">
        <f t="shared" si="1"/>
        <v>0</v>
      </c>
      <c r="K34" s="2">
        <v>2.512E-5</v>
      </c>
      <c r="L34" s="3">
        <v>38073.5</v>
      </c>
      <c r="M34" s="16">
        <v>0</v>
      </c>
      <c r="N34">
        <f t="shared" si="2"/>
        <v>0</v>
      </c>
      <c r="P34" s="2">
        <v>2.512E-5</v>
      </c>
      <c r="Q34" s="3">
        <v>38073.5</v>
      </c>
      <c r="R34" s="16">
        <v>0</v>
      </c>
      <c r="S34">
        <f t="shared" si="3"/>
        <v>0</v>
      </c>
      <c r="U34" s="2">
        <v>2.512E-5</v>
      </c>
      <c r="V34" s="3">
        <v>38073.5</v>
      </c>
      <c r="W34" s="16">
        <v>0</v>
      </c>
      <c r="X34">
        <f t="shared" si="4"/>
        <v>0</v>
      </c>
      <c r="Z34" s="2">
        <v>2.512E-5</v>
      </c>
      <c r="AA34" s="3">
        <v>38073.5</v>
      </c>
      <c r="AB34" s="16">
        <v>0</v>
      </c>
      <c r="AC34">
        <f t="shared" si="5"/>
        <v>0</v>
      </c>
      <c r="AE34" s="2">
        <v>2.512E-5</v>
      </c>
      <c r="AF34" s="3">
        <v>38073.5</v>
      </c>
      <c r="AG34" s="16">
        <v>0</v>
      </c>
      <c r="AH34">
        <f t="shared" si="6"/>
        <v>0</v>
      </c>
      <c r="AJ34" s="2">
        <v>2.512E-5</v>
      </c>
      <c r="AK34" s="3">
        <v>38073.5</v>
      </c>
      <c r="AL34" s="17">
        <v>9.3295237631490596E-5</v>
      </c>
      <c r="AM34">
        <f t="shared" si="7"/>
        <v>3.552076229962557</v>
      </c>
      <c r="AO34" s="2">
        <v>2.512E-5</v>
      </c>
      <c r="AP34" s="3">
        <v>38073.5</v>
      </c>
      <c r="AQ34" s="17">
        <v>1.5820929504677899E-6</v>
      </c>
      <c r="AR34">
        <f t="shared" si="8"/>
        <v>6.0235815949635403E-2</v>
      </c>
      <c r="AT34" s="2">
        <v>2.512E-5</v>
      </c>
      <c r="AU34" s="3">
        <v>38073.5</v>
      </c>
      <c r="AV34" s="16">
        <v>0</v>
      </c>
      <c r="AW34">
        <f t="shared" si="9"/>
        <v>0</v>
      </c>
    </row>
    <row r="35" spans="1:49" x14ac:dyDescent="0.3">
      <c r="A35" s="2">
        <v>3.981E-5</v>
      </c>
      <c r="B35" s="16">
        <v>25501.4</v>
      </c>
      <c r="C35" s="17">
        <v>5.8338570559891403E-5</v>
      </c>
      <c r="D35">
        <f t="shared" si="0"/>
        <v>1.4877152232760147</v>
      </c>
      <c r="F35" s="2">
        <v>3.981E-5</v>
      </c>
      <c r="G35" s="3">
        <v>25501.4</v>
      </c>
      <c r="H35" s="16">
        <v>0</v>
      </c>
      <c r="I35">
        <f t="shared" si="1"/>
        <v>0</v>
      </c>
      <c r="K35" s="2">
        <v>3.981E-5</v>
      </c>
      <c r="L35" s="3">
        <v>25501.4</v>
      </c>
      <c r="M35" s="16">
        <v>0</v>
      </c>
      <c r="N35">
        <f t="shared" si="2"/>
        <v>0</v>
      </c>
      <c r="P35" s="2">
        <v>3.981E-5</v>
      </c>
      <c r="Q35" s="3">
        <v>25501.4</v>
      </c>
      <c r="R35" s="16">
        <v>0</v>
      </c>
      <c r="S35">
        <f t="shared" si="3"/>
        <v>0</v>
      </c>
      <c r="U35" s="2">
        <v>3.981E-5</v>
      </c>
      <c r="V35" s="3">
        <v>25501.4</v>
      </c>
      <c r="W35" s="16">
        <v>0</v>
      </c>
      <c r="X35">
        <f t="shared" si="4"/>
        <v>0</v>
      </c>
      <c r="Z35" s="2">
        <v>3.981E-5</v>
      </c>
      <c r="AA35" s="3">
        <v>25501.4</v>
      </c>
      <c r="AB35" s="16">
        <v>0</v>
      </c>
      <c r="AC35">
        <f t="shared" si="5"/>
        <v>0</v>
      </c>
      <c r="AE35" s="2">
        <v>3.981E-5</v>
      </c>
      <c r="AF35" s="3">
        <v>25501.4</v>
      </c>
      <c r="AG35" s="16">
        <v>0</v>
      </c>
      <c r="AH35">
        <f t="shared" si="6"/>
        <v>0</v>
      </c>
      <c r="AJ35" s="2">
        <v>3.981E-5</v>
      </c>
      <c r="AK35" s="3">
        <v>25501.4</v>
      </c>
      <c r="AL35" s="17">
        <v>7.5282515870772601E-5</v>
      </c>
      <c r="AM35">
        <f t="shared" si="7"/>
        <v>1.9198095502269206</v>
      </c>
      <c r="AO35" s="2">
        <v>3.981E-5</v>
      </c>
      <c r="AP35" s="3">
        <v>25501.4</v>
      </c>
      <c r="AQ35" s="17">
        <v>1.5319672832690701E-6</v>
      </c>
      <c r="AR35">
        <f t="shared" si="8"/>
        <v>3.9067310477557869E-2</v>
      </c>
      <c r="AT35" s="2">
        <v>3.981E-5</v>
      </c>
      <c r="AU35" s="3">
        <v>25501.4</v>
      </c>
      <c r="AV35" s="16">
        <v>0</v>
      </c>
      <c r="AW35">
        <f t="shared" si="9"/>
        <v>0</v>
      </c>
    </row>
    <row r="36" spans="1:49" x14ac:dyDescent="0.3">
      <c r="A36" s="2">
        <v>6.3100000000000002E-5</v>
      </c>
      <c r="B36" s="16">
        <v>20327.599999999999</v>
      </c>
      <c r="C36" s="16">
        <v>5.0221580892536498E-2</v>
      </c>
      <c r="D36">
        <f t="shared" si="0"/>
        <v>1020.8842077511248</v>
      </c>
      <c r="F36" s="2">
        <v>6.3100000000000002E-5</v>
      </c>
      <c r="G36" s="3">
        <v>20327.599999999999</v>
      </c>
      <c r="H36" s="16">
        <v>0</v>
      </c>
      <c r="I36">
        <f t="shared" si="1"/>
        <v>0</v>
      </c>
      <c r="K36" s="2">
        <v>6.3100000000000002E-5</v>
      </c>
      <c r="L36" s="3">
        <v>20327.599999999999</v>
      </c>
      <c r="M36" s="16">
        <v>0</v>
      </c>
      <c r="N36">
        <f t="shared" si="2"/>
        <v>0</v>
      </c>
      <c r="P36" s="2">
        <v>6.3100000000000002E-5</v>
      </c>
      <c r="Q36" s="3">
        <v>20327.599999999999</v>
      </c>
      <c r="R36" s="16">
        <v>0</v>
      </c>
      <c r="S36">
        <f t="shared" si="3"/>
        <v>0</v>
      </c>
      <c r="U36" s="2">
        <v>6.3100000000000002E-5</v>
      </c>
      <c r="V36" s="3">
        <v>20327.599999999999</v>
      </c>
      <c r="W36" s="16">
        <v>0</v>
      </c>
      <c r="X36">
        <f t="shared" si="4"/>
        <v>0</v>
      </c>
      <c r="Z36" s="2">
        <v>6.3100000000000002E-5</v>
      </c>
      <c r="AA36" s="3">
        <v>20327.599999999999</v>
      </c>
      <c r="AB36" s="16">
        <v>0</v>
      </c>
      <c r="AC36">
        <f t="shared" si="5"/>
        <v>0</v>
      </c>
      <c r="AE36" s="2">
        <v>6.3100000000000002E-5</v>
      </c>
      <c r="AF36" s="3">
        <v>20327.599999999999</v>
      </c>
      <c r="AG36" s="16">
        <v>0</v>
      </c>
      <c r="AH36">
        <f t="shared" si="6"/>
        <v>0</v>
      </c>
      <c r="AJ36" s="2">
        <v>6.3100000000000002E-5</v>
      </c>
      <c r="AK36" s="3">
        <v>20327.599999999999</v>
      </c>
      <c r="AL36" s="17">
        <v>6.0243460164527298E-5</v>
      </c>
      <c r="AM36">
        <f t="shared" si="7"/>
        <v>1.224604960840445</v>
      </c>
      <c r="AO36" s="2">
        <v>6.3100000000000002E-5</v>
      </c>
      <c r="AP36" s="3">
        <v>20327.599999999999</v>
      </c>
      <c r="AQ36" s="17">
        <v>1.8085735994582399E-6</v>
      </c>
      <c r="AR36">
        <f t="shared" si="8"/>
        <v>3.6763960700347313E-2</v>
      </c>
      <c r="AT36" s="2">
        <v>6.3100000000000002E-5</v>
      </c>
      <c r="AU36" s="3">
        <v>20327.599999999999</v>
      </c>
      <c r="AV36" s="16">
        <v>0</v>
      </c>
      <c r="AW36">
        <f t="shared" si="9"/>
        <v>0</v>
      </c>
    </row>
    <row r="37" spans="1:49" x14ac:dyDescent="0.3">
      <c r="A37" s="2">
        <v>1E-4</v>
      </c>
      <c r="B37" s="16">
        <v>16578.3</v>
      </c>
      <c r="C37" s="16">
        <v>1.03167198109876E-2</v>
      </c>
      <c r="D37">
        <f t="shared" si="0"/>
        <v>171.03367604249573</v>
      </c>
      <c r="F37" s="2">
        <v>1E-4</v>
      </c>
      <c r="G37" s="3">
        <v>16578.3</v>
      </c>
      <c r="H37" s="16">
        <v>0</v>
      </c>
      <c r="I37">
        <f t="shared" si="1"/>
        <v>0</v>
      </c>
      <c r="K37" s="2">
        <v>1E-4</v>
      </c>
      <c r="L37" s="3">
        <v>16578.3</v>
      </c>
      <c r="M37" s="16">
        <v>0</v>
      </c>
      <c r="N37">
        <f t="shared" si="2"/>
        <v>0</v>
      </c>
      <c r="P37" s="2">
        <v>1E-4</v>
      </c>
      <c r="Q37" s="3">
        <v>16578.3</v>
      </c>
      <c r="R37" s="16">
        <v>0</v>
      </c>
      <c r="S37">
        <f t="shared" si="3"/>
        <v>0</v>
      </c>
      <c r="U37" s="2">
        <v>1E-4</v>
      </c>
      <c r="V37" s="3">
        <v>16578.3</v>
      </c>
      <c r="W37" s="16">
        <v>0</v>
      </c>
      <c r="X37">
        <f t="shared" si="4"/>
        <v>0</v>
      </c>
      <c r="Z37" s="2">
        <v>1E-4</v>
      </c>
      <c r="AA37" s="3">
        <v>16578.3</v>
      </c>
      <c r="AB37" s="16">
        <v>0</v>
      </c>
      <c r="AC37">
        <f t="shared" si="5"/>
        <v>0</v>
      </c>
      <c r="AE37" s="2">
        <v>1E-4</v>
      </c>
      <c r="AF37" s="3">
        <v>16578.3</v>
      </c>
      <c r="AG37" s="16">
        <v>0</v>
      </c>
      <c r="AH37">
        <f t="shared" si="6"/>
        <v>0</v>
      </c>
      <c r="AJ37" s="2">
        <v>1E-4</v>
      </c>
      <c r="AK37" s="3">
        <v>16578.3</v>
      </c>
      <c r="AL37" s="17">
        <v>4.9123921762887098E-5</v>
      </c>
      <c r="AM37">
        <f t="shared" si="7"/>
        <v>0.81439111216167115</v>
      </c>
      <c r="AO37" s="2">
        <v>1E-4</v>
      </c>
      <c r="AP37" s="3">
        <v>16578.3</v>
      </c>
      <c r="AQ37" s="17">
        <v>4.16397695582708E-6</v>
      </c>
      <c r="AR37">
        <f t="shared" si="8"/>
        <v>6.9031659166788079E-2</v>
      </c>
      <c r="AT37" s="2">
        <v>1E-4</v>
      </c>
      <c r="AU37" s="3">
        <v>16578.3</v>
      </c>
      <c r="AV37" s="16">
        <v>0</v>
      </c>
      <c r="AW37">
        <f t="shared" si="9"/>
        <v>0</v>
      </c>
    </row>
    <row r="38" spans="1:49" x14ac:dyDescent="0.3">
      <c r="A38" s="3">
        <v>1.585E-4</v>
      </c>
      <c r="B38" s="16">
        <v>10698.8</v>
      </c>
      <c r="C38" s="16">
        <v>6.2156157385368201E-3</v>
      </c>
      <c r="D38">
        <f t="shared" si="0"/>
        <v>66.499629663457725</v>
      </c>
      <c r="F38" s="3">
        <v>1.585E-4</v>
      </c>
      <c r="G38" s="3">
        <v>10698.8</v>
      </c>
      <c r="H38" s="16">
        <v>0</v>
      </c>
      <c r="I38">
        <f t="shared" si="1"/>
        <v>0</v>
      </c>
      <c r="K38" s="3">
        <v>1.585E-4</v>
      </c>
      <c r="L38" s="3">
        <v>10698.8</v>
      </c>
      <c r="M38" s="16">
        <v>0</v>
      </c>
      <c r="N38">
        <f t="shared" si="2"/>
        <v>0</v>
      </c>
      <c r="P38" s="3">
        <v>1.585E-4</v>
      </c>
      <c r="Q38" s="3">
        <v>10698.8</v>
      </c>
      <c r="R38" s="16">
        <v>0</v>
      </c>
      <c r="S38">
        <f t="shared" si="3"/>
        <v>0</v>
      </c>
      <c r="U38" s="3">
        <v>1.585E-4</v>
      </c>
      <c r="V38" s="3">
        <v>10698.8</v>
      </c>
      <c r="W38" s="16">
        <v>0</v>
      </c>
      <c r="X38">
        <f t="shared" si="4"/>
        <v>0</v>
      </c>
      <c r="Z38" s="3">
        <v>1.585E-4</v>
      </c>
      <c r="AA38" s="3">
        <v>10698.8</v>
      </c>
      <c r="AB38" s="16">
        <v>0</v>
      </c>
      <c r="AC38">
        <f t="shared" si="5"/>
        <v>0</v>
      </c>
      <c r="AE38" s="3">
        <v>1.585E-4</v>
      </c>
      <c r="AF38" s="3">
        <v>10698.8</v>
      </c>
      <c r="AG38" s="16">
        <v>0</v>
      </c>
      <c r="AH38">
        <f t="shared" si="6"/>
        <v>0</v>
      </c>
      <c r="AJ38" s="3">
        <v>1.585E-4</v>
      </c>
      <c r="AK38" s="3">
        <v>10698.8</v>
      </c>
      <c r="AL38" s="17">
        <v>4.0644876293265502E-5</v>
      </c>
      <c r="AM38">
        <f t="shared" si="7"/>
        <v>0.43485140248638893</v>
      </c>
      <c r="AO38" s="3">
        <v>1.585E-4</v>
      </c>
      <c r="AP38" s="3">
        <v>10698.8</v>
      </c>
      <c r="AQ38" s="16">
        <v>1.7906552124928999E-4</v>
      </c>
      <c r="AR38">
        <f t="shared" si="8"/>
        <v>1.9157861987419036</v>
      </c>
      <c r="AT38" s="3">
        <v>1.585E-4</v>
      </c>
      <c r="AU38" s="3">
        <v>10698.8</v>
      </c>
      <c r="AV38" s="16">
        <v>0</v>
      </c>
      <c r="AW38">
        <f t="shared" si="9"/>
        <v>0</v>
      </c>
    </row>
    <row r="39" spans="1:49" x14ac:dyDescent="0.3">
      <c r="A39" s="3">
        <v>2.5119999999999998E-4</v>
      </c>
      <c r="B39" s="16">
        <v>9248.4699999999993</v>
      </c>
      <c r="C39" s="16">
        <v>9.4404196967212695E-3</v>
      </c>
      <c r="D39">
        <f t="shared" si="0"/>
        <v>87.30943835253575</v>
      </c>
      <c r="F39" s="3">
        <v>2.5119999999999998E-4</v>
      </c>
      <c r="G39" s="3">
        <v>9248.4699999999993</v>
      </c>
      <c r="H39" s="16">
        <v>0</v>
      </c>
      <c r="I39">
        <f t="shared" si="1"/>
        <v>0</v>
      </c>
      <c r="K39" s="3">
        <v>2.5119999999999998E-4</v>
      </c>
      <c r="L39" s="3">
        <v>9248.4699999999993</v>
      </c>
      <c r="M39" s="16">
        <v>0</v>
      </c>
      <c r="N39">
        <f t="shared" si="2"/>
        <v>0</v>
      </c>
      <c r="P39" s="3">
        <v>2.5119999999999998E-4</v>
      </c>
      <c r="Q39" s="3">
        <v>9248.4699999999993</v>
      </c>
      <c r="R39" s="16">
        <v>0</v>
      </c>
      <c r="S39">
        <f t="shared" si="3"/>
        <v>0</v>
      </c>
      <c r="U39" s="3">
        <v>2.5119999999999998E-4</v>
      </c>
      <c r="V39" s="3">
        <v>9248.4699999999993</v>
      </c>
      <c r="W39" s="16">
        <v>0</v>
      </c>
      <c r="X39">
        <f t="shared" si="4"/>
        <v>0</v>
      </c>
      <c r="Z39" s="3">
        <v>2.5119999999999998E-4</v>
      </c>
      <c r="AA39" s="3">
        <v>9248.4699999999993</v>
      </c>
      <c r="AB39" s="16">
        <v>0</v>
      </c>
      <c r="AC39">
        <f t="shared" si="5"/>
        <v>0</v>
      </c>
      <c r="AE39" s="3">
        <v>2.5119999999999998E-4</v>
      </c>
      <c r="AF39" s="3">
        <v>9248.4699999999993</v>
      </c>
      <c r="AG39" s="16">
        <v>0</v>
      </c>
      <c r="AH39">
        <f t="shared" si="6"/>
        <v>0</v>
      </c>
      <c r="AJ39" s="3">
        <v>2.5119999999999998E-4</v>
      </c>
      <c r="AK39" s="3">
        <v>9248.4699999999993</v>
      </c>
      <c r="AL39" s="17">
        <v>3.4208811692435198E-5</v>
      </c>
      <c r="AM39">
        <f t="shared" si="7"/>
        <v>0.31637916867313615</v>
      </c>
      <c r="AO39" s="3">
        <v>2.5119999999999998E-4</v>
      </c>
      <c r="AP39" s="3">
        <v>9248.4699999999993</v>
      </c>
      <c r="AQ39" s="17">
        <v>2.6132646961210798E-6</v>
      </c>
      <c r="AR39">
        <f t="shared" si="8"/>
        <v>2.4168700144134921E-2</v>
      </c>
      <c r="AT39" s="3">
        <v>2.5119999999999998E-4</v>
      </c>
      <c r="AU39" s="3">
        <v>9248.4699999999993</v>
      </c>
      <c r="AV39" s="16">
        <v>0</v>
      </c>
      <c r="AW39">
        <f t="shared" si="9"/>
        <v>0</v>
      </c>
    </row>
    <row r="40" spans="1:49" x14ac:dyDescent="0.3">
      <c r="A40" s="3">
        <v>3.9809999999999997E-4</v>
      </c>
      <c r="B40" s="16">
        <v>9078.2000000000007</v>
      </c>
      <c r="C40" s="16">
        <v>8.12846978913178E-3</v>
      </c>
      <c r="D40">
        <f t="shared" si="0"/>
        <v>73.79187443969613</v>
      </c>
      <c r="F40" s="3">
        <v>3.9809999999999997E-4</v>
      </c>
      <c r="G40" s="3">
        <v>9078.2000000000007</v>
      </c>
      <c r="H40" s="16">
        <v>0</v>
      </c>
      <c r="I40">
        <f t="shared" si="1"/>
        <v>0</v>
      </c>
      <c r="K40" s="3">
        <v>3.9809999999999997E-4</v>
      </c>
      <c r="L40" s="3">
        <v>9078.2000000000007</v>
      </c>
      <c r="M40" s="16">
        <v>0</v>
      </c>
      <c r="N40">
        <f t="shared" si="2"/>
        <v>0</v>
      </c>
      <c r="P40" s="3">
        <v>3.9809999999999997E-4</v>
      </c>
      <c r="Q40" s="3">
        <v>9078.2000000000007</v>
      </c>
      <c r="R40" s="16">
        <v>0</v>
      </c>
      <c r="S40">
        <f t="shared" si="3"/>
        <v>0</v>
      </c>
      <c r="U40" s="3">
        <v>3.9809999999999997E-4</v>
      </c>
      <c r="V40" s="3">
        <v>9078.2000000000007</v>
      </c>
      <c r="W40" s="16">
        <v>0</v>
      </c>
      <c r="X40">
        <f t="shared" si="4"/>
        <v>0</v>
      </c>
      <c r="Z40" s="3">
        <v>3.9809999999999997E-4</v>
      </c>
      <c r="AA40" s="3">
        <v>9078.2000000000007</v>
      </c>
      <c r="AB40" s="16">
        <v>0</v>
      </c>
      <c r="AC40">
        <f t="shared" si="5"/>
        <v>0</v>
      </c>
      <c r="AE40" s="3">
        <v>3.9809999999999997E-4</v>
      </c>
      <c r="AF40" s="3">
        <v>9078.2000000000007</v>
      </c>
      <c r="AG40" s="16">
        <v>0</v>
      </c>
      <c r="AH40">
        <f t="shared" si="6"/>
        <v>0</v>
      </c>
      <c r="AJ40" s="3">
        <v>3.9809999999999997E-4</v>
      </c>
      <c r="AK40" s="3">
        <v>9078.2000000000007</v>
      </c>
      <c r="AL40" s="17">
        <v>2.9836084973281599E-5</v>
      </c>
      <c r="AM40">
        <f t="shared" si="7"/>
        <v>0.27085794660444501</v>
      </c>
      <c r="AO40" s="3">
        <v>3.9809999999999997E-4</v>
      </c>
      <c r="AP40" s="3">
        <v>9078.2000000000007</v>
      </c>
      <c r="AQ40" s="17">
        <v>2.11521088952642E-7</v>
      </c>
      <c r="AR40">
        <f t="shared" si="8"/>
        <v>1.9202307497298747E-3</v>
      </c>
      <c r="AT40" s="3">
        <v>3.9809999999999997E-4</v>
      </c>
      <c r="AU40" s="3">
        <v>9078.2000000000007</v>
      </c>
      <c r="AV40" s="16">
        <v>0</v>
      </c>
      <c r="AW40">
        <f t="shared" si="9"/>
        <v>0</v>
      </c>
    </row>
    <row r="41" spans="1:49" x14ac:dyDescent="0.3">
      <c r="A41" s="3">
        <v>6.3100000000000005E-4</v>
      </c>
      <c r="B41" s="16">
        <v>8027.41</v>
      </c>
      <c r="C41" s="16">
        <v>5.1867317718028499E-3</v>
      </c>
      <c r="D41">
        <f t="shared" si="0"/>
        <v>41.636022492287914</v>
      </c>
      <c r="F41" s="3">
        <v>6.3100000000000005E-4</v>
      </c>
      <c r="G41" s="3">
        <v>8027.41</v>
      </c>
      <c r="H41" s="16">
        <v>0</v>
      </c>
      <c r="I41">
        <f t="shared" si="1"/>
        <v>0</v>
      </c>
      <c r="K41" s="3">
        <v>6.3100000000000005E-4</v>
      </c>
      <c r="L41" s="3">
        <v>8027.41</v>
      </c>
      <c r="M41" s="16">
        <v>0</v>
      </c>
      <c r="N41">
        <f t="shared" si="2"/>
        <v>0</v>
      </c>
      <c r="P41" s="3">
        <v>6.3100000000000005E-4</v>
      </c>
      <c r="Q41" s="3">
        <v>8027.41</v>
      </c>
      <c r="R41" s="16">
        <v>0</v>
      </c>
      <c r="S41">
        <f t="shared" si="3"/>
        <v>0</v>
      </c>
      <c r="U41" s="3">
        <v>6.3100000000000005E-4</v>
      </c>
      <c r="V41" s="3">
        <v>8027.41</v>
      </c>
      <c r="W41" s="16">
        <v>0</v>
      </c>
      <c r="X41">
        <f t="shared" si="4"/>
        <v>0</v>
      </c>
      <c r="Z41" s="3">
        <v>6.3100000000000005E-4</v>
      </c>
      <c r="AA41" s="3">
        <v>8027.41</v>
      </c>
      <c r="AB41" s="16">
        <v>0</v>
      </c>
      <c r="AC41">
        <f t="shared" si="5"/>
        <v>0</v>
      </c>
      <c r="AE41" s="3">
        <v>6.3100000000000005E-4</v>
      </c>
      <c r="AF41" s="3">
        <v>8027.41</v>
      </c>
      <c r="AG41" s="16">
        <v>0</v>
      </c>
      <c r="AH41">
        <f t="shared" si="6"/>
        <v>0</v>
      </c>
      <c r="AJ41" s="3">
        <v>6.3100000000000005E-4</v>
      </c>
      <c r="AK41" s="3">
        <v>8027.41</v>
      </c>
      <c r="AL41" s="17">
        <v>2.73542071680648E-5</v>
      </c>
      <c r="AM41">
        <f t="shared" si="7"/>
        <v>0.21958343616299505</v>
      </c>
      <c r="AO41" s="3">
        <v>6.3100000000000005E-4</v>
      </c>
      <c r="AP41" s="3">
        <v>8027.41</v>
      </c>
      <c r="AQ41" s="17">
        <v>6.8971798127039602E-8</v>
      </c>
      <c r="AR41">
        <f t="shared" si="8"/>
        <v>5.5366490200297897E-4</v>
      </c>
      <c r="AT41" s="3">
        <v>6.3100000000000005E-4</v>
      </c>
      <c r="AU41" s="3">
        <v>8027.41</v>
      </c>
      <c r="AV41" s="16">
        <v>0</v>
      </c>
      <c r="AW41">
        <f t="shared" si="9"/>
        <v>0</v>
      </c>
    </row>
    <row r="42" spans="1:49" x14ac:dyDescent="0.3">
      <c r="A42" s="3">
        <v>1E-3</v>
      </c>
      <c r="B42" s="16">
        <v>6859.72</v>
      </c>
      <c r="C42" s="16">
        <v>3.85504679770367E-3</v>
      </c>
      <c r="D42">
        <f t="shared" si="0"/>
        <v>26.44454161914382</v>
      </c>
      <c r="F42" s="3">
        <v>1E-3</v>
      </c>
      <c r="G42" s="3">
        <v>6859.72</v>
      </c>
      <c r="H42" s="16">
        <v>0</v>
      </c>
      <c r="I42">
        <f t="shared" si="1"/>
        <v>0</v>
      </c>
      <c r="K42" s="3">
        <v>1E-3</v>
      </c>
      <c r="L42" s="3">
        <v>6859.72</v>
      </c>
      <c r="M42" s="16">
        <v>0</v>
      </c>
      <c r="N42">
        <f t="shared" si="2"/>
        <v>0</v>
      </c>
      <c r="P42" s="3">
        <v>1E-3</v>
      </c>
      <c r="Q42" s="3">
        <v>6859.72</v>
      </c>
      <c r="R42" s="16">
        <v>0</v>
      </c>
      <c r="S42">
        <f t="shared" si="3"/>
        <v>0</v>
      </c>
      <c r="U42" s="3">
        <v>1E-3</v>
      </c>
      <c r="V42" s="3">
        <v>6859.72</v>
      </c>
      <c r="W42" s="16">
        <v>0</v>
      </c>
      <c r="X42">
        <f t="shared" si="4"/>
        <v>0</v>
      </c>
      <c r="Z42" s="3">
        <v>1E-3</v>
      </c>
      <c r="AA42" s="3">
        <v>6859.72</v>
      </c>
      <c r="AB42" s="16">
        <v>0</v>
      </c>
      <c r="AC42">
        <f t="shared" si="5"/>
        <v>0</v>
      </c>
      <c r="AE42" s="3">
        <v>1E-3</v>
      </c>
      <c r="AF42" s="3">
        <v>6859.72</v>
      </c>
      <c r="AG42" s="16">
        <v>0</v>
      </c>
      <c r="AH42">
        <f t="shared" si="6"/>
        <v>0</v>
      </c>
      <c r="AJ42" s="3">
        <v>1E-3</v>
      </c>
      <c r="AK42" s="3">
        <v>6859.72</v>
      </c>
      <c r="AL42" s="17">
        <v>2.9038261928997201E-5</v>
      </c>
      <c r="AM42">
        <f t="shared" si="7"/>
        <v>0.1991943461195807</v>
      </c>
      <c r="AO42" s="3">
        <v>1E-3</v>
      </c>
      <c r="AP42" s="3">
        <v>6859.72</v>
      </c>
      <c r="AQ42" s="17">
        <v>3.69174397077638E-8</v>
      </c>
      <c r="AR42">
        <f t="shared" si="8"/>
        <v>2.5324329951214149E-4</v>
      </c>
      <c r="AT42" s="3">
        <v>1E-3</v>
      </c>
      <c r="AU42" s="3">
        <v>6859.72</v>
      </c>
      <c r="AV42" s="16">
        <v>0</v>
      </c>
      <c r="AW42">
        <f t="shared" si="9"/>
        <v>0</v>
      </c>
    </row>
    <row r="43" spans="1:49" x14ac:dyDescent="0.3">
      <c r="A43" s="3">
        <v>1.585E-3</v>
      </c>
      <c r="B43" s="16">
        <v>8356.9599999999991</v>
      </c>
      <c r="C43" s="16">
        <v>2.0580625838671901E-3</v>
      </c>
      <c r="D43">
        <f t="shared" si="0"/>
        <v>17.199146690874752</v>
      </c>
      <c r="F43" s="3">
        <v>1.585E-3</v>
      </c>
      <c r="G43" s="3">
        <v>8356.9599999999991</v>
      </c>
      <c r="H43" s="16">
        <v>0</v>
      </c>
      <c r="I43">
        <f t="shared" si="1"/>
        <v>0</v>
      </c>
      <c r="K43" s="3">
        <v>1.585E-3</v>
      </c>
      <c r="L43" s="3">
        <v>8356.9599999999991</v>
      </c>
      <c r="M43" s="16">
        <v>0</v>
      </c>
      <c r="N43">
        <f t="shared" si="2"/>
        <v>0</v>
      </c>
      <c r="P43" s="3">
        <v>1.585E-3</v>
      </c>
      <c r="Q43" s="3">
        <v>8356.9599999999991</v>
      </c>
      <c r="R43" s="16">
        <v>0</v>
      </c>
      <c r="S43">
        <f t="shared" si="3"/>
        <v>0</v>
      </c>
      <c r="U43" s="3">
        <v>1.585E-3</v>
      </c>
      <c r="V43" s="3">
        <v>8356.9599999999991</v>
      </c>
      <c r="W43" s="16">
        <v>0</v>
      </c>
      <c r="X43">
        <f t="shared" si="4"/>
        <v>0</v>
      </c>
      <c r="Z43" s="3">
        <v>1.585E-3</v>
      </c>
      <c r="AA43" s="3">
        <v>8356.9599999999991</v>
      </c>
      <c r="AB43" s="16">
        <v>0</v>
      </c>
      <c r="AC43">
        <f t="shared" si="5"/>
        <v>0</v>
      </c>
      <c r="AE43" s="3">
        <v>1.585E-3</v>
      </c>
      <c r="AF43" s="3">
        <v>8356.9599999999991</v>
      </c>
      <c r="AG43" s="16">
        <v>0</v>
      </c>
      <c r="AH43">
        <f t="shared" si="6"/>
        <v>0</v>
      </c>
      <c r="AJ43" s="3">
        <v>1.585E-3</v>
      </c>
      <c r="AK43" s="3">
        <v>8356.9599999999991</v>
      </c>
      <c r="AL43" s="17">
        <v>4.1763864924866903E-5</v>
      </c>
      <c r="AM43">
        <f t="shared" si="7"/>
        <v>0.3490189486225157</v>
      </c>
      <c r="AO43" s="3">
        <v>1.585E-3</v>
      </c>
      <c r="AP43" s="3">
        <v>8356.9599999999991</v>
      </c>
      <c r="AQ43" s="17">
        <v>4.7230594284368401E-7</v>
      </c>
      <c r="AR43">
        <f t="shared" si="8"/>
        <v>3.9470418721069527E-3</v>
      </c>
      <c r="AT43" s="3">
        <v>1.585E-3</v>
      </c>
      <c r="AU43" s="3">
        <v>8356.9599999999991</v>
      </c>
      <c r="AV43" s="16">
        <v>0</v>
      </c>
      <c r="AW43">
        <f t="shared" si="9"/>
        <v>0</v>
      </c>
    </row>
    <row r="44" spans="1:49" x14ac:dyDescent="0.3">
      <c r="A44" s="3">
        <v>2.5119999999999999E-3</v>
      </c>
      <c r="B44" s="16">
        <v>8964.07</v>
      </c>
      <c r="C44" s="16">
        <v>1.29600376444036E-3</v>
      </c>
      <c r="D44">
        <f t="shared" si="0"/>
        <v>11.617468464706898</v>
      </c>
      <c r="F44" s="3">
        <v>2.5119999999999999E-3</v>
      </c>
      <c r="G44" s="3">
        <v>8964.07</v>
      </c>
      <c r="H44" s="16">
        <v>0</v>
      </c>
      <c r="I44">
        <f t="shared" si="1"/>
        <v>0</v>
      </c>
      <c r="K44" s="3">
        <v>2.5119999999999999E-3</v>
      </c>
      <c r="L44" s="3">
        <v>8964.07</v>
      </c>
      <c r="M44" s="16">
        <v>0</v>
      </c>
      <c r="N44">
        <f t="shared" si="2"/>
        <v>0</v>
      </c>
      <c r="P44" s="3">
        <v>2.5119999999999999E-3</v>
      </c>
      <c r="Q44" s="3">
        <v>8964.07</v>
      </c>
      <c r="R44" s="16">
        <v>0</v>
      </c>
      <c r="S44">
        <f t="shared" si="3"/>
        <v>0</v>
      </c>
      <c r="U44" s="3">
        <v>2.5119999999999999E-3</v>
      </c>
      <c r="V44" s="3">
        <v>8964.07</v>
      </c>
      <c r="W44" s="16">
        <v>0</v>
      </c>
      <c r="X44">
        <f t="shared" si="4"/>
        <v>0</v>
      </c>
      <c r="Z44" s="3">
        <v>2.5119999999999999E-3</v>
      </c>
      <c r="AA44" s="3">
        <v>8964.07</v>
      </c>
      <c r="AB44" s="16">
        <v>0</v>
      </c>
      <c r="AC44">
        <f t="shared" si="5"/>
        <v>0</v>
      </c>
      <c r="AE44" s="3">
        <v>2.5119999999999999E-3</v>
      </c>
      <c r="AF44" s="3">
        <v>8964.07</v>
      </c>
      <c r="AG44" s="16">
        <v>0</v>
      </c>
      <c r="AH44">
        <f t="shared" si="6"/>
        <v>0</v>
      </c>
      <c r="AJ44" s="3">
        <v>2.5119999999999999E-3</v>
      </c>
      <c r="AK44" s="3">
        <v>8964.07</v>
      </c>
      <c r="AL44" s="16">
        <v>2.0313873422061099E-4</v>
      </c>
      <c r="AM44">
        <f t="shared" si="7"/>
        <v>1.8209498332649523</v>
      </c>
      <c r="AO44" s="3">
        <v>2.5119999999999999E-3</v>
      </c>
      <c r="AP44" s="3">
        <v>8964.07</v>
      </c>
      <c r="AQ44" s="17">
        <v>5.1129809668106897E-7</v>
      </c>
      <c r="AR44">
        <f t="shared" si="8"/>
        <v>4.5833119295158702E-3</v>
      </c>
      <c r="AT44" s="3">
        <v>2.5119999999999999E-3</v>
      </c>
      <c r="AU44" s="3">
        <v>8964.07</v>
      </c>
      <c r="AV44" s="16">
        <v>0</v>
      </c>
      <c r="AW44">
        <f t="shared" si="9"/>
        <v>0</v>
      </c>
    </row>
    <row r="45" spans="1:49" x14ac:dyDescent="0.3">
      <c r="A45" s="3">
        <v>3.9810000000000002E-3</v>
      </c>
      <c r="B45" s="16">
        <v>7116.02</v>
      </c>
      <c r="C45" s="16">
        <v>4.8983226835710904E-4</v>
      </c>
      <c r="D45">
        <f t="shared" si="0"/>
        <v>3.4856562182745554</v>
      </c>
      <c r="F45" s="3">
        <v>3.9810000000000002E-3</v>
      </c>
      <c r="G45" s="3">
        <v>7116.02</v>
      </c>
      <c r="H45" s="16">
        <v>0</v>
      </c>
      <c r="I45">
        <f t="shared" si="1"/>
        <v>0</v>
      </c>
      <c r="K45" s="3">
        <v>3.9810000000000002E-3</v>
      </c>
      <c r="L45" s="3">
        <v>7116.02</v>
      </c>
      <c r="M45" s="16">
        <v>0</v>
      </c>
      <c r="N45">
        <f t="shared" si="2"/>
        <v>0</v>
      </c>
      <c r="P45" s="3">
        <v>3.9810000000000002E-3</v>
      </c>
      <c r="Q45" s="3">
        <v>7116.02</v>
      </c>
      <c r="R45" s="16">
        <v>0</v>
      </c>
      <c r="S45">
        <f t="shared" si="3"/>
        <v>0</v>
      </c>
      <c r="U45" s="3">
        <v>3.9810000000000002E-3</v>
      </c>
      <c r="V45" s="3">
        <v>7116.02</v>
      </c>
      <c r="W45" s="16">
        <v>0</v>
      </c>
      <c r="X45">
        <f t="shared" si="4"/>
        <v>0</v>
      </c>
      <c r="Z45" s="3">
        <v>3.9810000000000002E-3</v>
      </c>
      <c r="AA45" s="3">
        <v>7116.02</v>
      </c>
      <c r="AB45" s="16">
        <v>0</v>
      </c>
      <c r="AC45">
        <f t="shared" si="5"/>
        <v>0</v>
      </c>
      <c r="AE45" s="3">
        <v>3.9810000000000002E-3</v>
      </c>
      <c r="AF45" s="3">
        <v>7116.02</v>
      </c>
      <c r="AG45" s="16">
        <v>0</v>
      </c>
      <c r="AH45">
        <f t="shared" si="6"/>
        <v>0</v>
      </c>
      <c r="AJ45" s="3">
        <v>3.9810000000000002E-3</v>
      </c>
      <c r="AK45" s="3">
        <v>7116.02</v>
      </c>
      <c r="AL45" s="16">
        <v>6.3502888145140399E-4</v>
      </c>
      <c r="AM45">
        <f t="shared" si="7"/>
        <v>4.5188782209858198</v>
      </c>
      <c r="AO45" s="3">
        <v>3.9810000000000002E-3</v>
      </c>
      <c r="AP45" s="3">
        <v>7116.02</v>
      </c>
      <c r="AQ45" s="17">
        <v>1.88130826280794E-6</v>
      </c>
      <c r="AR45">
        <f t="shared" si="8"/>
        <v>1.3387427224306558E-2</v>
      </c>
      <c r="AT45" s="3">
        <v>3.9810000000000002E-3</v>
      </c>
      <c r="AU45" s="3">
        <v>7116.02</v>
      </c>
      <c r="AV45" s="16">
        <v>0</v>
      </c>
      <c r="AW45">
        <f t="shared" si="9"/>
        <v>0</v>
      </c>
    </row>
    <row r="46" spans="1:49" x14ac:dyDescent="0.3">
      <c r="A46" s="3">
        <v>6.3099999999999996E-3</v>
      </c>
      <c r="B46" s="16">
        <v>9182.7900000000009</v>
      </c>
      <c r="C46" s="16">
        <v>3.6609254960565102E-4</v>
      </c>
      <c r="D46">
        <f t="shared" si="0"/>
        <v>3.3617510035932763</v>
      </c>
      <c r="F46" s="3">
        <v>6.3099999999999996E-3</v>
      </c>
      <c r="G46" s="3">
        <v>9182.7900000000009</v>
      </c>
      <c r="H46" s="16">
        <v>0</v>
      </c>
      <c r="I46">
        <f t="shared" si="1"/>
        <v>0</v>
      </c>
      <c r="K46" s="3">
        <v>6.3099999999999996E-3</v>
      </c>
      <c r="L46" s="3">
        <v>9182.7900000000009</v>
      </c>
      <c r="M46" s="16">
        <v>0</v>
      </c>
      <c r="N46">
        <f t="shared" si="2"/>
        <v>0</v>
      </c>
      <c r="P46" s="3">
        <v>6.3099999999999996E-3</v>
      </c>
      <c r="Q46" s="3">
        <v>9182.7900000000009</v>
      </c>
      <c r="R46" s="16">
        <v>0</v>
      </c>
      <c r="S46">
        <f t="shared" si="3"/>
        <v>0</v>
      </c>
      <c r="U46" s="3">
        <v>6.3099999999999996E-3</v>
      </c>
      <c r="V46" s="3">
        <v>9182.7900000000009</v>
      </c>
      <c r="W46" s="16">
        <v>0</v>
      </c>
      <c r="X46">
        <f t="shared" si="4"/>
        <v>0</v>
      </c>
      <c r="Z46" s="3">
        <v>6.3099999999999996E-3</v>
      </c>
      <c r="AA46" s="3">
        <v>9182.7900000000009</v>
      </c>
      <c r="AB46" s="16">
        <v>0</v>
      </c>
      <c r="AC46">
        <f t="shared" si="5"/>
        <v>0</v>
      </c>
      <c r="AE46" s="3">
        <v>6.3099999999999996E-3</v>
      </c>
      <c r="AF46" s="3">
        <v>9182.7900000000009</v>
      </c>
      <c r="AG46" s="16">
        <v>0</v>
      </c>
      <c r="AH46">
        <f t="shared" si="6"/>
        <v>0</v>
      </c>
      <c r="AJ46" s="3">
        <v>6.3099999999999996E-3</v>
      </c>
      <c r="AK46" s="3">
        <v>9182.7900000000009</v>
      </c>
      <c r="AL46" s="17">
        <v>1.4034390818708099E-5</v>
      </c>
      <c r="AM46">
        <f t="shared" si="7"/>
        <v>0.12887486366612455</v>
      </c>
      <c r="AO46" s="3">
        <v>6.3099999999999996E-3</v>
      </c>
      <c r="AP46" s="3">
        <v>9182.7900000000009</v>
      </c>
      <c r="AQ46" s="17">
        <v>9.6976615314429201E-7</v>
      </c>
      <c r="AR46">
        <f t="shared" si="8"/>
        <v>8.9051589334318733E-3</v>
      </c>
      <c r="AT46" s="3">
        <v>6.3099999999999996E-3</v>
      </c>
      <c r="AU46" s="3">
        <v>9182.7900000000009</v>
      </c>
      <c r="AV46" s="16">
        <v>0</v>
      </c>
      <c r="AW46">
        <f t="shared" si="9"/>
        <v>0</v>
      </c>
    </row>
    <row r="47" spans="1:49" x14ac:dyDescent="0.3">
      <c r="A47" s="3">
        <v>0.01</v>
      </c>
      <c r="B47" s="16">
        <v>5528.88</v>
      </c>
      <c r="C47" s="16">
        <v>2.5985188589876701E-4</v>
      </c>
      <c r="D47">
        <f t="shared" si="0"/>
        <v>1.4366898949079749</v>
      </c>
      <c r="F47" s="3">
        <v>0.01</v>
      </c>
      <c r="G47" s="3">
        <v>5528.88</v>
      </c>
      <c r="H47" s="16">
        <v>0</v>
      </c>
      <c r="I47">
        <f t="shared" si="1"/>
        <v>0</v>
      </c>
      <c r="K47" s="3">
        <v>0.01</v>
      </c>
      <c r="L47" s="3">
        <v>5528.88</v>
      </c>
      <c r="M47" s="16">
        <v>0</v>
      </c>
      <c r="N47">
        <f t="shared" si="2"/>
        <v>0</v>
      </c>
      <c r="P47" s="3">
        <v>0.01</v>
      </c>
      <c r="Q47" s="3">
        <v>5528.88</v>
      </c>
      <c r="R47" s="16">
        <v>0</v>
      </c>
      <c r="S47">
        <f t="shared" si="3"/>
        <v>0</v>
      </c>
      <c r="U47" s="3">
        <v>0.01</v>
      </c>
      <c r="V47" s="3">
        <v>5528.88</v>
      </c>
      <c r="W47" s="16">
        <v>0</v>
      </c>
      <c r="X47">
        <f t="shared" si="4"/>
        <v>0</v>
      </c>
      <c r="Z47" s="3">
        <v>0.01</v>
      </c>
      <c r="AA47" s="3">
        <v>5528.88</v>
      </c>
      <c r="AB47" s="16">
        <v>0</v>
      </c>
      <c r="AC47">
        <f t="shared" si="5"/>
        <v>0</v>
      </c>
      <c r="AE47" s="3">
        <v>0.01</v>
      </c>
      <c r="AF47" s="3">
        <v>5528.88</v>
      </c>
      <c r="AG47" s="16">
        <v>0</v>
      </c>
      <c r="AH47">
        <f t="shared" si="6"/>
        <v>0</v>
      </c>
      <c r="AJ47" s="3">
        <v>0.01</v>
      </c>
      <c r="AK47" s="3">
        <v>5528.88</v>
      </c>
      <c r="AL47" s="16">
        <v>1.14692359758951E-4</v>
      </c>
      <c r="AM47">
        <f t="shared" si="7"/>
        <v>0.634120294024069</v>
      </c>
      <c r="AO47" s="3">
        <v>0.01</v>
      </c>
      <c r="AP47" s="3">
        <v>5528.88</v>
      </c>
      <c r="AQ47" s="17">
        <v>8.5621578725161796E-7</v>
      </c>
      <c r="AR47">
        <f t="shared" si="8"/>
        <v>4.7339143418197258E-3</v>
      </c>
      <c r="AT47" s="3">
        <v>0.01</v>
      </c>
      <c r="AU47" s="3">
        <v>5528.88</v>
      </c>
      <c r="AV47" s="16">
        <v>0</v>
      </c>
      <c r="AW47">
        <f t="shared" si="9"/>
        <v>0</v>
      </c>
    </row>
    <row r="48" spans="1:49" x14ac:dyDescent="0.3">
      <c r="A48" s="3">
        <v>1.585E-2</v>
      </c>
      <c r="B48" s="16">
        <v>9144.81</v>
      </c>
      <c r="C48" s="16">
        <v>1.8134931906797899E-4</v>
      </c>
      <c r="D48">
        <f t="shared" si="0"/>
        <v>1.6584050665060448</v>
      </c>
      <c r="F48" s="3">
        <v>1.585E-2</v>
      </c>
      <c r="G48" s="3">
        <v>9144.81</v>
      </c>
      <c r="H48" s="16">
        <v>0</v>
      </c>
      <c r="I48">
        <f t="shared" si="1"/>
        <v>0</v>
      </c>
      <c r="K48" s="3">
        <v>1.585E-2</v>
      </c>
      <c r="L48" s="3">
        <v>9144.81</v>
      </c>
      <c r="M48" s="16">
        <v>0</v>
      </c>
      <c r="N48">
        <f t="shared" si="2"/>
        <v>0</v>
      </c>
      <c r="P48" s="3">
        <v>1.585E-2</v>
      </c>
      <c r="Q48" s="3">
        <v>9144.81</v>
      </c>
      <c r="R48" s="16">
        <v>0</v>
      </c>
      <c r="S48">
        <f t="shared" si="3"/>
        <v>0</v>
      </c>
      <c r="U48" s="3">
        <v>1.585E-2</v>
      </c>
      <c r="V48" s="3">
        <v>9144.81</v>
      </c>
      <c r="W48" s="16">
        <v>0</v>
      </c>
      <c r="X48">
        <f t="shared" si="4"/>
        <v>0</v>
      </c>
      <c r="Z48" s="3">
        <v>1.585E-2</v>
      </c>
      <c r="AA48" s="3">
        <v>9144.81</v>
      </c>
      <c r="AB48" s="16">
        <v>0</v>
      </c>
      <c r="AC48">
        <f t="shared" si="5"/>
        <v>0</v>
      </c>
      <c r="AE48" s="3">
        <v>1.585E-2</v>
      </c>
      <c r="AF48" s="3">
        <v>9144.81</v>
      </c>
      <c r="AG48" s="16">
        <v>0</v>
      </c>
      <c r="AH48">
        <f t="shared" si="6"/>
        <v>0</v>
      </c>
      <c r="AJ48" s="3">
        <v>1.585E-2</v>
      </c>
      <c r="AK48" s="3">
        <v>9144.81</v>
      </c>
      <c r="AL48" s="17">
        <v>3.9365378976675203E-7</v>
      </c>
      <c r="AM48">
        <f t="shared" si="7"/>
        <v>3.5998891131968913E-3</v>
      </c>
      <c r="AO48" s="3">
        <v>1.585E-2</v>
      </c>
      <c r="AP48" s="3">
        <v>9144.81</v>
      </c>
      <c r="AQ48" s="17">
        <v>2.71548439317012E-7</v>
      </c>
      <c r="AR48">
        <f t="shared" si="8"/>
        <v>2.4832588833506044E-3</v>
      </c>
      <c r="AT48" s="3">
        <v>1.585E-2</v>
      </c>
      <c r="AU48" s="3">
        <v>9144.81</v>
      </c>
      <c r="AV48" s="16">
        <v>0</v>
      </c>
      <c r="AW48">
        <f t="shared" si="9"/>
        <v>0</v>
      </c>
    </row>
    <row r="49" spans="1:49" x14ac:dyDescent="0.3">
      <c r="A49" s="3">
        <v>2.512E-2</v>
      </c>
      <c r="B49" s="16">
        <v>10130.200000000001</v>
      </c>
      <c r="C49" s="16">
        <v>1.3073602795775E-4</v>
      </c>
      <c r="D49">
        <f t="shared" si="0"/>
        <v>1.324382110417599</v>
      </c>
      <c r="F49" s="3">
        <v>2.512E-2</v>
      </c>
      <c r="G49" s="3">
        <v>10130.200000000001</v>
      </c>
      <c r="H49" s="16">
        <v>0</v>
      </c>
      <c r="I49">
        <f t="shared" si="1"/>
        <v>0</v>
      </c>
      <c r="K49" s="3">
        <v>2.512E-2</v>
      </c>
      <c r="L49" s="3">
        <v>10130.200000000001</v>
      </c>
      <c r="M49" s="16">
        <v>0</v>
      </c>
      <c r="N49">
        <f t="shared" si="2"/>
        <v>0</v>
      </c>
      <c r="P49" s="3">
        <v>2.512E-2</v>
      </c>
      <c r="Q49" s="3">
        <v>10130.200000000001</v>
      </c>
      <c r="R49" s="16">
        <v>0</v>
      </c>
      <c r="S49">
        <f t="shared" si="3"/>
        <v>0</v>
      </c>
      <c r="U49" s="3">
        <v>2.512E-2</v>
      </c>
      <c r="V49" s="3">
        <v>10130.200000000001</v>
      </c>
      <c r="W49" s="16">
        <v>0</v>
      </c>
      <c r="X49">
        <f t="shared" si="4"/>
        <v>0</v>
      </c>
      <c r="Z49" s="3">
        <v>2.512E-2</v>
      </c>
      <c r="AA49" s="3">
        <v>10130.200000000001</v>
      </c>
      <c r="AB49" s="16">
        <v>0</v>
      </c>
      <c r="AC49">
        <f t="shared" si="5"/>
        <v>0</v>
      </c>
      <c r="AE49" s="3">
        <v>2.512E-2</v>
      </c>
      <c r="AF49" s="3">
        <v>10130.200000000001</v>
      </c>
      <c r="AG49" s="16">
        <v>0</v>
      </c>
      <c r="AH49">
        <f t="shared" si="6"/>
        <v>0</v>
      </c>
      <c r="AJ49" s="3">
        <v>2.512E-2</v>
      </c>
      <c r="AK49" s="3">
        <v>10130.200000000001</v>
      </c>
      <c r="AL49" s="17">
        <v>1.42288684652016E-7</v>
      </c>
      <c r="AM49">
        <f t="shared" si="7"/>
        <v>1.4414128332618525E-3</v>
      </c>
      <c r="AO49" s="3">
        <v>2.512E-2</v>
      </c>
      <c r="AP49" s="3">
        <v>10130.200000000001</v>
      </c>
      <c r="AQ49" s="17">
        <v>1.6803902798988E-7</v>
      </c>
      <c r="AR49">
        <f t="shared" si="8"/>
        <v>1.7022689613430825E-3</v>
      </c>
      <c r="AT49" s="3">
        <v>2.512E-2</v>
      </c>
      <c r="AU49" s="3">
        <v>10130.200000000001</v>
      </c>
      <c r="AV49" s="16">
        <v>0</v>
      </c>
      <c r="AW49">
        <f t="shared" si="9"/>
        <v>0</v>
      </c>
    </row>
    <row r="50" spans="1:49" x14ac:dyDescent="0.3">
      <c r="A50" s="3">
        <v>3.9809999999999998E-2</v>
      </c>
      <c r="B50" s="16">
        <v>11823.6</v>
      </c>
      <c r="C50" s="16">
        <v>1.01351269592612E-4</v>
      </c>
      <c r="D50">
        <f t="shared" si="0"/>
        <v>1.1983368711552074</v>
      </c>
      <c r="F50" s="3">
        <v>3.9809999999999998E-2</v>
      </c>
      <c r="G50" s="3">
        <v>11823.6</v>
      </c>
      <c r="H50" s="16">
        <v>0</v>
      </c>
      <c r="I50">
        <f t="shared" si="1"/>
        <v>0</v>
      </c>
      <c r="K50" s="3">
        <v>3.9809999999999998E-2</v>
      </c>
      <c r="L50" s="3">
        <v>11823.6</v>
      </c>
      <c r="M50" s="16">
        <v>0</v>
      </c>
      <c r="N50">
        <f t="shared" si="2"/>
        <v>0</v>
      </c>
      <c r="P50" s="3">
        <v>3.9809999999999998E-2</v>
      </c>
      <c r="Q50" s="3">
        <v>11823.6</v>
      </c>
      <c r="R50" s="16">
        <v>0</v>
      </c>
      <c r="S50">
        <f t="shared" si="3"/>
        <v>0</v>
      </c>
      <c r="U50" s="3">
        <v>3.9809999999999998E-2</v>
      </c>
      <c r="V50" s="3">
        <v>11823.6</v>
      </c>
      <c r="W50" s="16">
        <v>0</v>
      </c>
      <c r="X50">
        <f t="shared" si="4"/>
        <v>0</v>
      </c>
      <c r="Z50" s="3">
        <v>3.9809999999999998E-2</v>
      </c>
      <c r="AA50" s="3">
        <v>11823.6</v>
      </c>
      <c r="AB50" s="16">
        <v>0</v>
      </c>
      <c r="AC50">
        <f t="shared" si="5"/>
        <v>0</v>
      </c>
      <c r="AE50" s="3">
        <v>3.9809999999999998E-2</v>
      </c>
      <c r="AF50" s="3">
        <v>11823.6</v>
      </c>
      <c r="AG50" s="16">
        <v>0</v>
      </c>
      <c r="AH50">
        <f t="shared" si="6"/>
        <v>0</v>
      </c>
      <c r="AJ50" s="3">
        <v>3.9809999999999998E-2</v>
      </c>
      <c r="AK50" s="3">
        <v>11823.6</v>
      </c>
      <c r="AL50" s="16">
        <v>6.1728955608334401E-4</v>
      </c>
      <c r="AM50">
        <f t="shared" si="7"/>
        <v>7.2985847953070264</v>
      </c>
      <c r="AO50" s="3">
        <v>3.9809999999999998E-2</v>
      </c>
      <c r="AP50" s="3">
        <v>11823.6</v>
      </c>
      <c r="AQ50" s="17">
        <v>1.12594733968245E-7</v>
      </c>
      <c r="AR50">
        <f t="shared" si="8"/>
        <v>1.3312750965469415E-3</v>
      </c>
      <c r="AT50" s="3">
        <v>3.9809999999999998E-2</v>
      </c>
      <c r="AU50" s="3">
        <v>11823.6</v>
      </c>
      <c r="AV50" s="16">
        <v>0</v>
      </c>
      <c r="AW50">
        <f t="shared" si="9"/>
        <v>0</v>
      </c>
    </row>
    <row r="51" spans="1:49" x14ac:dyDescent="0.3">
      <c r="A51" s="3">
        <v>6.3100000000000003E-2</v>
      </c>
      <c r="B51" s="16">
        <v>13041.4</v>
      </c>
      <c r="C51" s="17">
        <v>7.9411571901906301E-5</v>
      </c>
      <c r="D51">
        <f t="shared" si="0"/>
        <v>1.0356380738015207</v>
      </c>
      <c r="F51" s="3">
        <v>6.3100000000000003E-2</v>
      </c>
      <c r="G51" s="3">
        <v>13041.4</v>
      </c>
      <c r="H51" s="16">
        <v>0</v>
      </c>
      <c r="I51">
        <f t="shared" si="1"/>
        <v>0</v>
      </c>
      <c r="K51" s="3">
        <v>6.3100000000000003E-2</v>
      </c>
      <c r="L51" s="3">
        <v>13041.4</v>
      </c>
      <c r="M51" s="16">
        <v>0</v>
      </c>
      <c r="N51">
        <f t="shared" si="2"/>
        <v>0</v>
      </c>
      <c r="P51" s="3">
        <v>6.3100000000000003E-2</v>
      </c>
      <c r="Q51" s="3">
        <v>13041.4</v>
      </c>
      <c r="R51" s="16">
        <v>0</v>
      </c>
      <c r="S51">
        <f t="shared" si="3"/>
        <v>0</v>
      </c>
      <c r="U51" s="3">
        <v>6.3100000000000003E-2</v>
      </c>
      <c r="V51" s="3">
        <v>13041.4</v>
      </c>
      <c r="W51" s="16">
        <v>0</v>
      </c>
      <c r="X51">
        <f t="shared" si="4"/>
        <v>0</v>
      </c>
      <c r="Z51" s="3">
        <v>6.3100000000000003E-2</v>
      </c>
      <c r="AA51" s="3">
        <v>13041.4</v>
      </c>
      <c r="AB51" s="16">
        <v>0</v>
      </c>
      <c r="AC51">
        <f t="shared" si="5"/>
        <v>0</v>
      </c>
      <c r="AE51" s="3">
        <v>6.3100000000000003E-2</v>
      </c>
      <c r="AF51" s="3">
        <v>13041.4</v>
      </c>
      <c r="AG51" s="16">
        <v>0</v>
      </c>
      <c r="AH51">
        <f t="shared" si="6"/>
        <v>0</v>
      </c>
      <c r="AJ51" s="3">
        <v>6.3100000000000003E-2</v>
      </c>
      <c r="AK51" s="3">
        <v>13041.4</v>
      </c>
      <c r="AL51" s="17">
        <v>1.9526760313745399E-5</v>
      </c>
      <c r="AM51">
        <f t="shared" si="7"/>
        <v>0.25465629195567924</v>
      </c>
      <c r="AO51" s="3">
        <v>6.3100000000000003E-2</v>
      </c>
      <c r="AP51" s="3">
        <v>13041.4</v>
      </c>
      <c r="AQ51" s="17">
        <v>5.8978851055320202E-8</v>
      </c>
      <c r="AR51">
        <f t="shared" si="8"/>
        <v>7.6916678815285282E-4</v>
      </c>
      <c r="AT51" s="3">
        <v>6.3100000000000003E-2</v>
      </c>
      <c r="AU51" s="3">
        <v>13041.4</v>
      </c>
      <c r="AV51" s="16">
        <v>0</v>
      </c>
      <c r="AW51">
        <f t="shared" si="9"/>
        <v>0</v>
      </c>
    </row>
    <row r="52" spans="1:49" x14ac:dyDescent="0.3">
      <c r="A52" s="3">
        <v>0.1</v>
      </c>
      <c r="B52" s="16">
        <v>15964.7</v>
      </c>
      <c r="C52" s="17">
        <v>6.3445107489335493E-5</v>
      </c>
      <c r="D52">
        <f t="shared" si="0"/>
        <v>1.0128821075349943</v>
      </c>
      <c r="F52" s="3">
        <v>0.1</v>
      </c>
      <c r="G52" s="3">
        <v>15964.7</v>
      </c>
      <c r="H52" s="16">
        <v>0</v>
      </c>
      <c r="I52">
        <f t="shared" si="1"/>
        <v>0</v>
      </c>
      <c r="K52" s="3">
        <v>0.1</v>
      </c>
      <c r="L52" s="3">
        <v>15964.7</v>
      </c>
      <c r="M52" s="16">
        <v>0</v>
      </c>
      <c r="N52">
        <f t="shared" si="2"/>
        <v>0</v>
      </c>
      <c r="P52" s="3">
        <v>0.1</v>
      </c>
      <c r="Q52" s="3">
        <v>15964.7</v>
      </c>
      <c r="R52" s="16">
        <v>0</v>
      </c>
      <c r="S52">
        <f t="shared" si="3"/>
        <v>0</v>
      </c>
      <c r="U52" s="3">
        <v>0.1</v>
      </c>
      <c r="V52" s="3">
        <v>15964.7</v>
      </c>
      <c r="W52" s="16">
        <v>0</v>
      </c>
      <c r="X52">
        <f t="shared" si="4"/>
        <v>0</v>
      </c>
      <c r="Z52" s="3">
        <v>0.1</v>
      </c>
      <c r="AA52" s="3">
        <v>15964.7</v>
      </c>
      <c r="AB52" s="16">
        <v>0</v>
      </c>
      <c r="AC52">
        <f t="shared" si="5"/>
        <v>0</v>
      </c>
      <c r="AE52" s="3">
        <v>0.1</v>
      </c>
      <c r="AF52" s="3">
        <v>15964.7</v>
      </c>
      <c r="AG52" s="16">
        <v>0</v>
      </c>
      <c r="AH52">
        <f t="shared" si="6"/>
        <v>0</v>
      </c>
      <c r="AJ52" s="3">
        <v>0.1</v>
      </c>
      <c r="AK52" s="3">
        <v>15964.7</v>
      </c>
      <c r="AL52" s="17">
        <v>1.58948930954499E-7</v>
      </c>
      <c r="AM52">
        <f t="shared" si="7"/>
        <v>2.5375719980092904E-3</v>
      </c>
      <c r="AO52" s="3">
        <v>0.1</v>
      </c>
      <c r="AP52" s="3">
        <v>15964.7</v>
      </c>
      <c r="AQ52" s="17">
        <v>5.23056169134805E-8</v>
      </c>
      <c r="AR52">
        <f t="shared" si="8"/>
        <v>8.3504348233864217E-4</v>
      </c>
      <c r="AT52" s="3">
        <v>0.1</v>
      </c>
      <c r="AU52" s="3">
        <v>15964.7</v>
      </c>
      <c r="AV52" s="16">
        <v>0</v>
      </c>
      <c r="AW52">
        <f t="shared" si="9"/>
        <v>0</v>
      </c>
    </row>
    <row r="53" spans="1:49" x14ac:dyDescent="0.3">
      <c r="A53" s="3">
        <v>0.1585</v>
      </c>
      <c r="B53" s="16">
        <v>16515.7</v>
      </c>
      <c r="C53" s="17">
        <v>5.3998821650934099E-5</v>
      </c>
      <c r="D53">
        <f t="shared" si="0"/>
        <v>0.89182833874033229</v>
      </c>
      <c r="F53" s="3">
        <v>0.1585</v>
      </c>
      <c r="G53" s="3">
        <v>16515.7</v>
      </c>
      <c r="H53" s="16">
        <v>0</v>
      </c>
      <c r="I53">
        <f t="shared" si="1"/>
        <v>0</v>
      </c>
      <c r="K53" s="3">
        <v>0.1585</v>
      </c>
      <c r="L53" s="3">
        <v>16515.7</v>
      </c>
      <c r="M53" s="16">
        <v>0</v>
      </c>
      <c r="N53">
        <f t="shared" si="2"/>
        <v>0</v>
      </c>
      <c r="P53" s="3">
        <v>0.1585</v>
      </c>
      <c r="Q53" s="3">
        <v>16515.7</v>
      </c>
      <c r="R53" s="16">
        <v>0</v>
      </c>
      <c r="S53">
        <f t="shared" si="3"/>
        <v>0</v>
      </c>
      <c r="U53" s="3">
        <v>0.1585</v>
      </c>
      <c r="V53" s="3">
        <v>16515.7</v>
      </c>
      <c r="W53" s="16">
        <v>0</v>
      </c>
      <c r="X53">
        <f t="shared" si="4"/>
        <v>0</v>
      </c>
      <c r="Z53" s="3">
        <v>0.1585</v>
      </c>
      <c r="AA53" s="3">
        <v>16515.7</v>
      </c>
      <c r="AB53" s="16">
        <v>0</v>
      </c>
      <c r="AC53">
        <f t="shared" si="5"/>
        <v>0</v>
      </c>
      <c r="AE53" s="3">
        <v>0.1585</v>
      </c>
      <c r="AF53" s="3">
        <v>16515.7</v>
      </c>
      <c r="AG53" s="16">
        <v>0</v>
      </c>
      <c r="AH53">
        <f t="shared" si="6"/>
        <v>0</v>
      </c>
      <c r="AJ53" s="3">
        <v>0.1585</v>
      </c>
      <c r="AK53" s="3">
        <v>16515.7</v>
      </c>
      <c r="AL53" s="16">
        <v>2.1729148410046199E-4</v>
      </c>
      <c r="AM53">
        <f t="shared" si="7"/>
        <v>3.5887209639580004</v>
      </c>
      <c r="AO53" s="3">
        <v>0.1585</v>
      </c>
      <c r="AP53" s="3">
        <v>16515.7</v>
      </c>
      <c r="AQ53" s="17">
        <v>1.5253999884533401E-8</v>
      </c>
      <c r="AR53">
        <f t="shared" si="8"/>
        <v>2.5193048589298832E-4</v>
      </c>
      <c r="AT53" s="3">
        <v>0.1585</v>
      </c>
      <c r="AU53" s="3">
        <v>16515.7</v>
      </c>
      <c r="AV53" s="16">
        <v>0</v>
      </c>
      <c r="AW53">
        <f t="shared" si="9"/>
        <v>0</v>
      </c>
    </row>
    <row r="54" spans="1:49" x14ac:dyDescent="0.3">
      <c r="A54" s="3">
        <v>0.25119999999999998</v>
      </c>
      <c r="B54" s="16">
        <v>19500.8</v>
      </c>
      <c r="C54" s="17">
        <v>4.4493166410972603E-5</v>
      </c>
      <c r="D54">
        <f t="shared" si="0"/>
        <v>0.86765233954709453</v>
      </c>
      <c r="F54" s="3">
        <v>0.25119999999999998</v>
      </c>
      <c r="G54" s="3">
        <v>19500.8</v>
      </c>
      <c r="H54" s="16">
        <v>0</v>
      </c>
      <c r="I54">
        <f t="shared" si="1"/>
        <v>0</v>
      </c>
      <c r="K54" s="3">
        <v>0.25119999999999998</v>
      </c>
      <c r="L54" s="3">
        <v>19500.8</v>
      </c>
      <c r="M54" s="16">
        <v>0</v>
      </c>
      <c r="N54">
        <f t="shared" si="2"/>
        <v>0</v>
      </c>
      <c r="P54" s="3">
        <v>0.25119999999999998</v>
      </c>
      <c r="Q54" s="3">
        <v>19500.8</v>
      </c>
      <c r="R54" s="16">
        <v>0</v>
      </c>
      <c r="S54">
        <f t="shared" si="3"/>
        <v>0</v>
      </c>
      <c r="U54" s="3">
        <v>0.25119999999999998</v>
      </c>
      <c r="V54" s="3">
        <v>19500.8</v>
      </c>
      <c r="W54" s="16">
        <v>0</v>
      </c>
      <c r="X54">
        <f t="shared" si="4"/>
        <v>0</v>
      </c>
      <c r="Z54" s="3">
        <v>0.25119999999999998</v>
      </c>
      <c r="AA54" s="3">
        <v>19500.8</v>
      </c>
      <c r="AB54" s="16">
        <v>0</v>
      </c>
      <c r="AC54">
        <f t="shared" si="5"/>
        <v>0</v>
      </c>
      <c r="AE54" s="3">
        <v>0.25119999999999998</v>
      </c>
      <c r="AF54" s="3">
        <v>19500.8</v>
      </c>
      <c r="AG54" s="16">
        <v>0</v>
      </c>
      <c r="AH54">
        <f t="shared" si="6"/>
        <v>0</v>
      </c>
      <c r="AJ54" s="3">
        <v>0.25119999999999998</v>
      </c>
      <c r="AK54" s="3">
        <v>19500.8</v>
      </c>
      <c r="AL54" s="17">
        <v>8.0463889208780195E-5</v>
      </c>
      <c r="AM54">
        <f t="shared" si="7"/>
        <v>1.5691102106825807</v>
      </c>
      <c r="AO54" s="3">
        <v>0.25119999999999998</v>
      </c>
      <c r="AP54" s="3">
        <v>19500.8</v>
      </c>
      <c r="AQ54" s="17">
        <v>9.8902445796121103E-9</v>
      </c>
      <c r="AR54">
        <f t="shared" si="8"/>
        <v>1.9286768149809984E-4</v>
      </c>
      <c r="AT54" s="3">
        <v>0.25119999999999998</v>
      </c>
      <c r="AU54" s="3">
        <v>19500.8</v>
      </c>
      <c r="AV54" s="16">
        <v>0</v>
      </c>
      <c r="AW54">
        <f t="shared" si="9"/>
        <v>0</v>
      </c>
    </row>
    <row r="55" spans="1:49" x14ac:dyDescent="0.3">
      <c r="A55" s="3">
        <v>0.39810000000000001</v>
      </c>
      <c r="B55" s="16">
        <v>28309.4</v>
      </c>
      <c r="C55" s="17">
        <v>3.5586157573588801E-5</v>
      </c>
      <c r="D55">
        <f t="shared" si="0"/>
        <v>1.007422769213755</v>
      </c>
      <c r="F55" s="3">
        <v>0.39810000000000001</v>
      </c>
      <c r="G55" s="3">
        <v>28309.4</v>
      </c>
      <c r="H55" s="16">
        <v>0</v>
      </c>
      <c r="I55">
        <f t="shared" si="1"/>
        <v>0</v>
      </c>
      <c r="K55" s="3">
        <v>0.39810000000000001</v>
      </c>
      <c r="L55" s="3">
        <v>28309.4</v>
      </c>
      <c r="M55" s="16">
        <v>0</v>
      </c>
      <c r="N55">
        <f t="shared" si="2"/>
        <v>0</v>
      </c>
      <c r="P55" s="3">
        <v>0.39810000000000001</v>
      </c>
      <c r="Q55" s="3">
        <v>28309.4</v>
      </c>
      <c r="R55" s="16">
        <v>0</v>
      </c>
      <c r="S55">
        <f t="shared" si="3"/>
        <v>0</v>
      </c>
      <c r="U55" s="3">
        <v>0.39810000000000001</v>
      </c>
      <c r="V55" s="3">
        <v>28309.4</v>
      </c>
      <c r="W55" s="16">
        <v>0</v>
      </c>
      <c r="X55">
        <f t="shared" si="4"/>
        <v>0</v>
      </c>
      <c r="Z55" s="3">
        <v>0.39810000000000001</v>
      </c>
      <c r="AA55" s="3">
        <v>28309.4</v>
      </c>
      <c r="AB55" s="16">
        <v>0</v>
      </c>
      <c r="AC55">
        <f t="shared" si="5"/>
        <v>0</v>
      </c>
      <c r="AE55" s="3">
        <v>0.39810000000000001</v>
      </c>
      <c r="AF55" s="3">
        <v>28309.4</v>
      </c>
      <c r="AG55" s="16">
        <v>0</v>
      </c>
      <c r="AH55">
        <f t="shared" si="6"/>
        <v>0</v>
      </c>
      <c r="AJ55" s="3">
        <v>0.39810000000000001</v>
      </c>
      <c r="AK55" s="3">
        <v>28309.4</v>
      </c>
      <c r="AL55" s="17">
        <v>4.58118830384419E-5</v>
      </c>
      <c r="AM55">
        <f t="shared" si="7"/>
        <v>1.2969069216884672</v>
      </c>
      <c r="AO55" s="3">
        <v>0.39810000000000001</v>
      </c>
      <c r="AP55" s="3">
        <v>28309.4</v>
      </c>
      <c r="AQ55" s="17">
        <v>7.8741165329607194E-9</v>
      </c>
      <c r="AR55">
        <f t="shared" si="8"/>
        <v>2.229115145781982E-4</v>
      </c>
      <c r="AT55" s="3">
        <v>0.39810000000000001</v>
      </c>
      <c r="AU55" s="3">
        <v>28309.4</v>
      </c>
      <c r="AV55" s="16">
        <v>0</v>
      </c>
      <c r="AW55">
        <f t="shared" si="9"/>
        <v>0</v>
      </c>
    </row>
    <row r="56" spans="1:49" x14ac:dyDescent="0.3">
      <c r="A56" s="3">
        <v>0.63100000000000001</v>
      </c>
      <c r="B56" s="16">
        <v>33263.4</v>
      </c>
      <c r="C56" s="17">
        <v>2.3015502111107601E-5</v>
      </c>
      <c r="D56">
        <f t="shared" si="0"/>
        <v>0.76557385292261659</v>
      </c>
      <c r="F56" s="3">
        <v>0.63100000000000001</v>
      </c>
      <c r="G56" s="3">
        <v>33263.4</v>
      </c>
      <c r="H56" s="16">
        <v>0</v>
      </c>
      <c r="I56">
        <f t="shared" si="1"/>
        <v>0</v>
      </c>
      <c r="K56" s="3">
        <v>0.63100000000000001</v>
      </c>
      <c r="L56" s="3">
        <v>33263.4</v>
      </c>
      <c r="M56" s="16">
        <v>0</v>
      </c>
      <c r="N56">
        <f t="shared" si="2"/>
        <v>0</v>
      </c>
      <c r="P56" s="3">
        <v>0.63100000000000001</v>
      </c>
      <c r="Q56" s="3">
        <v>33263.4</v>
      </c>
      <c r="R56" s="16">
        <v>0</v>
      </c>
      <c r="S56">
        <f t="shared" si="3"/>
        <v>0</v>
      </c>
      <c r="U56" s="3">
        <v>0.63100000000000001</v>
      </c>
      <c r="V56" s="3">
        <v>33263.4</v>
      </c>
      <c r="W56" s="16">
        <v>0</v>
      </c>
      <c r="X56">
        <f t="shared" si="4"/>
        <v>0</v>
      </c>
      <c r="Z56" s="3">
        <v>0.63100000000000001</v>
      </c>
      <c r="AA56" s="3">
        <v>33263.4</v>
      </c>
      <c r="AB56" s="16">
        <v>0</v>
      </c>
      <c r="AC56">
        <f t="shared" si="5"/>
        <v>0</v>
      </c>
      <c r="AE56" s="3">
        <v>0.63100000000000001</v>
      </c>
      <c r="AF56" s="3">
        <v>33263.4</v>
      </c>
      <c r="AG56" s="16">
        <v>0</v>
      </c>
      <c r="AH56">
        <f t="shared" si="6"/>
        <v>0</v>
      </c>
      <c r="AJ56" s="3">
        <v>0.63100000000000001</v>
      </c>
      <c r="AK56" s="3">
        <v>33263.4</v>
      </c>
      <c r="AL56" s="17">
        <v>2.8509091236998701E-6</v>
      </c>
      <c r="AM56">
        <f t="shared" si="7"/>
        <v>9.4830930545278261E-2</v>
      </c>
      <c r="AO56" s="3">
        <v>0.63100000000000001</v>
      </c>
      <c r="AP56" s="3">
        <v>33263.4</v>
      </c>
      <c r="AQ56" s="17">
        <v>6.5429391018138696E-9</v>
      </c>
      <c r="AR56">
        <f t="shared" si="8"/>
        <v>2.1764040051927547E-4</v>
      </c>
      <c r="AT56" s="3">
        <v>0.63100000000000001</v>
      </c>
      <c r="AU56" s="3">
        <v>33263.4</v>
      </c>
      <c r="AV56" s="16">
        <v>0</v>
      </c>
      <c r="AW56">
        <f t="shared" si="9"/>
        <v>0</v>
      </c>
    </row>
    <row r="57" spans="1:49" x14ac:dyDescent="0.3">
      <c r="A57" s="3">
        <v>1</v>
      </c>
      <c r="B57" s="16">
        <v>54643.7</v>
      </c>
      <c r="C57" s="17">
        <v>1.60379129036544E-5</v>
      </c>
      <c r="D57">
        <f t="shared" si="0"/>
        <v>0.87637090133341988</v>
      </c>
      <c r="F57" s="3">
        <v>1</v>
      </c>
      <c r="G57" s="3">
        <v>54643.7</v>
      </c>
      <c r="H57" s="16">
        <v>0</v>
      </c>
      <c r="I57">
        <f t="shared" si="1"/>
        <v>0</v>
      </c>
      <c r="K57" s="3">
        <v>1</v>
      </c>
      <c r="L57" s="3">
        <v>54643.7</v>
      </c>
      <c r="M57" s="16">
        <v>0</v>
      </c>
      <c r="N57">
        <f t="shared" si="2"/>
        <v>0</v>
      </c>
      <c r="P57" s="3">
        <v>1</v>
      </c>
      <c r="Q57" s="3">
        <v>54643.7</v>
      </c>
      <c r="R57" s="17">
        <v>1.26704942589602E-7</v>
      </c>
      <c r="S57">
        <f t="shared" si="3"/>
        <v>6.9236268713834346E-3</v>
      </c>
      <c r="U57" s="3">
        <v>1</v>
      </c>
      <c r="V57" s="3">
        <v>54643.7</v>
      </c>
      <c r="W57" s="17">
        <v>1.37916679593555E-9</v>
      </c>
      <c r="X57">
        <f t="shared" si="4"/>
        <v>7.5362776647063407E-5</v>
      </c>
      <c r="Z57" s="3">
        <v>1</v>
      </c>
      <c r="AA57" s="3">
        <v>54643.7</v>
      </c>
      <c r="AB57" s="16">
        <v>0</v>
      </c>
      <c r="AC57">
        <f t="shared" si="5"/>
        <v>0</v>
      </c>
      <c r="AE57" s="3">
        <v>1</v>
      </c>
      <c r="AF57" s="3">
        <v>54643.7</v>
      </c>
      <c r="AG57" s="16">
        <v>0</v>
      </c>
      <c r="AH57">
        <f t="shared" si="6"/>
        <v>0</v>
      </c>
      <c r="AJ57" s="3">
        <v>1</v>
      </c>
      <c r="AK57" s="3">
        <v>54643.7</v>
      </c>
      <c r="AL57" s="17">
        <v>1.4719177292952499E-6</v>
      </c>
      <c r="AM57">
        <f t="shared" si="7"/>
        <v>8.0431030824290844E-2</v>
      </c>
      <c r="AO57" s="3">
        <v>1</v>
      </c>
      <c r="AP57" s="3">
        <v>54643.7</v>
      </c>
      <c r="AQ57" s="17">
        <v>5.7628335455304701E-9</v>
      </c>
      <c r="AR57">
        <f t="shared" si="8"/>
        <v>3.1490254741190334E-4</v>
      </c>
      <c r="AT57" s="3">
        <v>1</v>
      </c>
      <c r="AU57" s="3">
        <v>54643.7</v>
      </c>
      <c r="AV57" s="16">
        <v>0</v>
      </c>
      <c r="AW57">
        <f t="shared" si="9"/>
        <v>0</v>
      </c>
    </row>
    <row r="58" spans="1:49" x14ac:dyDescent="0.3">
      <c r="A58" s="3">
        <v>1.5</v>
      </c>
      <c r="B58" s="16">
        <v>57847.7</v>
      </c>
      <c r="C58" s="17">
        <v>1.3523333023960201E-5</v>
      </c>
      <c r="D58">
        <f t="shared" si="0"/>
        <v>0.78229371177014251</v>
      </c>
      <c r="F58" s="3">
        <v>1.5</v>
      </c>
      <c r="G58" s="3">
        <v>57847.7</v>
      </c>
      <c r="H58" s="16">
        <v>0</v>
      </c>
      <c r="I58">
        <f t="shared" si="1"/>
        <v>0</v>
      </c>
      <c r="K58" s="3">
        <v>1.5</v>
      </c>
      <c r="L58" s="3">
        <v>57847.7</v>
      </c>
      <c r="M58" s="16">
        <v>0</v>
      </c>
      <c r="N58">
        <f t="shared" si="2"/>
        <v>0</v>
      </c>
      <c r="P58" s="3">
        <v>1.5</v>
      </c>
      <c r="Q58" s="3">
        <v>57847.7</v>
      </c>
      <c r="R58" s="17">
        <v>2.00812955796884E-7</v>
      </c>
      <c r="S58">
        <f t="shared" si="3"/>
        <v>1.1616567623051405E-2</v>
      </c>
      <c r="U58" s="3">
        <v>1.5</v>
      </c>
      <c r="V58" s="3">
        <v>57847.7</v>
      </c>
      <c r="W58" s="17">
        <v>3.5042529030973901E-8</v>
      </c>
      <c r="X58">
        <f t="shared" si="4"/>
        <v>2.0271297066250687E-3</v>
      </c>
      <c r="Z58" s="3">
        <v>1.5</v>
      </c>
      <c r="AA58" s="3">
        <v>57847.7</v>
      </c>
      <c r="AB58" s="16">
        <v>0</v>
      </c>
      <c r="AC58">
        <f t="shared" si="5"/>
        <v>0</v>
      </c>
      <c r="AE58" s="3">
        <v>1.5</v>
      </c>
      <c r="AF58" s="3">
        <v>57847.7</v>
      </c>
      <c r="AG58" s="16">
        <v>0</v>
      </c>
      <c r="AH58">
        <f t="shared" si="6"/>
        <v>0</v>
      </c>
      <c r="AJ58" s="3">
        <v>1.5</v>
      </c>
      <c r="AK58" s="3">
        <v>57847.7</v>
      </c>
      <c r="AL58" s="17">
        <v>1.0716617065829E-6</v>
      </c>
      <c r="AM58">
        <f t="shared" si="7"/>
        <v>6.1993164903895621E-2</v>
      </c>
      <c r="AO58" s="3">
        <v>1.5</v>
      </c>
      <c r="AP58" s="3">
        <v>57847.7</v>
      </c>
      <c r="AQ58" s="17">
        <v>5.4434473943874504E-9</v>
      </c>
      <c r="AR58">
        <f t="shared" si="8"/>
        <v>3.1489091183630689E-4</v>
      </c>
      <c r="AT58" s="3">
        <v>1.5</v>
      </c>
      <c r="AU58" s="3">
        <v>57847.7</v>
      </c>
      <c r="AV58" s="17">
        <v>4.7875514749826798E-9</v>
      </c>
      <c r="AW58">
        <f t="shared" si="9"/>
        <v>2.7694884145935554E-4</v>
      </c>
    </row>
    <row r="59" spans="1:49" x14ac:dyDescent="0.3">
      <c r="A59" s="3">
        <v>2</v>
      </c>
      <c r="B59" s="16">
        <v>51148.1</v>
      </c>
      <c r="C59" s="17">
        <v>1.11919438817031E-5</v>
      </c>
      <c r="D59">
        <f t="shared" si="0"/>
        <v>0.57244666485573825</v>
      </c>
      <c r="F59" s="3">
        <v>2</v>
      </c>
      <c r="G59" s="3">
        <v>51148.1</v>
      </c>
      <c r="H59" s="16">
        <v>0</v>
      </c>
      <c r="I59">
        <f t="shared" si="1"/>
        <v>0</v>
      </c>
      <c r="K59" s="3">
        <v>2</v>
      </c>
      <c r="L59" s="3">
        <v>51148.1</v>
      </c>
      <c r="M59" s="16">
        <v>0</v>
      </c>
      <c r="N59">
        <f t="shared" si="2"/>
        <v>0</v>
      </c>
      <c r="P59" s="3">
        <v>2</v>
      </c>
      <c r="Q59" s="3">
        <v>51148.1</v>
      </c>
      <c r="R59" s="17">
        <v>1.7396116357185499E-6</v>
      </c>
      <c r="S59">
        <f t="shared" si="3"/>
        <v>8.8977829904895958E-2</v>
      </c>
      <c r="U59" s="3">
        <v>2</v>
      </c>
      <c r="V59" s="3">
        <v>51148.1</v>
      </c>
      <c r="W59" s="17">
        <v>1.9341312351260601E-7</v>
      </c>
      <c r="X59">
        <f t="shared" si="4"/>
        <v>9.8927137827351224E-3</v>
      </c>
      <c r="Z59" s="3">
        <v>2</v>
      </c>
      <c r="AA59" s="3">
        <v>51148.1</v>
      </c>
      <c r="AB59" s="16">
        <v>0</v>
      </c>
      <c r="AC59">
        <f t="shared" si="5"/>
        <v>0</v>
      </c>
      <c r="AE59" s="3">
        <v>2</v>
      </c>
      <c r="AF59" s="3">
        <v>51148.1</v>
      </c>
      <c r="AG59" s="16">
        <v>0</v>
      </c>
      <c r="AH59">
        <f t="shared" si="6"/>
        <v>0</v>
      </c>
      <c r="AJ59" s="3">
        <v>2</v>
      </c>
      <c r="AK59" s="3">
        <v>51148.1</v>
      </c>
      <c r="AL59" s="17">
        <v>9.7221113950031806E-7</v>
      </c>
      <c r="AM59">
        <f t="shared" si="7"/>
        <v>4.9726752584276217E-2</v>
      </c>
      <c r="AO59" s="3">
        <v>2</v>
      </c>
      <c r="AP59" s="3">
        <v>51148.1</v>
      </c>
      <c r="AQ59" s="17">
        <v>3.2629310162176402E-9</v>
      </c>
      <c r="AR59">
        <f t="shared" si="8"/>
        <v>1.6689272191060148E-4</v>
      </c>
      <c r="AT59" s="3">
        <v>2</v>
      </c>
      <c r="AU59" s="3">
        <v>51148.1</v>
      </c>
      <c r="AV59" s="17">
        <v>1.33064518708333E-6</v>
      </c>
      <c r="AW59">
        <f t="shared" si="9"/>
        <v>6.8059973093456863E-2</v>
      </c>
    </row>
    <row r="60" spans="1:49" x14ac:dyDescent="0.3">
      <c r="A60" s="3">
        <v>2.5</v>
      </c>
      <c r="B60" s="16">
        <v>57574.6</v>
      </c>
      <c r="C60" s="17">
        <v>7.7009686753528693E-6</v>
      </c>
      <c r="D60">
        <f t="shared" si="0"/>
        <v>0.44338019109597132</v>
      </c>
      <c r="F60" s="3">
        <v>2.5</v>
      </c>
      <c r="G60" s="3">
        <v>57574.6</v>
      </c>
      <c r="H60" s="16">
        <v>0</v>
      </c>
      <c r="I60">
        <f t="shared" si="1"/>
        <v>0</v>
      </c>
      <c r="K60" s="3">
        <v>2.5</v>
      </c>
      <c r="L60" s="3">
        <v>57574.6</v>
      </c>
      <c r="M60" s="16">
        <v>0</v>
      </c>
      <c r="N60">
        <f t="shared" si="2"/>
        <v>0</v>
      </c>
      <c r="P60" s="3">
        <v>2.5</v>
      </c>
      <c r="Q60" s="3">
        <v>57574.6</v>
      </c>
      <c r="R60" s="17">
        <v>4.9786485979925499E-6</v>
      </c>
      <c r="S60">
        <f t="shared" si="3"/>
        <v>0.28664370156998187</v>
      </c>
      <c r="U60" s="3">
        <v>2.5</v>
      </c>
      <c r="V60" s="3">
        <v>57574.6</v>
      </c>
      <c r="W60" s="17">
        <v>1.17392583167348E-6</v>
      </c>
      <c r="X60">
        <f t="shared" si="4"/>
        <v>6.7588310188267942E-2</v>
      </c>
      <c r="Z60" s="3">
        <v>2.5</v>
      </c>
      <c r="AA60" s="3">
        <v>57574.6</v>
      </c>
      <c r="AB60" s="17">
        <v>3.0335348091523098E-12</v>
      </c>
      <c r="AC60">
        <f t="shared" si="5"/>
        <v>1.7465455322302056E-7</v>
      </c>
      <c r="AE60" s="3">
        <v>2.5</v>
      </c>
      <c r="AF60" s="3">
        <v>57574.6</v>
      </c>
      <c r="AG60" s="16">
        <v>0</v>
      </c>
      <c r="AH60">
        <f t="shared" si="6"/>
        <v>0</v>
      </c>
      <c r="AJ60" s="3">
        <v>2.5</v>
      </c>
      <c r="AK60" s="3">
        <v>57574.6</v>
      </c>
      <c r="AL60" s="17">
        <v>9.1833228038231801E-7</v>
      </c>
      <c r="AM60">
        <f t="shared" si="7"/>
        <v>5.2872613710099804E-2</v>
      </c>
      <c r="AO60" s="3">
        <v>2.5</v>
      </c>
      <c r="AP60" s="3">
        <v>57574.6</v>
      </c>
      <c r="AQ60" s="17">
        <v>2.3520599397262499E-9</v>
      </c>
      <c r="AR60">
        <f t="shared" si="8"/>
        <v>1.3541891020576294E-4</v>
      </c>
      <c r="AT60" s="3">
        <v>2.5</v>
      </c>
      <c r="AU60" s="3">
        <v>57574.6</v>
      </c>
      <c r="AV60" s="17">
        <v>1.44062055212078E-5</v>
      </c>
      <c r="AW60">
        <f t="shared" si="9"/>
        <v>0.82943152040133061</v>
      </c>
    </row>
    <row r="61" spans="1:49" x14ac:dyDescent="0.3">
      <c r="A61" s="3">
        <v>3</v>
      </c>
      <c r="B61" s="16">
        <v>42916.9</v>
      </c>
      <c r="C61" s="17">
        <v>5.1418413093675397E-6</v>
      </c>
      <c r="D61">
        <f t="shared" si="0"/>
        <v>0.22067188928999579</v>
      </c>
      <c r="F61" s="3">
        <v>3</v>
      </c>
      <c r="G61" s="3">
        <v>42916.9</v>
      </c>
      <c r="H61" s="17">
        <v>2.1107348395569699E-14</v>
      </c>
      <c r="I61">
        <f t="shared" si="1"/>
        <v>9.0586196035782526E-10</v>
      </c>
      <c r="K61" s="3">
        <v>3</v>
      </c>
      <c r="L61" s="3">
        <v>42916.9</v>
      </c>
      <c r="M61" s="16">
        <v>0</v>
      </c>
      <c r="N61">
        <f t="shared" si="2"/>
        <v>0</v>
      </c>
      <c r="P61" s="3">
        <v>3</v>
      </c>
      <c r="Q61" s="3">
        <v>42916.9</v>
      </c>
      <c r="R61" s="17">
        <v>1.37281843057214E-5</v>
      </c>
      <c r="S61">
        <f t="shared" si="3"/>
        <v>0.58917111303021474</v>
      </c>
      <c r="U61" s="3">
        <v>3</v>
      </c>
      <c r="V61" s="3">
        <v>42916.9</v>
      </c>
      <c r="W61" s="17">
        <v>3.3086314712708598E-6</v>
      </c>
      <c r="X61">
        <f t="shared" si="4"/>
        <v>0.14199620598938437</v>
      </c>
      <c r="Z61" s="3">
        <v>3</v>
      </c>
      <c r="AA61" s="3">
        <v>42916.9</v>
      </c>
      <c r="AB61" s="17">
        <v>4.8260292055667999E-11</v>
      </c>
      <c r="AC61">
        <f t="shared" si="5"/>
        <v>2.0711821281238982E-6</v>
      </c>
      <c r="AE61" s="3">
        <v>3</v>
      </c>
      <c r="AF61" s="3">
        <v>42916.9</v>
      </c>
      <c r="AG61" s="16">
        <v>0</v>
      </c>
      <c r="AH61">
        <f t="shared" si="6"/>
        <v>0</v>
      </c>
      <c r="AJ61" s="3">
        <v>3</v>
      </c>
      <c r="AK61" s="3">
        <v>42916.9</v>
      </c>
      <c r="AL61" s="17">
        <v>8.6274543177938399E-7</v>
      </c>
      <c r="AM61">
        <f t="shared" si="7"/>
        <v>3.7026359421132644E-2</v>
      </c>
      <c r="AO61" s="3">
        <v>3</v>
      </c>
      <c r="AP61" s="3">
        <v>42916.9</v>
      </c>
      <c r="AQ61" s="17">
        <v>1.6557014834720201E-9</v>
      </c>
      <c r="AR61">
        <f t="shared" si="8"/>
        <v>7.1057574996020341E-5</v>
      </c>
      <c r="AT61" s="3">
        <v>3</v>
      </c>
      <c r="AU61" s="3">
        <v>42916.9</v>
      </c>
      <c r="AV61" s="17">
        <v>2.2416973030184001E-5</v>
      </c>
      <c r="AW61">
        <f t="shared" si="9"/>
        <v>0.96206698983910377</v>
      </c>
    </row>
    <row r="62" spans="1:49" x14ac:dyDescent="0.3">
      <c r="A62" s="3">
        <v>3.5</v>
      </c>
      <c r="B62" s="16">
        <v>45331.199999999997</v>
      </c>
      <c r="C62" s="17">
        <v>3.8842580741206501E-6</v>
      </c>
      <c r="D62">
        <f t="shared" si="0"/>
        <v>0.176078079609578</v>
      </c>
      <c r="F62" s="3">
        <v>3.5</v>
      </c>
      <c r="G62" s="3">
        <v>45331.199999999997</v>
      </c>
      <c r="H62" s="17">
        <v>4.8598706361940797E-13</v>
      </c>
      <c r="I62">
        <f t="shared" si="1"/>
        <v>2.2030376778344104E-8</v>
      </c>
      <c r="K62" s="3">
        <v>3.5</v>
      </c>
      <c r="L62" s="3">
        <v>45331.199999999997</v>
      </c>
      <c r="M62" s="17">
        <v>3.37529985597469E-10</v>
      </c>
      <c r="N62">
        <f t="shared" si="2"/>
        <v>1.5300639283115986E-5</v>
      </c>
      <c r="P62" s="3">
        <v>3.5</v>
      </c>
      <c r="Q62" s="3">
        <v>45331.199999999997</v>
      </c>
      <c r="R62" s="17">
        <v>2.46092944570132E-5</v>
      </c>
      <c r="S62">
        <f t="shared" si="3"/>
        <v>1.1155688488897566</v>
      </c>
      <c r="U62" s="3">
        <v>3.5</v>
      </c>
      <c r="V62" s="3">
        <v>45331.199999999997</v>
      </c>
      <c r="W62" s="17">
        <v>5.0247540751835903E-6</v>
      </c>
      <c r="X62">
        <f t="shared" si="4"/>
        <v>0.22777813193296234</v>
      </c>
      <c r="Z62" s="3">
        <v>3.5</v>
      </c>
      <c r="AA62" s="3">
        <v>45331.199999999997</v>
      </c>
      <c r="AB62" s="17">
        <v>4.6310946331083299E-10</v>
      </c>
      <c r="AC62">
        <f t="shared" si="5"/>
        <v>2.099330770323603E-5</v>
      </c>
      <c r="AE62" s="3">
        <v>3.5</v>
      </c>
      <c r="AF62" s="3">
        <v>45331.199999999997</v>
      </c>
      <c r="AG62" s="16">
        <v>0</v>
      </c>
      <c r="AH62">
        <f t="shared" si="6"/>
        <v>0</v>
      </c>
      <c r="AJ62" s="3">
        <v>3.5</v>
      </c>
      <c r="AK62" s="3">
        <v>45331.199999999997</v>
      </c>
      <c r="AL62" s="17">
        <v>8.2073183103448503E-7</v>
      </c>
      <c r="AM62">
        <f t="shared" si="7"/>
        <v>3.7204758778990446E-2</v>
      </c>
      <c r="AO62" s="3">
        <v>3.5</v>
      </c>
      <c r="AP62" s="3">
        <v>45331.199999999997</v>
      </c>
      <c r="AQ62" s="17">
        <v>1.07188029410667E-9</v>
      </c>
      <c r="AR62">
        <f t="shared" si="8"/>
        <v>4.8589619988208273E-5</v>
      </c>
      <c r="AT62" s="3">
        <v>3.5</v>
      </c>
      <c r="AU62" s="3">
        <v>45331.199999999997</v>
      </c>
      <c r="AV62" s="17">
        <v>3.8422999980114297E-5</v>
      </c>
      <c r="AW62">
        <f t="shared" si="9"/>
        <v>1.741760696698557</v>
      </c>
    </row>
    <row r="63" spans="1:49" x14ac:dyDescent="0.3">
      <c r="A63" s="3">
        <v>4</v>
      </c>
      <c r="B63" s="16">
        <v>38467.1</v>
      </c>
      <c r="C63" s="17">
        <v>2.6860550898105602E-6</v>
      </c>
      <c r="D63">
        <f t="shared" si="0"/>
        <v>0.1033247497452518</v>
      </c>
      <c r="F63" s="3">
        <v>4</v>
      </c>
      <c r="G63" s="3">
        <v>38467.1</v>
      </c>
      <c r="H63" s="17">
        <v>4.3336535253882502E-10</v>
      </c>
      <c r="I63">
        <f t="shared" si="1"/>
        <v>1.6670308352646234E-5</v>
      </c>
      <c r="K63" s="3">
        <v>4</v>
      </c>
      <c r="L63" s="3">
        <v>38467.1</v>
      </c>
      <c r="M63" s="17">
        <v>2.1433205088848501E-9</v>
      </c>
      <c r="N63">
        <f t="shared" si="2"/>
        <v>8.2447324347324408E-5</v>
      </c>
      <c r="P63" s="3">
        <v>4</v>
      </c>
      <c r="Q63" s="3">
        <v>38467.1</v>
      </c>
      <c r="R63" s="17">
        <v>3.4861796942933402E-5</v>
      </c>
      <c r="S63">
        <f t="shared" si="3"/>
        <v>1.3410322291835135</v>
      </c>
      <c r="U63" s="3">
        <v>4</v>
      </c>
      <c r="V63" s="3">
        <v>38467.1</v>
      </c>
      <c r="W63" s="17">
        <v>6.5158303194567404E-6</v>
      </c>
      <c r="X63">
        <f t="shared" si="4"/>
        <v>0.25064509648157435</v>
      </c>
      <c r="Z63" s="3">
        <v>4</v>
      </c>
      <c r="AA63" s="3">
        <v>38467.1</v>
      </c>
      <c r="AB63" s="17">
        <v>2.4558743895755902E-9</v>
      </c>
      <c r="AC63">
        <f t="shared" si="5"/>
        <v>9.4470365731243178E-5</v>
      </c>
      <c r="AE63" s="3">
        <v>4</v>
      </c>
      <c r="AF63" s="3">
        <v>38467.1</v>
      </c>
      <c r="AG63" s="17">
        <v>6.7755716719074998E-11</v>
      </c>
      <c r="AH63">
        <f t="shared" si="6"/>
        <v>2.6063659306043297E-6</v>
      </c>
      <c r="AJ63" s="3">
        <v>4</v>
      </c>
      <c r="AK63" s="3">
        <v>38467.1</v>
      </c>
      <c r="AL63" s="17">
        <v>8.0102011307636399E-7</v>
      </c>
      <c r="AM63">
        <f t="shared" si="7"/>
        <v>3.0812920791719801E-2</v>
      </c>
      <c r="AO63" s="3">
        <v>4</v>
      </c>
      <c r="AP63" s="3">
        <v>38467.1</v>
      </c>
      <c r="AQ63" s="17">
        <v>7.4968939571524903E-10</v>
      </c>
      <c r="AR63">
        <f t="shared" si="8"/>
        <v>2.8838376953918055E-5</v>
      </c>
      <c r="AT63" s="3">
        <v>4</v>
      </c>
      <c r="AU63" s="3">
        <v>38467.1</v>
      </c>
      <c r="AV63" s="17">
        <v>4.4430700180664797E-5</v>
      </c>
      <c r="AW63">
        <f t="shared" si="9"/>
        <v>1.7091201869196508</v>
      </c>
    </row>
    <row r="64" spans="1:49" x14ac:dyDescent="0.3">
      <c r="A64" s="3">
        <v>4.5</v>
      </c>
      <c r="B64" s="16">
        <v>35282.400000000001</v>
      </c>
      <c r="C64" s="17">
        <v>1.9899477084819101E-6</v>
      </c>
      <c r="D64">
        <f t="shared" si="0"/>
        <v>7.0210131029742148E-2</v>
      </c>
      <c r="F64" s="3">
        <v>4.5</v>
      </c>
      <c r="G64" s="3">
        <v>35282.400000000001</v>
      </c>
      <c r="H64" s="17">
        <v>6.60637987290826E-8</v>
      </c>
      <c r="I64">
        <f t="shared" si="1"/>
        <v>2.3308893722789842E-3</v>
      </c>
      <c r="K64" s="3">
        <v>4.5</v>
      </c>
      <c r="L64" s="3">
        <v>35282.400000000001</v>
      </c>
      <c r="M64" s="17">
        <v>4.5244510581743001E-9</v>
      </c>
      <c r="N64">
        <f t="shared" si="2"/>
        <v>1.5963349201492894E-4</v>
      </c>
      <c r="P64" s="3">
        <v>4.5</v>
      </c>
      <c r="Q64" s="3">
        <v>35282.400000000001</v>
      </c>
      <c r="R64" s="17">
        <v>4.5035881571201501E-5</v>
      </c>
      <c r="S64">
        <f t="shared" si="3"/>
        <v>1.58897398794776</v>
      </c>
      <c r="U64" s="3">
        <v>4.5</v>
      </c>
      <c r="V64" s="3">
        <v>35282.400000000001</v>
      </c>
      <c r="W64" s="17">
        <v>9.5011476643322094E-6</v>
      </c>
      <c r="X64">
        <f t="shared" si="4"/>
        <v>0.33522329235203474</v>
      </c>
      <c r="Z64" s="3">
        <v>4.5</v>
      </c>
      <c r="AA64" s="3">
        <v>35282.400000000001</v>
      </c>
      <c r="AB64" s="17">
        <v>1.0430075424389399E-8</v>
      </c>
      <c r="AC64">
        <f t="shared" si="5"/>
        <v>3.6799809315347655E-4</v>
      </c>
      <c r="AE64" s="3">
        <v>4.5</v>
      </c>
      <c r="AF64" s="3">
        <v>35282.400000000001</v>
      </c>
      <c r="AG64" s="17">
        <v>7.1572919268445797E-9</v>
      </c>
      <c r="AH64">
        <f t="shared" si="6"/>
        <v>2.5252643667970123E-4</v>
      </c>
      <c r="AJ64" s="3">
        <v>4.5</v>
      </c>
      <c r="AK64" s="3">
        <v>35282.400000000001</v>
      </c>
      <c r="AL64" s="17">
        <v>7.8415586108882297E-7</v>
      </c>
      <c r="AM64">
        <f t="shared" si="7"/>
        <v>2.766690075328029E-2</v>
      </c>
      <c r="AO64" s="3">
        <v>4.5</v>
      </c>
      <c r="AP64" s="3">
        <v>35282.400000000001</v>
      </c>
      <c r="AQ64" s="17">
        <v>6.2986885331544698E-10</v>
      </c>
      <c r="AR64">
        <f t="shared" si="8"/>
        <v>2.2223284830216928E-5</v>
      </c>
      <c r="AT64" s="3">
        <v>4.5</v>
      </c>
      <c r="AU64" s="3">
        <v>35282.400000000001</v>
      </c>
      <c r="AV64" s="17">
        <v>7.5023477693861995E-5</v>
      </c>
      <c r="AW64">
        <f t="shared" si="9"/>
        <v>2.6470083493859167</v>
      </c>
    </row>
    <row r="65" spans="1:49" x14ac:dyDescent="0.3">
      <c r="A65" s="3">
        <v>5</v>
      </c>
      <c r="B65" s="16">
        <v>29656.799999999999</v>
      </c>
      <c r="C65" s="17">
        <v>1.5018119931832699E-6</v>
      </c>
      <c r="D65">
        <f t="shared" si="0"/>
        <v>4.4538937919437596E-2</v>
      </c>
      <c r="F65" s="3">
        <v>5</v>
      </c>
      <c r="G65" s="3">
        <v>29656.799999999999</v>
      </c>
      <c r="H65" s="17">
        <v>6.5262039323071004E-7</v>
      </c>
      <c r="I65">
        <f t="shared" si="1"/>
        <v>1.9354632477964522E-2</v>
      </c>
      <c r="K65" s="3">
        <v>5</v>
      </c>
      <c r="L65" s="3">
        <v>29656.799999999999</v>
      </c>
      <c r="M65" s="17">
        <v>2.0739812001364599E-8</v>
      </c>
      <c r="N65">
        <f t="shared" si="2"/>
        <v>6.1507645656206961E-4</v>
      </c>
      <c r="P65" s="3">
        <v>5</v>
      </c>
      <c r="Q65" s="3">
        <v>29656.799999999999</v>
      </c>
      <c r="R65" s="17">
        <v>5.1292867729337199E-5</v>
      </c>
      <c r="S65">
        <f t="shared" si="3"/>
        <v>1.5211823196754073</v>
      </c>
      <c r="U65" s="3">
        <v>5</v>
      </c>
      <c r="V65" s="3">
        <v>29656.799999999999</v>
      </c>
      <c r="W65" s="17">
        <v>1.18269144390051E-5</v>
      </c>
      <c r="X65">
        <f t="shared" si="4"/>
        <v>0.35074843613468643</v>
      </c>
      <c r="Z65" s="3">
        <v>5</v>
      </c>
      <c r="AA65" s="3">
        <v>29656.799999999999</v>
      </c>
      <c r="AB65" s="17">
        <v>2.8405366728440899E-8</v>
      </c>
      <c r="AC65">
        <f t="shared" si="5"/>
        <v>8.4241227999202605E-4</v>
      </c>
      <c r="AE65" s="3">
        <v>5</v>
      </c>
      <c r="AF65" s="3">
        <v>29656.799999999999</v>
      </c>
      <c r="AG65" s="17">
        <v>6.2696326029854694E-8</v>
      </c>
      <c r="AH65">
        <f t="shared" si="6"/>
        <v>1.8593724018021946E-3</v>
      </c>
      <c r="AJ65" s="3">
        <v>5</v>
      </c>
      <c r="AK65" s="3">
        <v>29656.799999999999</v>
      </c>
      <c r="AL65" s="17">
        <v>7.8821400221247303E-7</v>
      </c>
      <c r="AM65">
        <f t="shared" si="7"/>
        <v>2.337590502081487E-2</v>
      </c>
      <c r="AO65" s="3">
        <v>5</v>
      </c>
      <c r="AP65" s="3">
        <v>29656.799999999999</v>
      </c>
      <c r="AQ65" s="17">
        <v>5.66274977303178E-10</v>
      </c>
      <c r="AR65">
        <f t="shared" si="8"/>
        <v>1.6793903746884888E-5</v>
      </c>
      <c r="AT65" s="3">
        <v>5</v>
      </c>
      <c r="AU65" s="3">
        <v>29656.799999999999</v>
      </c>
      <c r="AV65" s="17">
        <v>6.0312018723274702E-5</v>
      </c>
      <c r="AW65">
        <f t="shared" si="9"/>
        <v>1.7886614768724132</v>
      </c>
    </row>
    <row r="66" spans="1:49" x14ac:dyDescent="0.3">
      <c r="A66" s="3">
        <v>5.5</v>
      </c>
      <c r="B66" s="16">
        <v>24291.599999999999</v>
      </c>
      <c r="C66" s="17">
        <v>1.23789470141803E-6</v>
      </c>
      <c r="D66">
        <f t="shared" si="0"/>
        <v>3.0070442928966216E-2</v>
      </c>
      <c r="F66" s="3">
        <v>5.5</v>
      </c>
      <c r="G66" s="3">
        <v>24291.599999999999</v>
      </c>
      <c r="H66" s="17">
        <v>3.6478543938507602E-6</v>
      </c>
      <c r="I66">
        <f t="shared" si="1"/>
        <v>8.8612219793665126E-2</v>
      </c>
      <c r="K66" s="3">
        <v>5.5</v>
      </c>
      <c r="L66" s="3">
        <v>24291.599999999999</v>
      </c>
      <c r="M66" s="17">
        <v>2.26171869575489E-7</v>
      </c>
      <c r="N66">
        <f t="shared" si="2"/>
        <v>5.4940765869799487E-3</v>
      </c>
      <c r="P66" s="3">
        <v>5.5</v>
      </c>
      <c r="Q66" s="3">
        <v>24291.599999999999</v>
      </c>
      <c r="R66" s="17">
        <v>5.6249635215436501E-5</v>
      </c>
      <c r="S66">
        <f t="shared" si="3"/>
        <v>1.3663936387992972</v>
      </c>
      <c r="U66" s="3">
        <v>5.5</v>
      </c>
      <c r="V66" s="3">
        <v>24291.599999999999</v>
      </c>
      <c r="W66" s="17">
        <v>1.3561782770424399E-5</v>
      </c>
      <c r="X66">
        <f t="shared" si="4"/>
        <v>0.3294374023460413</v>
      </c>
      <c r="Z66" s="3">
        <v>5.5</v>
      </c>
      <c r="AA66" s="3">
        <v>24291.599999999999</v>
      </c>
      <c r="AB66" s="17">
        <v>6.3545228068305806E-8</v>
      </c>
      <c r="AC66">
        <f t="shared" si="5"/>
        <v>1.5436152621440572E-3</v>
      </c>
      <c r="AE66" s="3">
        <v>5.5</v>
      </c>
      <c r="AF66" s="3">
        <v>24291.599999999999</v>
      </c>
      <c r="AG66" s="17">
        <v>3.5549463212804198E-7</v>
      </c>
      <c r="AH66">
        <f t="shared" si="6"/>
        <v>8.6355334058015442E-3</v>
      </c>
      <c r="AJ66" s="3">
        <v>5.5</v>
      </c>
      <c r="AK66" s="3">
        <v>24291.599999999999</v>
      </c>
      <c r="AL66" s="17">
        <v>7.9593497086477605E-7</v>
      </c>
      <c r="AM66">
        <f t="shared" si="7"/>
        <v>1.9334533938258791E-2</v>
      </c>
      <c r="AO66" s="3">
        <v>5.5</v>
      </c>
      <c r="AP66" s="3">
        <v>24291.599999999999</v>
      </c>
      <c r="AQ66" s="17">
        <v>5.42078977859146E-10</v>
      </c>
      <c r="AR66">
        <f t="shared" si="8"/>
        <v>1.3167965698563231E-5</v>
      </c>
      <c r="AT66" s="3">
        <v>5.5</v>
      </c>
      <c r="AU66" s="3">
        <v>24291.599999999999</v>
      </c>
      <c r="AV66" s="17">
        <v>5.7322737994475898E-5</v>
      </c>
      <c r="AW66">
        <f t="shared" si="9"/>
        <v>1.3924610222666107</v>
      </c>
    </row>
    <row r="67" spans="1:49" x14ac:dyDescent="0.3">
      <c r="A67" s="3">
        <v>6</v>
      </c>
      <c r="B67" s="16">
        <v>25296.9</v>
      </c>
      <c r="C67" s="17">
        <v>1.0098128832143901E-6</v>
      </c>
      <c r="D67">
        <f t="shared" si="0"/>
        <v>2.5545135525386106E-2</v>
      </c>
      <c r="F67" s="3">
        <v>6</v>
      </c>
      <c r="G67" s="3">
        <v>25296.9</v>
      </c>
      <c r="H67" s="17">
        <v>1.04659905075159E-5</v>
      </c>
      <c r="I67">
        <f t="shared" si="1"/>
        <v>0.26475711526957896</v>
      </c>
      <c r="K67" s="3">
        <v>6</v>
      </c>
      <c r="L67" s="3">
        <v>25296.9</v>
      </c>
      <c r="M67" s="17">
        <v>2.6832971506496601E-6</v>
      </c>
      <c r="N67">
        <f t="shared" si="2"/>
        <v>6.7879099690269395E-2</v>
      </c>
      <c r="P67" s="3">
        <v>6</v>
      </c>
      <c r="Q67" s="3">
        <v>25296.9</v>
      </c>
      <c r="R67" s="17">
        <v>6.4711175016917596E-5</v>
      </c>
      <c r="S67">
        <f t="shared" si="3"/>
        <v>1.6369921232854627</v>
      </c>
      <c r="U67" s="3">
        <v>6</v>
      </c>
      <c r="V67" s="3">
        <v>25296.9</v>
      </c>
      <c r="W67" s="17">
        <v>1.46402974406662E-5</v>
      </c>
      <c r="X67">
        <f t="shared" si="4"/>
        <v>0.37035414032678882</v>
      </c>
      <c r="Z67" s="3">
        <v>6</v>
      </c>
      <c r="AA67" s="3">
        <v>25296.9</v>
      </c>
      <c r="AB67" s="17">
        <v>1.3525791349922E-7</v>
      </c>
      <c r="AC67">
        <f t="shared" si="5"/>
        <v>3.4216059119984185E-3</v>
      </c>
      <c r="AE67" s="3">
        <v>6</v>
      </c>
      <c r="AF67" s="3">
        <v>25296.9</v>
      </c>
      <c r="AG67" s="17">
        <v>7.4977049685186995E-7</v>
      </c>
      <c r="AH67">
        <f t="shared" si="6"/>
        <v>1.8966869281812071E-2</v>
      </c>
      <c r="AJ67" s="3">
        <v>6</v>
      </c>
      <c r="AK67" s="3">
        <v>25296.9</v>
      </c>
      <c r="AL67" s="17">
        <v>8.0365593951707896E-7</v>
      </c>
      <c r="AM67">
        <f t="shared" si="7"/>
        <v>2.0330003936369596E-2</v>
      </c>
      <c r="AO67" s="3">
        <v>6</v>
      </c>
      <c r="AP67" s="3">
        <v>25296.9</v>
      </c>
      <c r="AQ67" s="17">
        <v>5.3351402230373696E-10</v>
      </c>
      <c r="AR67">
        <f t="shared" si="8"/>
        <v>1.3496250870815404E-5</v>
      </c>
      <c r="AT67" s="3">
        <v>6</v>
      </c>
      <c r="AU67" s="3">
        <v>25296.9</v>
      </c>
      <c r="AV67" s="17">
        <v>7.1078648560819497E-5</v>
      </c>
      <c r="AW67">
        <f t="shared" si="9"/>
        <v>1.7980694647781947</v>
      </c>
    </row>
    <row r="68" spans="1:49" x14ac:dyDescent="0.3">
      <c r="A68" s="3">
        <v>6.5</v>
      </c>
      <c r="B68" s="16">
        <v>18337.099999999999</v>
      </c>
      <c r="C68" s="17">
        <v>7.4174138440825602E-7</v>
      </c>
      <c r="D68">
        <f t="shared" ref="D68:D115" si="10">B68*C68</f>
        <v>1.360138594003263E-2</v>
      </c>
      <c r="F68" s="3">
        <v>6.5</v>
      </c>
      <c r="G68" s="3">
        <v>18337.099999999999</v>
      </c>
      <c r="H68" s="17">
        <v>2.79826424296229E-5</v>
      </c>
      <c r="I68">
        <f t="shared" ref="I68:I115" si="11">G68*H68</f>
        <v>0.51312051249623802</v>
      </c>
      <c r="K68" s="3">
        <v>6.5</v>
      </c>
      <c r="L68" s="3">
        <v>18337.099999999999</v>
      </c>
      <c r="M68" s="17">
        <v>1.2084534853424499E-5</v>
      </c>
      <c r="N68">
        <f t="shared" ref="N68:N115" si="12">L68*M68</f>
        <v>0.22159532406073038</v>
      </c>
      <c r="P68" s="3">
        <v>6.5</v>
      </c>
      <c r="Q68" s="3">
        <v>18337.099999999999</v>
      </c>
      <c r="R68" s="17">
        <v>7.3358641029283296E-5</v>
      </c>
      <c r="S68">
        <f t="shared" ref="S68:S115" si="13">Q68*R68</f>
        <v>1.3451847364180707</v>
      </c>
      <c r="U68" s="3">
        <v>6.5</v>
      </c>
      <c r="V68" s="3">
        <v>18337.099999999999</v>
      </c>
      <c r="W68" s="17">
        <v>1.51905661795519E-5</v>
      </c>
      <c r="X68">
        <f t="shared" ref="X68:X115" si="14">V68*W68</f>
        <v>0.2785509310910611</v>
      </c>
      <c r="Z68" s="3">
        <v>6.5</v>
      </c>
      <c r="AA68" s="3">
        <v>18337.099999999999</v>
      </c>
      <c r="AB68" s="17">
        <v>2.3819455605505E-7</v>
      </c>
      <c r="AC68">
        <f t="shared" ref="AC68:AC115" si="15">AA68*AB68</f>
        <v>4.3677973938370572E-3</v>
      </c>
      <c r="AE68" s="3">
        <v>6.5</v>
      </c>
      <c r="AF68" s="3">
        <v>18337.099999999999</v>
      </c>
      <c r="AG68" s="17">
        <v>2.4561447310664699E-6</v>
      </c>
      <c r="AH68">
        <f t="shared" ref="AH68:AH115" si="16">AF68*AG68</f>
        <v>4.5038571548038961E-2</v>
      </c>
      <c r="AJ68" s="3">
        <v>6.5</v>
      </c>
      <c r="AK68" s="3">
        <v>18337.099999999999</v>
      </c>
      <c r="AL68" s="17">
        <v>8.1149349479603203E-7</v>
      </c>
      <c r="AM68">
        <f t="shared" ref="AM68:AM115" si="17">AK68*AL68</f>
        <v>1.4880437363424318E-2</v>
      </c>
      <c r="AO68" s="3">
        <v>6.5</v>
      </c>
      <c r="AP68" s="3">
        <v>18337.099999999999</v>
      </c>
      <c r="AQ68" s="17">
        <v>5.3832767436374004E-10</v>
      </c>
      <c r="AR68">
        <f t="shared" ref="AR68:AR115" si="18">AP68*AQ68</f>
        <v>9.8713683975753366E-6</v>
      </c>
      <c r="AT68" s="3">
        <v>6.5</v>
      </c>
      <c r="AU68" s="3">
        <v>18337.099999999999</v>
      </c>
      <c r="AV68" s="17">
        <v>7.4256925669145802E-5</v>
      </c>
      <c r="AW68">
        <f t="shared" ref="AW68:AW115" si="19">AU68*AV68</f>
        <v>1.3616566716876934</v>
      </c>
    </row>
    <row r="69" spans="1:49" x14ac:dyDescent="0.3">
      <c r="A69" s="3">
        <v>7</v>
      </c>
      <c r="B69" s="16">
        <v>20321.7</v>
      </c>
      <c r="C69" s="17">
        <v>5.4973341056183502E-7</v>
      </c>
      <c r="D69">
        <f t="shared" si="10"/>
        <v>1.1171517449414444E-2</v>
      </c>
      <c r="F69" s="3">
        <v>7</v>
      </c>
      <c r="G69" s="3">
        <v>20321.7</v>
      </c>
      <c r="H69" s="17">
        <v>4.2077613234253E-5</v>
      </c>
      <c r="I69">
        <f t="shared" si="11"/>
        <v>0.85508863286251924</v>
      </c>
      <c r="K69" s="3">
        <v>7</v>
      </c>
      <c r="L69" s="3">
        <v>20321.7</v>
      </c>
      <c r="M69" s="17">
        <v>4.2132796066136299E-5</v>
      </c>
      <c r="N69">
        <f t="shared" si="12"/>
        <v>0.85621004181720206</v>
      </c>
      <c r="P69" s="3">
        <v>7</v>
      </c>
      <c r="Q69" s="3">
        <v>20321.7</v>
      </c>
      <c r="R69" s="17">
        <v>7.6647131834044305E-5</v>
      </c>
      <c r="S69">
        <f t="shared" si="13"/>
        <v>1.5576000189918981</v>
      </c>
      <c r="U69" s="3">
        <v>7</v>
      </c>
      <c r="V69" s="3">
        <v>20321.7</v>
      </c>
      <c r="W69" s="17">
        <v>1.55081438448059E-5</v>
      </c>
      <c r="X69">
        <f t="shared" si="14"/>
        <v>0.31515184677099206</v>
      </c>
      <c r="Z69" s="3">
        <v>7</v>
      </c>
      <c r="AA69" s="3">
        <v>20321.7</v>
      </c>
      <c r="AB69" s="17">
        <v>4.0011504374748702E-7</v>
      </c>
      <c r="AC69">
        <f t="shared" si="15"/>
        <v>8.1310178845233078E-3</v>
      </c>
      <c r="AE69" s="3">
        <v>7</v>
      </c>
      <c r="AF69" s="3">
        <v>20321.7</v>
      </c>
      <c r="AG69" s="17">
        <v>5.0415602374522298E-6</v>
      </c>
      <c r="AH69">
        <f t="shared" si="16"/>
        <v>0.10245307467743298</v>
      </c>
      <c r="AJ69" s="3">
        <v>7</v>
      </c>
      <c r="AK69" s="3">
        <v>20321.7</v>
      </c>
      <c r="AL69" s="17">
        <v>8.1784005070416204E-7</v>
      </c>
      <c r="AM69">
        <f t="shared" si="17"/>
        <v>1.6619900158394769E-2</v>
      </c>
      <c r="AO69" s="3">
        <v>7</v>
      </c>
      <c r="AP69" s="3">
        <v>20321.7</v>
      </c>
      <c r="AQ69" s="17">
        <v>5.4640372902263902E-10</v>
      </c>
      <c r="AR69">
        <f t="shared" si="18"/>
        <v>1.1103852660079363E-5</v>
      </c>
      <c r="AT69" s="3">
        <v>7</v>
      </c>
      <c r="AU69" s="3">
        <v>20321.7</v>
      </c>
      <c r="AV69" s="17">
        <v>7.3751494436474801E-5</v>
      </c>
      <c r="AW69">
        <f t="shared" si="19"/>
        <v>1.4987557444897099</v>
      </c>
    </row>
    <row r="70" spans="1:49" x14ac:dyDescent="0.3">
      <c r="A70" s="3">
        <v>7.5</v>
      </c>
      <c r="B70" s="16">
        <v>13806.7</v>
      </c>
      <c r="C70" s="17">
        <v>2.96814684828754E-7</v>
      </c>
      <c r="D70">
        <f t="shared" si="10"/>
        <v>4.0980313090251581E-3</v>
      </c>
      <c r="F70" s="3">
        <v>7.5</v>
      </c>
      <c r="G70" s="3">
        <v>13806.7</v>
      </c>
      <c r="H70" s="17">
        <v>5.5167161558099298E-5</v>
      </c>
      <c r="I70">
        <f t="shared" si="11"/>
        <v>0.76167644948420965</v>
      </c>
      <c r="K70" s="3">
        <v>7.5</v>
      </c>
      <c r="L70" s="3">
        <v>13806.7</v>
      </c>
      <c r="M70" s="17">
        <v>8.8597514157633806E-5</v>
      </c>
      <c r="N70">
        <f t="shared" si="12"/>
        <v>1.2232392987202028</v>
      </c>
      <c r="P70" s="3">
        <v>7.5</v>
      </c>
      <c r="Q70" s="3">
        <v>13806.7</v>
      </c>
      <c r="R70" s="17">
        <v>7.7785455574153897E-5</v>
      </c>
      <c r="S70">
        <f t="shared" si="13"/>
        <v>1.0739604494756707</v>
      </c>
      <c r="U70" s="3">
        <v>7.5</v>
      </c>
      <c r="V70" s="3">
        <v>13806.7</v>
      </c>
      <c r="W70" s="17">
        <v>1.56206648395869E-5</v>
      </c>
      <c r="X70">
        <f t="shared" si="14"/>
        <v>0.21566983324072447</v>
      </c>
      <c r="Z70" s="3">
        <v>7.5</v>
      </c>
      <c r="AA70" s="3">
        <v>13806.7</v>
      </c>
      <c r="AB70" s="17">
        <v>5.2662456903902296E-7</v>
      </c>
      <c r="AC70">
        <f t="shared" si="15"/>
        <v>7.2709474373510788E-3</v>
      </c>
      <c r="AE70" s="3">
        <v>7.5</v>
      </c>
      <c r="AF70" s="3">
        <v>13806.7</v>
      </c>
      <c r="AG70" s="17">
        <v>8.5318711710730093E-6</v>
      </c>
      <c r="AH70">
        <f t="shared" si="16"/>
        <v>0.11779698569765372</v>
      </c>
      <c r="AJ70" s="3">
        <v>7.5</v>
      </c>
      <c r="AK70" s="3">
        <v>13806.7</v>
      </c>
      <c r="AL70" s="17">
        <v>8.2428390887060498E-7</v>
      </c>
      <c r="AM70">
        <f t="shared" si="17"/>
        <v>1.1380640644603783E-2</v>
      </c>
      <c r="AO70" s="3">
        <v>7.5</v>
      </c>
      <c r="AP70" s="3">
        <v>13806.7</v>
      </c>
      <c r="AQ70" s="17">
        <v>5.63899396819194E-10</v>
      </c>
      <c r="AR70">
        <f t="shared" si="18"/>
        <v>7.785589802063567E-6</v>
      </c>
      <c r="AT70" s="3">
        <v>7.5</v>
      </c>
      <c r="AU70" s="3">
        <v>13806.7</v>
      </c>
      <c r="AV70" s="17">
        <v>7.4305488906579095E-5</v>
      </c>
      <c r="AW70">
        <f t="shared" si="19"/>
        <v>1.0259135936864656</v>
      </c>
    </row>
    <row r="71" spans="1:49" x14ac:dyDescent="0.3">
      <c r="A71" s="3">
        <v>8</v>
      </c>
      <c r="B71" s="16">
        <v>15610</v>
      </c>
      <c r="C71" s="17">
        <v>1.6866724187226099E-7</v>
      </c>
      <c r="D71">
        <f t="shared" si="10"/>
        <v>2.6328956456259942E-3</v>
      </c>
      <c r="F71" s="3">
        <v>8</v>
      </c>
      <c r="G71" s="3">
        <v>15610</v>
      </c>
      <c r="H71" s="17">
        <v>6.4934000174043097E-5</v>
      </c>
      <c r="I71">
        <f t="shared" si="11"/>
        <v>1.0136197427168128</v>
      </c>
      <c r="K71" s="3">
        <v>8</v>
      </c>
      <c r="L71" s="3">
        <v>15610</v>
      </c>
      <c r="M71" s="16">
        <v>1.4003454278218799E-4</v>
      </c>
      <c r="N71">
        <f t="shared" si="12"/>
        <v>2.1859392128299544</v>
      </c>
      <c r="P71" s="3">
        <v>8</v>
      </c>
      <c r="Q71" s="3">
        <v>15610</v>
      </c>
      <c r="R71" s="17">
        <v>7.8670818483127998E-5</v>
      </c>
      <c r="S71">
        <f t="shared" si="13"/>
        <v>1.2280514765216279</v>
      </c>
      <c r="U71" s="3">
        <v>8</v>
      </c>
      <c r="V71" s="3">
        <v>15610</v>
      </c>
      <c r="W71" s="17">
        <v>1.5666987556673901E-5</v>
      </c>
      <c r="X71">
        <f t="shared" si="14"/>
        <v>0.24456167575967958</v>
      </c>
      <c r="Z71" s="3">
        <v>8</v>
      </c>
      <c r="AA71" s="3">
        <v>15610</v>
      </c>
      <c r="AB71" s="17">
        <v>6.7912967384980195E-7</v>
      </c>
      <c r="AC71">
        <f t="shared" si="15"/>
        <v>1.0601214208795409E-2</v>
      </c>
      <c r="AE71" s="3">
        <v>8</v>
      </c>
      <c r="AF71" s="3">
        <v>15610</v>
      </c>
      <c r="AG71" s="17">
        <v>1.26685359812902E-5</v>
      </c>
      <c r="AH71">
        <f t="shared" si="16"/>
        <v>0.19775584666794002</v>
      </c>
      <c r="AJ71" s="3">
        <v>8</v>
      </c>
      <c r="AK71" s="3">
        <v>15610</v>
      </c>
      <c r="AL71" s="17">
        <v>8.3072776703704803E-7</v>
      </c>
      <c r="AM71">
        <f t="shared" si="17"/>
        <v>1.296766044344832E-2</v>
      </c>
      <c r="AO71" s="3">
        <v>8</v>
      </c>
      <c r="AP71" s="3">
        <v>15610</v>
      </c>
      <c r="AQ71" s="17">
        <v>5.8971648870955004E-10</v>
      </c>
      <c r="AR71">
        <f t="shared" si="18"/>
        <v>9.2054743887560769E-6</v>
      </c>
      <c r="AT71" s="3">
        <v>8</v>
      </c>
      <c r="AU71" s="3">
        <v>15610</v>
      </c>
      <c r="AV71" s="17">
        <v>7.65377541497049E-5</v>
      </c>
      <c r="AW71">
        <f t="shared" si="19"/>
        <v>1.1947543422768936</v>
      </c>
    </row>
    <row r="72" spans="1:49" x14ac:dyDescent="0.3">
      <c r="A72" s="3">
        <v>8.5</v>
      </c>
      <c r="B72" s="16">
        <v>12482.2</v>
      </c>
      <c r="C72" s="17">
        <v>1.53995072455766E-7</v>
      </c>
      <c r="D72">
        <f t="shared" si="10"/>
        <v>1.9221972934073625E-3</v>
      </c>
      <c r="F72" s="3">
        <v>8.5</v>
      </c>
      <c r="G72" s="3">
        <v>12482.2</v>
      </c>
      <c r="H72" s="17">
        <v>7.9340048505383801E-5</v>
      </c>
      <c r="I72">
        <f t="shared" si="11"/>
        <v>0.99033835345390175</v>
      </c>
      <c r="K72" s="3">
        <v>8.5</v>
      </c>
      <c r="L72" s="3">
        <v>12482.2</v>
      </c>
      <c r="M72" s="16">
        <v>1.9138435766447899E-4</v>
      </c>
      <c r="N72">
        <f t="shared" si="12"/>
        <v>2.3888978292395597</v>
      </c>
      <c r="P72" s="3">
        <v>8.5</v>
      </c>
      <c r="Q72" s="3">
        <v>12482.2</v>
      </c>
      <c r="R72" s="17">
        <v>7.9303220560966595E-5</v>
      </c>
      <c r="S72">
        <f t="shared" si="13"/>
        <v>0.98987865968609734</v>
      </c>
      <c r="U72" s="3">
        <v>8.5</v>
      </c>
      <c r="V72" s="3">
        <v>12482.2</v>
      </c>
      <c r="W72" s="17">
        <v>1.5711808179981399E-5</v>
      </c>
      <c r="X72">
        <f t="shared" si="14"/>
        <v>0.19611793206416384</v>
      </c>
      <c r="Z72" s="3">
        <v>8.5</v>
      </c>
      <c r="AA72" s="3">
        <v>12482.2</v>
      </c>
      <c r="AB72" s="17">
        <v>7.9312121522783499E-7</v>
      </c>
      <c r="AC72">
        <f t="shared" si="15"/>
        <v>9.8998976327168819E-3</v>
      </c>
      <c r="AE72" s="3">
        <v>8.5</v>
      </c>
      <c r="AF72" s="3">
        <v>12482.2</v>
      </c>
      <c r="AG72" s="17">
        <v>1.6934471566826699E-5</v>
      </c>
      <c r="AH72">
        <f t="shared" si="16"/>
        <v>0.21137946099144422</v>
      </c>
      <c r="AJ72" s="3">
        <v>8.5</v>
      </c>
      <c r="AK72" s="3">
        <v>12482.2</v>
      </c>
      <c r="AL72" s="17">
        <v>8.3837533790898302E-7</v>
      </c>
      <c r="AM72">
        <f t="shared" si="17"/>
        <v>1.0464768642847509E-2</v>
      </c>
      <c r="AO72" s="3">
        <v>8.5</v>
      </c>
      <c r="AP72" s="3">
        <v>12482.2</v>
      </c>
      <c r="AQ72" s="17">
        <v>6.2671764810090804E-10</v>
      </c>
      <c r="AR72">
        <f t="shared" si="18"/>
        <v>7.8228150271251545E-6</v>
      </c>
      <c r="AT72" s="3">
        <v>8.5</v>
      </c>
      <c r="AU72" s="3">
        <v>12482.2</v>
      </c>
      <c r="AV72" s="17">
        <v>7.5439253718963896E-5</v>
      </c>
      <c r="AW72">
        <f t="shared" si="19"/>
        <v>0.94164785277085117</v>
      </c>
    </row>
    <row r="73" spans="1:49" x14ac:dyDescent="0.3">
      <c r="A73" s="3">
        <v>9</v>
      </c>
      <c r="B73" s="16">
        <v>12115.9</v>
      </c>
      <c r="C73" s="17">
        <v>1.7706996140009501E-7</v>
      </c>
      <c r="D73">
        <f t="shared" si="10"/>
        <v>2.1453619453274111E-3</v>
      </c>
      <c r="F73" s="3">
        <v>9</v>
      </c>
      <c r="G73" s="3">
        <v>12115.9</v>
      </c>
      <c r="H73" s="17">
        <v>9.2841362528907394E-5</v>
      </c>
      <c r="I73">
        <f t="shared" si="11"/>
        <v>1.124856664263989</v>
      </c>
      <c r="K73" s="3">
        <v>9</v>
      </c>
      <c r="L73" s="3">
        <v>12115.9</v>
      </c>
      <c r="M73" s="16">
        <v>2.6097683258475998E-4</v>
      </c>
      <c r="N73">
        <f t="shared" si="12"/>
        <v>3.1619692059136932</v>
      </c>
      <c r="P73" s="3">
        <v>9</v>
      </c>
      <c r="Q73" s="3">
        <v>12115.9</v>
      </c>
      <c r="R73" s="17">
        <v>7.9429700976534401E-5</v>
      </c>
      <c r="S73">
        <f t="shared" si="13"/>
        <v>0.96236231406159312</v>
      </c>
      <c r="U73" s="3">
        <v>9</v>
      </c>
      <c r="V73" s="3">
        <v>12115.9</v>
      </c>
      <c r="W73" s="17">
        <v>1.5758143779519399E-5</v>
      </c>
      <c r="X73">
        <f t="shared" si="14"/>
        <v>0.19092409421827908</v>
      </c>
      <c r="Z73" s="3">
        <v>9</v>
      </c>
      <c r="AA73" s="3">
        <v>12115.9</v>
      </c>
      <c r="AB73" s="17">
        <v>1.03036691756926E-6</v>
      </c>
      <c r="AC73">
        <f t="shared" si="15"/>
        <v>1.2483822536577397E-2</v>
      </c>
      <c r="AE73" s="3">
        <v>9</v>
      </c>
      <c r="AF73" s="3">
        <v>12115.9</v>
      </c>
      <c r="AG73" s="17">
        <v>2.4012046515557698E-5</v>
      </c>
      <c r="AH73">
        <f t="shared" si="16"/>
        <v>0.29092755437784551</v>
      </c>
      <c r="AJ73" s="3">
        <v>9</v>
      </c>
      <c r="AK73" s="3">
        <v>12115.9</v>
      </c>
      <c r="AL73" s="17">
        <v>8.4432953728650096E-7</v>
      </c>
      <c r="AM73">
        <f t="shared" si="17"/>
        <v>1.0229812240809516E-2</v>
      </c>
      <c r="AO73" s="3">
        <v>9</v>
      </c>
      <c r="AP73" s="3">
        <v>12115.9</v>
      </c>
      <c r="AQ73" s="17">
        <v>6.8020648679668099E-10</v>
      </c>
      <c r="AR73">
        <f t="shared" si="18"/>
        <v>8.2413137733799062E-6</v>
      </c>
      <c r="AT73" s="3">
        <v>9</v>
      </c>
      <c r="AU73" s="3">
        <v>12115.9</v>
      </c>
      <c r="AV73" s="17">
        <v>7.7240202701009202E-5</v>
      </c>
      <c r="AW73">
        <f t="shared" si="19"/>
        <v>0.9358345719051574</v>
      </c>
    </row>
    <row r="74" spans="1:49" x14ac:dyDescent="0.3">
      <c r="A74" s="3">
        <v>9.5</v>
      </c>
      <c r="B74" s="16">
        <v>14682.1</v>
      </c>
      <c r="C74" s="17">
        <v>2.0559391734356199E-7</v>
      </c>
      <c r="D74">
        <f t="shared" si="10"/>
        <v>3.0185504538299116E-3</v>
      </c>
      <c r="F74" s="3">
        <v>9.5</v>
      </c>
      <c r="G74" s="3">
        <v>14682.1</v>
      </c>
      <c r="H74" s="16">
        <v>1.04141270854302E-4</v>
      </c>
      <c r="I74">
        <f t="shared" si="11"/>
        <v>1.5290125528099474</v>
      </c>
      <c r="K74" s="3">
        <v>9.5</v>
      </c>
      <c r="L74" s="3">
        <v>14682.1</v>
      </c>
      <c r="M74" s="16">
        <v>3.1834460442841202E-4</v>
      </c>
      <c r="N74">
        <f t="shared" si="12"/>
        <v>4.6739673166783886</v>
      </c>
      <c r="P74" s="3">
        <v>9.5</v>
      </c>
      <c r="Q74" s="3">
        <v>14682.1</v>
      </c>
      <c r="R74" s="17">
        <v>7.9303220560966595E-5</v>
      </c>
      <c r="S74">
        <f t="shared" si="13"/>
        <v>1.1643378145981678</v>
      </c>
      <c r="U74" s="3">
        <v>9.5</v>
      </c>
      <c r="V74" s="3">
        <v>14682.1</v>
      </c>
      <c r="W74" s="17">
        <v>1.5805499669171699E-5</v>
      </c>
      <c r="X74">
        <f t="shared" si="14"/>
        <v>0.2320579266927458</v>
      </c>
      <c r="Z74" s="3">
        <v>9.5</v>
      </c>
      <c r="AA74" s="3">
        <v>14682.1</v>
      </c>
      <c r="AB74" s="17">
        <v>1.1094488183497299E-6</v>
      </c>
      <c r="AC74">
        <f t="shared" si="15"/>
        <v>1.6289038495892569E-2</v>
      </c>
      <c r="AE74" s="3">
        <v>9.5</v>
      </c>
      <c r="AF74" s="3">
        <v>14682.1</v>
      </c>
      <c r="AG74" s="17">
        <v>2.6371238165134701E-5</v>
      </c>
      <c r="AH74">
        <f t="shared" si="16"/>
        <v>0.38718515586432417</v>
      </c>
      <c r="AJ74" s="3">
        <v>9.5</v>
      </c>
      <c r="AK74" s="3">
        <v>14682.1</v>
      </c>
      <c r="AL74" s="17">
        <v>8.5165147454365601E-7</v>
      </c>
      <c r="AM74">
        <f t="shared" si="17"/>
        <v>1.2504032114397412E-2</v>
      </c>
      <c r="AO74" s="3">
        <v>9.5</v>
      </c>
      <c r="AP74" s="3">
        <v>14682.1</v>
      </c>
      <c r="AQ74" s="17">
        <v>7.1876700606349897E-10</v>
      </c>
      <c r="AR74">
        <f t="shared" si="18"/>
        <v>1.0553009059724898E-5</v>
      </c>
      <c r="AT74" s="3">
        <v>9.5</v>
      </c>
      <c r="AU74" s="3">
        <v>14682.1</v>
      </c>
      <c r="AV74" s="17">
        <v>8.0705376473556696E-5</v>
      </c>
      <c r="AW74">
        <f t="shared" si="19"/>
        <v>1.1849244079224068</v>
      </c>
    </row>
    <row r="75" spans="1:49" x14ac:dyDescent="0.3">
      <c r="A75" s="3">
        <v>10</v>
      </c>
      <c r="B75" s="16">
        <v>10271.700000000001</v>
      </c>
      <c r="C75" s="17">
        <v>2.35944583646188E-7</v>
      </c>
      <c r="D75">
        <f t="shared" si="10"/>
        <v>2.4235519798385496E-3</v>
      </c>
      <c r="F75" s="3">
        <v>10</v>
      </c>
      <c r="G75" s="3">
        <v>10271.700000000001</v>
      </c>
      <c r="H75" s="16">
        <v>1.1458777609731299E-4</v>
      </c>
      <c r="I75">
        <f t="shared" si="11"/>
        <v>1.1770112597387701</v>
      </c>
      <c r="K75" s="3">
        <v>10</v>
      </c>
      <c r="L75" s="3">
        <v>10271.700000000001</v>
      </c>
      <c r="M75" s="16">
        <v>3.5704153809111003E-4</v>
      </c>
      <c r="N75">
        <f t="shared" si="12"/>
        <v>3.6674235668104549</v>
      </c>
      <c r="P75" s="3">
        <v>10</v>
      </c>
      <c r="Q75" s="3">
        <v>10271.700000000001</v>
      </c>
      <c r="R75" s="17">
        <v>7.7975176197505504E-5</v>
      </c>
      <c r="S75">
        <f t="shared" si="13"/>
        <v>0.80093761734791735</v>
      </c>
      <c r="U75" s="3">
        <v>10</v>
      </c>
      <c r="V75" s="3">
        <v>10271.700000000001</v>
      </c>
      <c r="W75" s="17">
        <v>1.5851350888554399E-5</v>
      </c>
      <c r="X75">
        <f t="shared" si="14"/>
        <v>0.16282032092196425</v>
      </c>
      <c r="Z75" s="3">
        <v>10</v>
      </c>
      <c r="AA75" s="3">
        <v>10271.700000000001</v>
      </c>
      <c r="AB75" s="17">
        <v>1.2831471410271301E-6</v>
      </c>
      <c r="AC75">
        <f t="shared" si="15"/>
        <v>1.3180102488488374E-2</v>
      </c>
      <c r="AE75" s="3">
        <v>10</v>
      </c>
      <c r="AF75" s="3">
        <v>10271.700000000001</v>
      </c>
      <c r="AG75" s="17">
        <v>3.5678733988123399E-5</v>
      </c>
      <c r="AH75">
        <f t="shared" si="16"/>
        <v>0.36648125190580716</v>
      </c>
      <c r="AJ75" s="3">
        <v>10</v>
      </c>
      <c r="AK75" s="3">
        <v>10271.700000000001</v>
      </c>
      <c r="AL75" s="17">
        <v>8.5897341180081095E-7</v>
      </c>
      <c r="AM75">
        <f t="shared" si="17"/>
        <v>8.8231171939943901E-3</v>
      </c>
      <c r="AO75" s="3">
        <v>10</v>
      </c>
      <c r="AP75" s="3">
        <v>10271.700000000001</v>
      </c>
      <c r="AQ75" s="17">
        <v>7.5886609004906199E-10</v>
      </c>
      <c r="AR75">
        <f t="shared" si="18"/>
        <v>7.7948448171569507E-6</v>
      </c>
      <c r="AT75" s="3">
        <v>10</v>
      </c>
      <c r="AU75" s="3">
        <v>10271.700000000001</v>
      </c>
      <c r="AV75" s="17">
        <v>8.3269515410034305E-5</v>
      </c>
      <c r="AW75">
        <f t="shared" si="19"/>
        <v>0.85531948143724945</v>
      </c>
    </row>
    <row r="76" spans="1:49" x14ac:dyDescent="0.3">
      <c r="A76" s="3">
        <v>10.5</v>
      </c>
      <c r="B76" s="16">
        <v>9134.07</v>
      </c>
      <c r="C76" s="17">
        <v>2.6172398248190699E-7</v>
      </c>
      <c r="D76">
        <f t="shared" si="10"/>
        <v>2.3906051766685119E-3</v>
      </c>
      <c r="F76" s="3">
        <v>10.5</v>
      </c>
      <c r="G76" s="3">
        <v>9134.07</v>
      </c>
      <c r="H76" s="16">
        <v>1.2530346984025999E-4</v>
      </c>
      <c r="I76">
        <f t="shared" si="11"/>
        <v>1.1445306647638236</v>
      </c>
      <c r="K76" s="3">
        <v>10.5</v>
      </c>
      <c r="L76" s="3">
        <v>9134.07</v>
      </c>
      <c r="M76" s="16">
        <v>3.82207023759591E-4</v>
      </c>
      <c r="N76">
        <f t="shared" si="12"/>
        <v>3.4911057095117672</v>
      </c>
      <c r="P76" s="3">
        <v>10.5</v>
      </c>
      <c r="Q76" s="3">
        <v>9134.07</v>
      </c>
      <c r="R76" s="17">
        <v>7.7532494743018406E-5</v>
      </c>
      <c r="S76">
        <f t="shared" si="13"/>
        <v>0.70818723425736207</v>
      </c>
      <c r="U76" s="3">
        <v>10.5</v>
      </c>
      <c r="V76" s="3">
        <v>9134.07</v>
      </c>
      <c r="W76" s="17">
        <v>1.5844564413399599E-5</v>
      </c>
      <c r="X76">
        <f t="shared" si="14"/>
        <v>0.14472536047150086</v>
      </c>
      <c r="Z76" s="3">
        <v>10.5</v>
      </c>
      <c r="AA76" s="3">
        <v>9134.07</v>
      </c>
      <c r="AB76" s="17">
        <v>1.3410465819196E-6</v>
      </c>
      <c r="AC76">
        <f t="shared" si="15"/>
        <v>1.224921335251436E-2</v>
      </c>
      <c r="AE76" s="3">
        <v>10.5</v>
      </c>
      <c r="AF76" s="3">
        <v>9134.07</v>
      </c>
      <c r="AG76" s="17">
        <v>3.8781232595786402E-5</v>
      </c>
      <c r="AH76">
        <f t="shared" si="16"/>
        <v>0.35423049321619471</v>
      </c>
      <c r="AJ76" s="3">
        <v>10.5</v>
      </c>
      <c r="AK76" s="3">
        <v>9134.07</v>
      </c>
      <c r="AL76" s="17">
        <v>8.6546669766606903E-7</v>
      </c>
      <c r="AM76">
        <f t="shared" si="17"/>
        <v>7.9052333991507101E-3</v>
      </c>
      <c r="AO76" s="3">
        <v>10.5</v>
      </c>
      <c r="AP76" s="3">
        <v>9134.07</v>
      </c>
      <c r="AQ76" s="17">
        <v>7.9510724748287503E-10</v>
      </c>
      <c r="AR76">
        <f t="shared" si="18"/>
        <v>7.2625652560159038E-6</v>
      </c>
      <c r="AT76" s="3">
        <v>10.5</v>
      </c>
      <c r="AU76" s="3">
        <v>9134.07</v>
      </c>
      <c r="AV76" s="17">
        <v>8.6252792441897705E-5</v>
      </c>
      <c r="AW76">
        <f t="shared" si="19"/>
        <v>0.78783904385976455</v>
      </c>
    </row>
    <row r="77" spans="1:49" x14ac:dyDescent="0.3">
      <c r="A77" s="3">
        <v>11</v>
      </c>
      <c r="B77" s="16">
        <v>9891.5499999999993</v>
      </c>
      <c r="C77" s="17">
        <v>2.8830470990301901E-7</v>
      </c>
      <c r="D77">
        <f t="shared" si="10"/>
        <v>2.8517804532412075E-3</v>
      </c>
      <c r="F77" s="3">
        <v>11</v>
      </c>
      <c r="G77" s="3">
        <v>9891.5499999999993</v>
      </c>
      <c r="H77" s="16">
        <v>1.37329912433336E-4</v>
      </c>
      <c r="I77">
        <f t="shared" si="11"/>
        <v>1.3584056953299646</v>
      </c>
      <c r="K77" s="3">
        <v>11</v>
      </c>
      <c r="L77" s="3">
        <v>9891.5499999999993</v>
      </c>
      <c r="M77" s="16">
        <v>4.2565483105301701E-4</v>
      </c>
      <c r="N77">
        <f t="shared" si="12"/>
        <v>4.2103860441024699</v>
      </c>
      <c r="P77" s="3">
        <v>11</v>
      </c>
      <c r="Q77" s="3">
        <v>9891.5499999999993</v>
      </c>
      <c r="R77" s="17">
        <v>7.6520651418476594E-5</v>
      </c>
      <c r="S77">
        <f t="shared" si="13"/>
        <v>0.75690784953843204</v>
      </c>
      <c r="U77" s="3">
        <v>11</v>
      </c>
      <c r="V77" s="3">
        <v>9891.5499999999993</v>
      </c>
      <c r="W77" s="17">
        <v>1.5756721556935701E-5</v>
      </c>
      <c r="X77">
        <f t="shared" si="14"/>
        <v>0.15585839911650731</v>
      </c>
      <c r="Z77" s="3">
        <v>11</v>
      </c>
      <c r="AA77" s="3">
        <v>9891.5499999999993</v>
      </c>
      <c r="AB77" s="17">
        <v>1.56209076847061E-6</v>
      </c>
      <c r="AC77">
        <f t="shared" si="15"/>
        <v>1.5451498940865461E-2</v>
      </c>
      <c r="AE77" s="3">
        <v>11</v>
      </c>
      <c r="AF77" s="3">
        <v>9891.5499999999993</v>
      </c>
      <c r="AG77" s="17">
        <v>4.98338838855855E-5</v>
      </c>
      <c r="AH77">
        <f t="shared" si="16"/>
        <v>0.49293435414846321</v>
      </c>
      <c r="AJ77" s="3">
        <v>11</v>
      </c>
      <c r="AK77" s="3">
        <v>9891.5499999999993</v>
      </c>
      <c r="AL77" s="17">
        <v>8.7214631699320898E-7</v>
      </c>
      <c r="AM77">
        <f t="shared" si="17"/>
        <v>8.6268789018541757E-3</v>
      </c>
      <c r="AO77" s="3">
        <v>11</v>
      </c>
      <c r="AP77" s="3">
        <v>9891.5499999999993</v>
      </c>
      <c r="AQ77" s="17">
        <v>8.3926777235217496E-10</v>
      </c>
      <c r="AR77">
        <f t="shared" si="18"/>
        <v>8.3016591336101555E-6</v>
      </c>
      <c r="AT77" s="3">
        <v>11</v>
      </c>
      <c r="AU77" s="3">
        <v>9891.5499999999993</v>
      </c>
      <c r="AV77" s="17">
        <v>8.8470264575774604E-5</v>
      </c>
      <c r="AW77">
        <f t="shared" si="19"/>
        <v>0.87510804556450317</v>
      </c>
    </row>
    <row r="78" spans="1:49" x14ac:dyDescent="0.3">
      <c r="A78" s="3">
        <v>11.5</v>
      </c>
      <c r="B78" s="16">
        <v>6031.1</v>
      </c>
      <c r="C78" s="17">
        <v>3.10318550843283E-7</v>
      </c>
      <c r="D78">
        <f t="shared" si="10"/>
        <v>1.8715622119909242E-3</v>
      </c>
      <c r="F78" s="3">
        <v>11.5</v>
      </c>
      <c r="G78" s="3">
        <v>6031.1</v>
      </c>
      <c r="H78" s="16">
        <v>1.5407573759223701E-4</v>
      </c>
      <c r="I78">
        <f t="shared" si="11"/>
        <v>0.92924618099254064</v>
      </c>
      <c r="K78" s="3">
        <v>11.5</v>
      </c>
      <c r="L78" s="3">
        <v>6031.1</v>
      </c>
      <c r="M78" s="16">
        <v>4.60474364476864E-4</v>
      </c>
      <c r="N78">
        <f t="shared" si="12"/>
        <v>2.7771669395964147</v>
      </c>
      <c r="P78" s="3">
        <v>11.5</v>
      </c>
      <c r="Q78" s="3">
        <v>6031.1</v>
      </c>
      <c r="R78" s="17">
        <v>7.3674842068202696E-5</v>
      </c>
      <c r="S78">
        <f t="shared" si="13"/>
        <v>0.4443403399975373</v>
      </c>
      <c r="U78" s="3">
        <v>11.5</v>
      </c>
      <c r="V78" s="3">
        <v>6031.1</v>
      </c>
      <c r="W78" s="17">
        <v>1.5527980758060101E-5</v>
      </c>
      <c r="X78">
        <f t="shared" si="14"/>
        <v>9.3650804749936284E-2</v>
      </c>
      <c r="Z78" s="3">
        <v>11.5</v>
      </c>
      <c r="AA78" s="3">
        <v>6031.1</v>
      </c>
      <c r="AB78" s="17">
        <v>1.6357721639876099E-6</v>
      </c>
      <c r="AC78">
        <f t="shared" si="15"/>
        <v>9.8655054982256744E-3</v>
      </c>
      <c r="AE78" s="3">
        <v>11.5</v>
      </c>
      <c r="AF78" s="3">
        <v>6031.1</v>
      </c>
      <c r="AG78" s="17">
        <v>5.3518100982185197E-5</v>
      </c>
      <c r="AH78">
        <f t="shared" si="16"/>
        <v>0.32277301883365717</v>
      </c>
      <c r="AJ78" s="3">
        <v>11.5</v>
      </c>
      <c r="AK78" s="3">
        <v>6031.1</v>
      </c>
      <c r="AL78" s="17">
        <v>8.7814510933053804E-7</v>
      </c>
      <c r="AM78">
        <f t="shared" si="17"/>
        <v>5.2961809688834086E-3</v>
      </c>
      <c r="AO78" s="3">
        <v>11.5</v>
      </c>
      <c r="AP78" s="3">
        <v>6031.1</v>
      </c>
      <c r="AQ78" s="17">
        <v>8.87410879023187E-10</v>
      </c>
      <c r="AR78">
        <f t="shared" si="18"/>
        <v>5.3520637524767438E-6</v>
      </c>
      <c r="AT78" s="3">
        <v>11.5</v>
      </c>
      <c r="AU78" s="3">
        <v>6031.1</v>
      </c>
      <c r="AV78" s="17">
        <v>8.8363051890056495E-5</v>
      </c>
      <c r="AW78">
        <f t="shared" si="19"/>
        <v>0.5329264022541198</v>
      </c>
    </row>
    <row r="79" spans="1:49" x14ac:dyDescent="0.3">
      <c r="A79" s="3">
        <v>12</v>
      </c>
      <c r="B79" s="16">
        <v>3946.1</v>
      </c>
      <c r="C79" s="17">
        <v>3.2328979565118398E-7</v>
      </c>
      <c r="D79">
        <f t="shared" si="10"/>
        <v>1.275733862619137E-3</v>
      </c>
      <c r="F79" s="3">
        <v>12</v>
      </c>
      <c r="G79" s="3">
        <v>3946.1</v>
      </c>
      <c r="H79" s="16">
        <v>1.6880994524604299E-4</v>
      </c>
      <c r="I79">
        <f t="shared" si="11"/>
        <v>0.66614092493541022</v>
      </c>
      <c r="K79" s="3">
        <v>12</v>
      </c>
      <c r="L79" s="3">
        <v>3946.1</v>
      </c>
      <c r="M79" s="16">
        <v>4.8031267278163302E-4</v>
      </c>
      <c r="N79">
        <f t="shared" si="12"/>
        <v>1.8953618380636019</v>
      </c>
      <c r="P79" s="3">
        <v>12</v>
      </c>
      <c r="Q79" s="3">
        <v>3946.1</v>
      </c>
      <c r="R79" s="17">
        <v>7.2726238951444699E-5</v>
      </c>
      <c r="S79">
        <f t="shared" si="13"/>
        <v>0.28698501152629591</v>
      </c>
      <c r="U79" s="3">
        <v>12</v>
      </c>
      <c r="V79" s="3">
        <v>3946.1</v>
      </c>
      <c r="W79" s="17">
        <v>1.5048248591046599E-5</v>
      </c>
      <c r="X79">
        <f t="shared" si="14"/>
        <v>5.9381893765128986E-2</v>
      </c>
      <c r="Z79" s="3">
        <v>12</v>
      </c>
      <c r="AA79" s="3">
        <v>3946.1</v>
      </c>
      <c r="AB79" s="17">
        <v>1.7644806201075399E-6</v>
      </c>
      <c r="AC79">
        <f t="shared" si="15"/>
        <v>6.9628169750063631E-3</v>
      </c>
      <c r="AE79" s="3">
        <v>12</v>
      </c>
      <c r="AF79" s="3">
        <v>3946.1</v>
      </c>
      <c r="AG79" s="17">
        <v>6.4764658434963296E-5</v>
      </c>
      <c r="AH79">
        <f t="shared" si="16"/>
        <v>0.25556781865020867</v>
      </c>
      <c r="AJ79" s="3">
        <v>12</v>
      </c>
      <c r="AK79" s="3">
        <v>3946.1</v>
      </c>
      <c r="AL79" s="17">
        <v>8.9555377786122105E-7</v>
      </c>
      <c r="AM79">
        <f t="shared" si="17"/>
        <v>3.5339447628181643E-3</v>
      </c>
      <c r="AO79" s="3">
        <v>12</v>
      </c>
      <c r="AP79" s="3">
        <v>3946.1</v>
      </c>
      <c r="AQ79" s="17">
        <v>9.3064583117393599E-10</v>
      </c>
      <c r="AR79">
        <f t="shared" si="18"/>
        <v>3.6724215143954688E-6</v>
      </c>
      <c r="AT79" s="3">
        <v>12</v>
      </c>
      <c r="AU79" s="3">
        <v>3946.1</v>
      </c>
      <c r="AV79" s="17">
        <v>8.6129516531490094E-5</v>
      </c>
      <c r="AW79">
        <f t="shared" si="19"/>
        <v>0.33987568518491307</v>
      </c>
    </row>
    <row r="80" spans="1:49" x14ac:dyDescent="0.3">
      <c r="A80" s="3">
        <v>12.5</v>
      </c>
      <c r="B80" s="16">
        <v>4333.54</v>
      </c>
      <c r="C80" s="17">
        <v>3.2712756546088598E-7</v>
      </c>
      <c r="D80">
        <f t="shared" si="10"/>
        <v>1.4176203900273679E-3</v>
      </c>
      <c r="F80" s="3">
        <v>12.5</v>
      </c>
      <c r="G80" s="3">
        <v>4333.54</v>
      </c>
      <c r="H80" s="16">
        <v>1.78191456318553E-4</v>
      </c>
      <c r="I80">
        <f t="shared" si="11"/>
        <v>0.7721998036147022</v>
      </c>
      <c r="K80" s="3">
        <v>12.5</v>
      </c>
      <c r="L80" s="3">
        <v>4333.54</v>
      </c>
      <c r="M80" s="16">
        <v>5.0183012743098296E-4</v>
      </c>
      <c r="N80">
        <f t="shared" si="12"/>
        <v>2.174700930427262</v>
      </c>
      <c r="P80" s="3">
        <v>12.5</v>
      </c>
      <c r="Q80" s="3">
        <v>4333.54</v>
      </c>
      <c r="R80" s="17">
        <v>6.9817189393386905E-5</v>
      </c>
      <c r="S80">
        <f t="shared" si="13"/>
        <v>0.3025555829238179</v>
      </c>
      <c r="U80" s="3">
        <v>12.5</v>
      </c>
      <c r="V80" s="3">
        <v>4333.54</v>
      </c>
      <c r="W80" s="17">
        <v>1.45265350929127E-5</v>
      </c>
      <c r="X80">
        <f t="shared" si="14"/>
        <v>6.2951320886540901E-2</v>
      </c>
      <c r="Z80" s="3">
        <v>12.5</v>
      </c>
      <c r="AA80" s="3">
        <v>4333.54</v>
      </c>
      <c r="AB80" s="17">
        <v>1.80738343881418E-6</v>
      </c>
      <c r="AC80">
        <f t="shared" si="15"/>
        <v>7.8323684274388024E-3</v>
      </c>
      <c r="AE80" s="3">
        <v>12.5</v>
      </c>
      <c r="AF80" s="3">
        <v>4333.54</v>
      </c>
      <c r="AG80" s="17">
        <v>6.8513510919222605E-5</v>
      </c>
      <c r="AH80">
        <f t="shared" si="16"/>
        <v>0.29690604010888794</v>
      </c>
      <c r="AJ80" s="3">
        <v>12.5</v>
      </c>
      <c r="AK80" s="3">
        <v>4333.54</v>
      </c>
      <c r="AL80" s="17">
        <v>9.22944097040347E-7</v>
      </c>
      <c r="AM80">
        <f t="shared" si="17"/>
        <v>3.9996151622882252E-3</v>
      </c>
      <c r="AO80" s="3">
        <v>12.5</v>
      </c>
      <c r="AP80" s="3">
        <v>4333.54</v>
      </c>
      <c r="AQ80" s="17">
        <v>9.661612954850469E-10</v>
      </c>
      <c r="AR80">
        <f t="shared" si="18"/>
        <v>4.1868986204362704E-6</v>
      </c>
      <c r="AT80" s="3">
        <v>12.5</v>
      </c>
      <c r="AU80" s="3">
        <v>4333.54</v>
      </c>
      <c r="AV80" s="17">
        <v>8.0649341968825998E-5</v>
      </c>
      <c r="AW80">
        <f t="shared" si="19"/>
        <v>0.34949714939558624</v>
      </c>
    </row>
    <row r="81" spans="1:49" x14ac:dyDescent="0.3">
      <c r="A81" s="3">
        <v>13</v>
      </c>
      <c r="B81" s="16">
        <v>2687.74</v>
      </c>
      <c r="C81" s="17">
        <v>3.2012542333914698E-7</v>
      </c>
      <c r="D81">
        <f t="shared" si="10"/>
        <v>8.6041390532555885E-4</v>
      </c>
      <c r="F81" s="3">
        <v>13</v>
      </c>
      <c r="G81" s="3">
        <v>2687.74</v>
      </c>
      <c r="H81" s="16">
        <v>1.91974491214776E-4</v>
      </c>
      <c r="I81">
        <f t="shared" si="11"/>
        <v>0.51597751901760203</v>
      </c>
      <c r="K81" s="3">
        <v>13</v>
      </c>
      <c r="L81" s="3">
        <v>2687.74</v>
      </c>
      <c r="M81" s="16">
        <v>5.1872387602209602E-4</v>
      </c>
      <c r="N81">
        <f t="shared" si="12"/>
        <v>1.3941949105396283</v>
      </c>
      <c r="P81" s="3">
        <v>13</v>
      </c>
      <c r="Q81" s="3">
        <v>2687.74</v>
      </c>
      <c r="R81" s="17">
        <v>6.5272748062038306E-5</v>
      </c>
      <c r="S81">
        <f t="shared" si="13"/>
        <v>0.17543617587626281</v>
      </c>
      <c r="U81" s="3">
        <v>13</v>
      </c>
      <c r="V81" s="3">
        <v>2687.74</v>
      </c>
      <c r="W81" s="17">
        <v>1.37001464770874E-5</v>
      </c>
      <c r="X81">
        <f t="shared" si="14"/>
        <v>3.6822431692326886E-2</v>
      </c>
      <c r="Z81" s="3">
        <v>13</v>
      </c>
      <c r="AA81" s="3">
        <v>2687.74</v>
      </c>
      <c r="AB81" s="17">
        <v>1.8645405791823899E-6</v>
      </c>
      <c r="AC81">
        <f t="shared" si="15"/>
        <v>5.0114002962916761E-3</v>
      </c>
      <c r="AE81" s="3">
        <v>13</v>
      </c>
      <c r="AF81" s="3">
        <v>2687.74</v>
      </c>
      <c r="AG81" s="17">
        <v>7.6269757438379905E-5</v>
      </c>
      <c r="AH81">
        <f t="shared" si="16"/>
        <v>0.20499327785743118</v>
      </c>
      <c r="AJ81" s="3">
        <v>13</v>
      </c>
      <c r="AK81" s="3">
        <v>2687.74</v>
      </c>
      <c r="AL81" s="17">
        <v>9.4674567791145898E-7</v>
      </c>
      <c r="AM81">
        <f t="shared" si="17"/>
        <v>2.5446062283497445E-3</v>
      </c>
      <c r="AO81" s="3">
        <v>13</v>
      </c>
      <c r="AP81" s="3">
        <v>2687.74</v>
      </c>
      <c r="AQ81" s="17">
        <v>1.0033373686683199E-9</v>
      </c>
      <c r="AR81">
        <f t="shared" si="18"/>
        <v>2.6967099792645901E-6</v>
      </c>
      <c r="AT81" s="3">
        <v>13</v>
      </c>
      <c r="AU81" s="3">
        <v>2687.74</v>
      </c>
      <c r="AV81" s="17">
        <v>7.2351752508301398E-5</v>
      </c>
      <c r="AW81">
        <f t="shared" si="19"/>
        <v>0.19446269928666199</v>
      </c>
    </row>
    <row r="82" spans="1:49" x14ac:dyDescent="0.3">
      <c r="A82" s="3">
        <v>13.5</v>
      </c>
      <c r="B82" s="16">
        <v>1860.65</v>
      </c>
      <c r="C82" s="17">
        <v>2.91751551607882E-7</v>
      </c>
      <c r="D82">
        <f t="shared" si="10"/>
        <v>5.4284752449920563E-4</v>
      </c>
      <c r="F82" s="3">
        <v>13.5</v>
      </c>
      <c r="G82" s="3">
        <v>1860.65</v>
      </c>
      <c r="H82" s="16">
        <v>1.9814482497444599E-4</v>
      </c>
      <c r="I82">
        <f t="shared" si="11"/>
        <v>0.36867816858870295</v>
      </c>
      <c r="K82" s="3">
        <v>13.5</v>
      </c>
      <c r="L82" s="3">
        <v>1860.65</v>
      </c>
      <c r="M82" s="16">
        <v>5.2417588301212001E-4</v>
      </c>
      <c r="N82">
        <f t="shared" si="12"/>
        <v>0.97530785672650111</v>
      </c>
      <c r="P82" s="3">
        <v>13.5</v>
      </c>
      <c r="Q82" s="3">
        <v>1860.65</v>
      </c>
      <c r="R82" s="17">
        <v>6.0584119056942603E-5</v>
      </c>
      <c r="S82">
        <f t="shared" si="13"/>
        <v>0.11272584112330027</v>
      </c>
      <c r="U82" s="3">
        <v>13.5</v>
      </c>
      <c r="V82" s="3">
        <v>1860.65</v>
      </c>
      <c r="W82" s="17">
        <v>1.25733829056941E-5</v>
      </c>
      <c r="X82">
        <f t="shared" si="14"/>
        <v>2.3394664903479728E-2</v>
      </c>
      <c r="Z82" s="3">
        <v>13.5</v>
      </c>
      <c r="AA82" s="3">
        <v>1860.65</v>
      </c>
      <c r="AB82" s="17">
        <v>1.8952115762066201E-6</v>
      </c>
      <c r="AC82">
        <f t="shared" si="15"/>
        <v>3.5263254192688478E-3</v>
      </c>
      <c r="AE82" s="3">
        <v>13.5</v>
      </c>
      <c r="AF82" s="3">
        <v>1860.65</v>
      </c>
      <c r="AG82" s="17">
        <v>7.8855172944765594E-5</v>
      </c>
      <c r="AH82">
        <f t="shared" si="16"/>
        <v>0.14672187753967811</v>
      </c>
      <c r="AJ82" s="3">
        <v>13.5</v>
      </c>
      <c r="AK82" s="3">
        <v>1860.65</v>
      </c>
      <c r="AL82" s="17">
        <v>9.798248028140769E-7</v>
      </c>
      <c r="AM82">
        <f t="shared" si="17"/>
        <v>1.8231110193560123E-3</v>
      </c>
      <c r="AO82" s="3">
        <v>13.5</v>
      </c>
      <c r="AP82" s="3">
        <v>1860.65</v>
      </c>
      <c r="AQ82" s="17">
        <v>1.0368681281495499E-9</v>
      </c>
      <c r="AR82">
        <f t="shared" si="18"/>
        <v>1.92924868264146E-6</v>
      </c>
      <c r="AT82" s="3">
        <v>13.5</v>
      </c>
      <c r="AU82" s="3">
        <v>1860.65</v>
      </c>
      <c r="AV82" s="17">
        <v>6.6297504444671194E-5</v>
      </c>
      <c r="AW82">
        <f t="shared" si="19"/>
        <v>0.12335645164497747</v>
      </c>
    </row>
    <row r="83" spans="1:49" x14ac:dyDescent="0.3">
      <c r="A83" s="3">
        <v>14</v>
      </c>
      <c r="B83" s="16">
        <v>2105.31</v>
      </c>
      <c r="C83" s="17">
        <v>2.5572240177484E-7</v>
      </c>
      <c r="D83">
        <f t="shared" si="10"/>
        <v>5.3837492968058836E-4</v>
      </c>
      <c r="F83" s="3">
        <v>14</v>
      </c>
      <c r="G83" s="3">
        <v>2105.31</v>
      </c>
      <c r="H83" s="16">
        <v>1.9823466892531701E-4</v>
      </c>
      <c r="I83">
        <f t="shared" si="11"/>
        <v>0.41734543083515913</v>
      </c>
      <c r="K83" s="3">
        <v>14</v>
      </c>
      <c r="L83" s="3">
        <v>2105.31</v>
      </c>
      <c r="M83" s="16">
        <v>5.1866125246374502E-4</v>
      </c>
      <c r="N83">
        <f t="shared" si="12"/>
        <v>1.091942721424447</v>
      </c>
      <c r="P83" s="3">
        <v>14</v>
      </c>
      <c r="Q83" s="3">
        <v>2105.31</v>
      </c>
      <c r="R83" s="17">
        <v>5.0630110351762201E-5</v>
      </c>
      <c r="S83">
        <f t="shared" si="13"/>
        <v>0.10659207762466848</v>
      </c>
      <c r="U83" s="3">
        <v>14</v>
      </c>
      <c r="V83" s="3">
        <v>2105.31</v>
      </c>
      <c r="W83" s="17">
        <v>1.1426553628717999E-5</v>
      </c>
      <c r="X83">
        <f t="shared" si="14"/>
        <v>2.4056437620076289E-2</v>
      </c>
      <c r="Z83" s="3">
        <v>14</v>
      </c>
      <c r="AA83" s="3">
        <v>2105.31</v>
      </c>
      <c r="AB83" s="17">
        <v>1.8891010443547201E-6</v>
      </c>
      <c r="AC83">
        <f t="shared" si="15"/>
        <v>3.9771433196904354E-3</v>
      </c>
      <c r="AE83" s="3">
        <v>14</v>
      </c>
      <c r="AF83" s="3">
        <v>2105.31</v>
      </c>
      <c r="AG83" s="17">
        <v>8.2733296204344305E-5</v>
      </c>
      <c r="AH83">
        <f t="shared" si="16"/>
        <v>0.17417923583196809</v>
      </c>
      <c r="AJ83" s="3">
        <v>14</v>
      </c>
      <c r="AK83" s="3">
        <v>2105.31</v>
      </c>
      <c r="AL83" s="17">
        <v>1.0212257817925E-6</v>
      </c>
      <c r="AM83">
        <f t="shared" si="17"/>
        <v>2.1499968506655683E-3</v>
      </c>
      <c r="AO83" s="3">
        <v>14</v>
      </c>
      <c r="AP83" s="3">
        <v>2105.31</v>
      </c>
      <c r="AQ83" s="17">
        <v>1.0627559820117701E-9</v>
      </c>
      <c r="AR83">
        <f t="shared" si="18"/>
        <v>2.2374307964891995E-6</v>
      </c>
      <c r="AT83" s="3">
        <v>14</v>
      </c>
      <c r="AU83" s="3">
        <v>2105.31</v>
      </c>
      <c r="AV83" s="17">
        <v>6.1588644839625402E-5</v>
      </c>
      <c r="AW83">
        <f t="shared" si="19"/>
        <v>0.12966318986731176</v>
      </c>
    </row>
    <row r="84" spans="1:49" x14ac:dyDescent="0.3">
      <c r="A84" s="3">
        <v>14.5</v>
      </c>
      <c r="B84" s="16">
        <v>822.00400000000002</v>
      </c>
      <c r="C84" s="17">
        <v>2.19909573438837E-7</v>
      </c>
      <c r="D84">
        <f t="shared" si="10"/>
        <v>1.8076654900501778E-4</v>
      </c>
      <c r="F84" s="3">
        <v>14.5</v>
      </c>
      <c r="G84" s="3">
        <v>822.00400000000002</v>
      </c>
      <c r="H84" s="16">
        <v>1.94544486013263E-4</v>
      </c>
      <c r="I84">
        <f t="shared" si="11"/>
        <v>0.15991634568084626</v>
      </c>
      <c r="K84" s="3">
        <v>14.5</v>
      </c>
      <c r="L84" s="3">
        <v>822.00400000000002</v>
      </c>
      <c r="M84" s="16">
        <v>5.0229020183966701E-4</v>
      </c>
      <c r="N84">
        <f t="shared" si="12"/>
        <v>0.41288455507301364</v>
      </c>
      <c r="P84" s="3">
        <v>14.5</v>
      </c>
      <c r="Q84" s="3">
        <v>822.00400000000002</v>
      </c>
      <c r="R84" s="17">
        <v>4.3994104548308703E-5</v>
      </c>
      <c r="S84">
        <f t="shared" si="13"/>
        <v>3.6163329915127947E-2</v>
      </c>
      <c r="U84" s="3">
        <v>14.5</v>
      </c>
      <c r="V84" s="3">
        <v>822.00400000000002</v>
      </c>
      <c r="W84" s="17">
        <v>1.0158183580111401E-5</v>
      </c>
      <c r="X84">
        <f t="shared" si="14"/>
        <v>8.3500675355858926E-3</v>
      </c>
      <c r="Z84" s="3">
        <v>14.5</v>
      </c>
      <c r="AA84" s="3">
        <v>822.00400000000002</v>
      </c>
      <c r="AB84" s="17">
        <v>1.8180553535977801E-6</v>
      </c>
      <c r="AC84">
        <f t="shared" si="15"/>
        <v>1.4944487728787896E-3</v>
      </c>
      <c r="AE84" s="3">
        <v>14.5</v>
      </c>
      <c r="AF84" s="3">
        <v>822.00400000000002</v>
      </c>
      <c r="AG84" s="17">
        <v>8.2733296204344305E-5</v>
      </c>
      <c r="AH84">
        <f t="shared" si="16"/>
        <v>6.8007100413155844E-2</v>
      </c>
      <c r="AJ84" s="3">
        <v>14.5</v>
      </c>
      <c r="AK84" s="3">
        <v>822.00400000000002</v>
      </c>
      <c r="AL84" s="17">
        <v>1.0637400987278599E-6</v>
      </c>
      <c r="AM84">
        <f t="shared" si="17"/>
        <v>8.743986161146958E-4</v>
      </c>
      <c r="AO84" s="3">
        <v>14.5</v>
      </c>
      <c r="AP84" s="3">
        <v>822.00400000000002</v>
      </c>
      <c r="AQ84" s="17">
        <v>1.0721357723947E-9</v>
      </c>
      <c r="AR84">
        <f t="shared" si="18"/>
        <v>8.8129989345153301E-7</v>
      </c>
      <c r="AT84" s="3">
        <v>14.5</v>
      </c>
      <c r="AU84" s="3">
        <v>822.00400000000002</v>
      </c>
      <c r="AV84" s="17">
        <v>5.5252263044675897E-5</v>
      </c>
      <c r="AW84">
        <f t="shared" si="19"/>
        <v>4.5417581231775771E-2</v>
      </c>
    </row>
    <row r="85" spans="1:49" x14ac:dyDescent="0.3">
      <c r="A85" s="3">
        <v>15</v>
      </c>
      <c r="B85" s="16">
        <v>886.05200000000002</v>
      </c>
      <c r="C85" s="17">
        <v>1.9033163122612701E-7</v>
      </c>
      <c r="D85">
        <f t="shared" si="10"/>
        <v>1.6864372251117229E-4</v>
      </c>
      <c r="F85" s="3">
        <v>15</v>
      </c>
      <c r="G85" s="3">
        <v>886.05200000000002</v>
      </c>
      <c r="H85" s="16">
        <v>1.88083446985806E-4</v>
      </c>
      <c r="I85">
        <f t="shared" si="11"/>
        <v>0.16665171436866738</v>
      </c>
      <c r="K85" s="3">
        <v>15</v>
      </c>
      <c r="L85" s="3">
        <v>886.05200000000002</v>
      </c>
      <c r="M85" s="16">
        <v>4.7107862035760702E-4</v>
      </c>
      <c r="N85">
        <f t="shared" si="12"/>
        <v>0.41740015372509842</v>
      </c>
      <c r="P85" s="3">
        <v>15</v>
      </c>
      <c r="Q85" s="3">
        <v>886.05200000000002</v>
      </c>
      <c r="R85" s="17">
        <v>4.06761016465819E-5</v>
      </c>
      <c r="S85">
        <f t="shared" si="13"/>
        <v>3.6041141216157188E-2</v>
      </c>
      <c r="U85" s="3">
        <v>15</v>
      </c>
      <c r="V85" s="3">
        <v>886.05200000000002</v>
      </c>
      <c r="W85" s="17">
        <v>9.1857801123613003E-6</v>
      </c>
      <c r="X85">
        <f t="shared" si="14"/>
        <v>8.1390788401179553E-3</v>
      </c>
      <c r="Z85" s="3">
        <v>15</v>
      </c>
      <c r="AA85" s="3">
        <v>886.05200000000002</v>
      </c>
      <c r="AB85" s="17">
        <v>1.7290653545151999E-6</v>
      </c>
      <c r="AC85">
        <f t="shared" si="15"/>
        <v>1.532041815498902E-3</v>
      </c>
      <c r="AE85" s="3">
        <v>15</v>
      </c>
      <c r="AF85" s="3">
        <v>886.05200000000002</v>
      </c>
      <c r="AG85" s="17">
        <v>8.0794234574554997E-5</v>
      </c>
      <c r="AH85">
        <f t="shared" si="16"/>
        <v>7.1587893133253602E-2</v>
      </c>
      <c r="AJ85" s="3">
        <v>15</v>
      </c>
      <c r="AK85" s="3">
        <v>886.05200000000002</v>
      </c>
      <c r="AL85" s="17">
        <v>1.10766671304221E-6</v>
      </c>
      <c r="AM85">
        <f t="shared" si="17"/>
        <v>9.8145030642447632E-4</v>
      </c>
      <c r="AO85" s="3">
        <v>15</v>
      </c>
      <c r="AP85" s="3">
        <v>886.05200000000002</v>
      </c>
      <c r="AQ85" s="17">
        <v>1.0543533807641E-9</v>
      </c>
      <c r="AR85">
        <f t="shared" si="18"/>
        <v>9.3421192173279238E-7</v>
      </c>
      <c r="AT85" s="3">
        <v>15</v>
      </c>
      <c r="AU85" s="3">
        <v>886.05200000000002</v>
      </c>
      <c r="AV85" s="17">
        <v>4.8353294822230102E-5</v>
      </c>
      <c r="AW85">
        <f t="shared" si="19"/>
        <v>4.2843533583826629E-2</v>
      </c>
    </row>
    <row r="86" spans="1:49" x14ac:dyDescent="0.3">
      <c r="A86" s="3">
        <v>15.5</v>
      </c>
      <c r="B86" s="16">
        <v>2643.61</v>
      </c>
      <c r="C86" s="17">
        <v>1.5346432498111301E-7</v>
      </c>
      <c r="D86">
        <f t="shared" si="10"/>
        <v>4.056998241633202E-4</v>
      </c>
      <c r="F86" s="3">
        <v>15.5</v>
      </c>
      <c r="G86" s="3">
        <v>2643.61</v>
      </c>
      <c r="H86" s="16">
        <v>1.76709889510875E-4</v>
      </c>
      <c r="I86">
        <f t="shared" si="11"/>
        <v>0.46715203100984426</v>
      </c>
      <c r="K86" s="3">
        <v>15.5</v>
      </c>
      <c r="L86" s="3">
        <v>2643.61</v>
      </c>
      <c r="M86" s="16">
        <v>4.4672932839963202E-4</v>
      </c>
      <c r="N86">
        <f t="shared" si="12"/>
        <v>1.1809781198505513</v>
      </c>
      <c r="P86" s="3">
        <v>15.5</v>
      </c>
      <c r="Q86" s="3">
        <v>2643.61</v>
      </c>
      <c r="R86" s="17">
        <v>3.2347366281446898E-5</v>
      </c>
      <c r="S86">
        <f t="shared" si="13"/>
        <v>8.5513820975295834E-2</v>
      </c>
      <c r="U86" s="3">
        <v>15.5</v>
      </c>
      <c r="V86" s="3">
        <v>2643.61</v>
      </c>
      <c r="W86" s="17">
        <v>8.0465025281257393E-6</v>
      </c>
      <c r="X86">
        <f t="shared" si="14"/>
        <v>2.1271814548378488E-2</v>
      </c>
      <c r="Z86" s="3">
        <v>15.5</v>
      </c>
      <c r="AA86" s="3">
        <v>2643.61</v>
      </c>
      <c r="AB86" s="17">
        <v>1.57430107419579E-6</v>
      </c>
      <c r="AC86">
        <f t="shared" si="15"/>
        <v>4.1618380627547321E-3</v>
      </c>
      <c r="AE86" s="3">
        <v>15.5</v>
      </c>
      <c r="AF86" s="3">
        <v>2643.61</v>
      </c>
      <c r="AG86" s="17">
        <v>8.0147880697958493E-5</v>
      </c>
      <c r="AH86">
        <f t="shared" si="16"/>
        <v>0.21187973889193007</v>
      </c>
      <c r="AJ86" s="3">
        <v>15.5</v>
      </c>
      <c r="AK86" s="3">
        <v>2643.61</v>
      </c>
      <c r="AL86" s="17">
        <v>1.1304358220295599E-6</v>
      </c>
      <c r="AM86">
        <f t="shared" si="17"/>
        <v>2.988431443475565E-3</v>
      </c>
      <c r="AO86" s="3">
        <v>15.5</v>
      </c>
      <c r="AP86" s="3">
        <v>2643.61</v>
      </c>
      <c r="AQ86" s="17">
        <v>1.0046331398413999E-9</v>
      </c>
      <c r="AR86">
        <f t="shared" si="18"/>
        <v>2.6558582148161235E-6</v>
      </c>
      <c r="AT86" s="3">
        <v>15.5</v>
      </c>
      <c r="AU86" s="3">
        <v>2643.61</v>
      </c>
      <c r="AV86" s="17">
        <v>4.3130878981327301E-5</v>
      </c>
      <c r="AW86">
        <f t="shared" si="19"/>
        <v>0.11402122298382666</v>
      </c>
    </row>
    <row r="87" spans="1:49" x14ac:dyDescent="0.3">
      <c r="A87" s="3">
        <v>16</v>
      </c>
      <c r="B87" s="16">
        <v>567.71900000000005</v>
      </c>
      <c r="C87" s="17">
        <v>1.19791023517669E-7</v>
      </c>
      <c r="D87">
        <f t="shared" si="10"/>
        <v>6.8007640080427532E-5</v>
      </c>
      <c r="F87" s="3">
        <v>16</v>
      </c>
      <c r="G87" s="3">
        <v>567.71900000000005</v>
      </c>
      <c r="H87" s="16">
        <v>1.57011317155144E-4</v>
      </c>
      <c r="I87">
        <f t="shared" si="11"/>
        <v>8.9138307964001212E-2</v>
      </c>
      <c r="K87" s="3">
        <v>16</v>
      </c>
      <c r="L87" s="3">
        <v>567.71900000000005</v>
      </c>
      <c r="M87" s="16">
        <v>4.1436923085741699E-4</v>
      </c>
      <c r="N87">
        <f t="shared" si="12"/>
        <v>0.23524528537314193</v>
      </c>
      <c r="P87" s="3">
        <v>16</v>
      </c>
      <c r="Q87" s="3">
        <v>567.71900000000005</v>
      </c>
      <c r="R87" s="17">
        <v>2.67948760380235E-5</v>
      </c>
      <c r="S87">
        <f t="shared" si="13"/>
        <v>1.5211960229430664E-2</v>
      </c>
      <c r="U87" s="3">
        <v>16</v>
      </c>
      <c r="V87" s="3">
        <v>567.71900000000005</v>
      </c>
      <c r="W87" s="17">
        <v>6.9937872847307403E-6</v>
      </c>
      <c r="X87">
        <f t="shared" si="14"/>
        <v>3.9705059235000516E-3</v>
      </c>
      <c r="Z87" s="3">
        <v>16</v>
      </c>
      <c r="AA87" s="3">
        <v>567.71900000000005</v>
      </c>
      <c r="AB87" s="17">
        <v>1.39303774095808E-6</v>
      </c>
      <c r="AC87">
        <f t="shared" si="15"/>
        <v>7.9085399325898027E-4</v>
      </c>
      <c r="AE87" s="3">
        <v>16</v>
      </c>
      <c r="AF87" s="3">
        <v>567.71900000000005</v>
      </c>
      <c r="AG87" s="17">
        <v>7.5300226623485197E-5</v>
      </c>
      <c r="AH87">
        <f t="shared" si="16"/>
        <v>4.2749369358458397E-2</v>
      </c>
      <c r="AJ87" s="3">
        <v>16</v>
      </c>
      <c r="AK87" s="3">
        <v>567.71900000000005</v>
      </c>
      <c r="AL87" s="17">
        <v>1.13861636468456E-6</v>
      </c>
      <c r="AM87">
        <f t="shared" si="17"/>
        <v>6.464141439423538E-4</v>
      </c>
      <c r="AO87" s="3">
        <v>16</v>
      </c>
      <c r="AP87" s="3">
        <v>567.71900000000005</v>
      </c>
      <c r="AQ87" s="17">
        <v>9.2769496504856896E-10</v>
      </c>
      <c r="AR87">
        <f t="shared" si="18"/>
        <v>5.2667005786240859E-7</v>
      </c>
      <c r="AT87" s="3">
        <v>16</v>
      </c>
      <c r="AU87" s="3">
        <v>567.71900000000005</v>
      </c>
      <c r="AV87" s="17">
        <v>3.89697566600242E-5</v>
      </c>
      <c r="AW87">
        <f t="shared" si="19"/>
        <v>2.212387128127228E-2</v>
      </c>
    </row>
    <row r="88" spans="1:49" x14ac:dyDescent="0.3">
      <c r="A88" s="3">
        <v>16.5</v>
      </c>
      <c r="B88" s="16">
        <v>500.291</v>
      </c>
      <c r="C88" s="17">
        <v>8.7030786488725806E-8</v>
      </c>
      <c r="D88">
        <f t="shared" si="10"/>
        <v>4.3540719203231122E-5</v>
      </c>
      <c r="F88" s="3">
        <v>16.5</v>
      </c>
      <c r="G88" s="3">
        <v>500.291</v>
      </c>
      <c r="H88" s="16">
        <v>1.504451263699E-4</v>
      </c>
      <c r="I88">
        <f t="shared" si="11"/>
        <v>7.5266342716723639E-2</v>
      </c>
      <c r="K88" s="3">
        <v>16.5</v>
      </c>
      <c r="L88" s="3">
        <v>500.291</v>
      </c>
      <c r="M88" s="16">
        <v>3.8132803949457802E-4</v>
      </c>
      <c r="N88">
        <f t="shared" si="12"/>
        <v>0.19077498620678193</v>
      </c>
      <c r="P88" s="3">
        <v>16.5</v>
      </c>
      <c r="Q88" s="3">
        <v>500.291</v>
      </c>
      <c r="R88" s="17">
        <v>2.40186309163119E-5</v>
      </c>
      <c r="S88">
        <f t="shared" si="13"/>
        <v>1.2016304879752597E-2</v>
      </c>
      <c r="U88" s="3">
        <v>16.5</v>
      </c>
      <c r="V88" s="3">
        <v>500.291</v>
      </c>
      <c r="W88" s="17">
        <v>6.1352131534790097E-6</v>
      </c>
      <c r="X88">
        <f t="shared" si="14"/>
        <v>3.0693919237671672E-3</v>
      </c>
      <c r="Z88" s="3">
        <v>16.5</v>
      </c>
      <c r="AA88" s="3">
        <v>500.291</v>
      </c>
      <c r="AB88" s="17">
        <v>1.2462644871520399E-6</v>
      </c>
      <c r="AC88">
        <f t="shared" si="15"/>
        <v>6.2349490654178125E-4</v>
      </c>
      <c r="AE88" s="3">
        <v>16.5</v>
      </c>
      <c r="AF88" s="3">
        <v>500.291</v>
      </c>
      <c r="AG88" s="17">
        <v>7.3684341931994107E-5</v>
      </c>
      <c r="AH88">
        <f t="shared" si="16"/>
        <v>3.686361310949926E-2</v>
      </c>
      <c r="AJ88" s="3">
        <v>16.5</v>
      </c>
      <c r="AK88" s="3">
        <v>500.291</v>
      </c>
      <c r="AL88" s="17">
        <v>1.1453772584993801E-6</v>
      </c>
      <c r="AM88">
        <f t="shared" si="17"/>
        <v>5.7302193403191339E-4</v>
      </c>
      <c r="AO88" s="3">
        <v>16.5</v>
      </c>
      <c r="AP88" s="3">
        <v>500.291</v>
      </c>
      <c r="AQ88" s="17">
        <v>8.3450389873558099E-10</v>
      </c>
      <c r="AR88">
        <f t="shared" si="18"/>
        <v>4.1749479000232254E-7</v>
      </c>
      <c r="AT88" s="3">
        <v>16.5</v>
      </c>
      <c r="AU88" s="3">
        <v>500.291</v>
      </c>
      <c r="AV88" s="17">
        <v>3.4066737496086501E-5</v>
      </c>
      <c r="AW88">
        <f t="shared" si="19"/>
        <v>1.7043282168654611E-2</v>
      </c>
    </row>
    <row r="89" spans="1:49" x14ac:dyDescent="0.3">
      <c r="A89" s="3">
        <v>17</v>
      </c>
      <c r="B89" s="16">
        <v>729.38499999999999</v>
      </c>
      <c r="C89" s="17">
        <v>6.6926653177680394E-8</v>
      </c>
      <c r="D89">
        <f t="shared" si="10"/>
        <v>4.8815296928002415E-5</v>
      </c>
      <c r="F89" s="3">
        <v>17</v>
      </c>
      <c r="G89" s="3">
        <v>729.38499999999999</v>
      </c>
      <c r="H89" s="16">
        <v>1.3738553556725199E-4</v>
      </c>
      <c r="I89">
        <f t="shared" si="11"/>
        <v>0.10020694885972009</v>
      </c>
      <c r="K89" s="3">
        <v>17</v>
      </c>
      <c r="L89" s="3">
        <v>729.38499999999999</v>
      </c>
      <c r="M89" s="16">
        <v>3.4343928372691801E-4</v>
      </c>
      <c r="N89">
        <f t="shared" si="12"/>
        <v>0.25049946196115808</v>
      </c>
      <c r="P89" s="3">
        <v>17</v>
      </c>
      <c r="Q89" s="3">
        <v>729.38499999999999</v>
      </c>
      <c r="R89" s="17">
        <v>1.9667704620781999E-5</v>
      </c>
      <c r="S89">
        <f t="shared" si="13"/>
        <v>1.4345328734829079E-2</v>
      </c>
      <c r="U89" s="3">
        <v>17</v>
      </c>
      <c r="V89" s="3">
        <v>729.38499999999999</v>
      </c>
      <c r="W89" s="17">
        <v>5.4023949318051299E-6</v>
      </c>
      <c r="X89">
        <f t="shared" si="14"/>
        <v>3.9404258273346843E-3</v>
      </c>
      <c r="Z89" s="3">
        <v>17</v>
      </c>
      <c r="AA89" s="3">
        <v>729.38499999999999</v>
      </c>
      <c r="AB89" s="17">
        <v>1.13765623827171E-6</v>
      </c>
      <c r="AC89">
        <f t="shared" si="15"/>
        <v>8.2978939535181112E-4</v>
      </c>
      <c r="AE89" s="3">
        <v>17</v>
      </c>
      <c r="AF89" s="3">
        <v>729.38499999999999</v>
      </c>
      <c r="AG89" s="17">
        <v>6.8351922450073503E-5</v>
      </c>
      <c r="AH89">
        <f t="shared" si="16"/>
        <v>4.9854866956246864E-2</v>
      </c>
      <c r="AJ89" s="3">
        <v>17</v>
      </c>
      <c r="AK89" s="3">
        <v>729.38499999999999</v>
      </c>
      <c r="AL89" s="17">
        <v>1.15233174079242E-6</v>
      </c>
      <c r="AM89">
        <f t="shared" si="17"/>
        <v>8.4049348675787922E-4</v>
      </c>
      <c r="AO89" s="3">
        <v>17</v>
      </c>
      <c r="AP89" s="3">
        <v>729.38499999999999</v>
      </c>
      <c r="AQ89" s="17">
        <v>7.3819869300284E-10</v>
      </c>
      <c r="AR89">
        <f t="shared" si="18"/>
        <v>5.3843105369587642E-7</v>
      </c>
      <c r="AT89" s="3">
        <v>17</v>
      </c>
      <c r="AU89" s="3">
        <v>729.38499999999999</v>
      </c>
      <c r="AV89" s="17">
        <v>3.0845874164164903E-5</v>
      </c>
      <c r="AW89">
        <f t="shared" si="19"/>
        <v>2.2498517927229417E-2</v>
      </c>
    </row>
    <row r="90" spans="1:49" x14ac:dyDescent="0.3">
      <c r="A90" s="3">
        <v>17.5</v>
      </c>
      <c r="B90" s="16">
        <v>639.52700000000004</v>
      </c>
      <c r="C90" s="17">
        <v>5.2913430029365597E-8</v>
      </c>
      <c r="D90">
        <f t="shared" si="10"/>
        <v>3.3839567166390092E-5</v>
      </c>
      <c r="F90" s="3">
        <v>17.5</v>
      </c>
      <c r="G90" s="3">
        <v>639.52700000000004</v>
      </c>
      <c r="H90" s="16">
        <v>1.21185898681657E-4</v>
      </c>
      <c r="I90">
        <f t="shared" si="11"/>
        <v>7.7501654226184061E-2</v>
      </c>
      <c r="K90" s="3">
        <v>17.5</v>
      </c>
      <c r="L90" s="3">
        <v>639.52700000000004</v>
      </c>
      <c r="M90" s="16">
        <v>3.0416178792926898E-4</v>
      </c>
      <c r="N90">
        <f t="shared" si="12"/>
        <v>0.19451967574904161</v>
      </c>
      <c r="P90" s="3">
        <v>17.5</v>
      </c>
      <c r="Q90" s="3">
        <v>639.52700000000004</v>
      </c>
      <c r="R90" s="17">
        <v>1.6767087090428701E-5</v>
      </c>
      <c r="S90">
        <f t="shared" si="13"/>
        <v>1.0723004905680596E-2</v>
      </c>
      <c r="U90" s="3">
        <v>17.5</v>
      </c>
      <c r="V90" s="3">
        <v>639.52700000000004</v>
      </c>
      <c r="W90" s="17">
        <v>4.7546524161334396E-6</v>
      </c>
      <c r="X90">
        <f t="shared" si="14"/>
        <v>3.0407285957325704E-3</v>
      </c>
      <c r="Z90" s="3">
        <v>17.5</v>
      </c>
      <c r="AA90" s="3">
        <v>639.52700000000004</v>
      </c>
      <c r="AB90" s="17">
        <v>1.0043003353911701E-6</v>
      </c>
      <c r="AC90">
        <f t="shared" si="15"/>
        <v>6.4227718059170892E-4</v>
      </c>
      <c r="AE90" s="3">
        <v>17.5</v>
      </c>
      <c r="AF90" s="3">
        <v>639.52700000000004</v>
      </c>
      <c r="AG90" s="17">
        <v>6.4796976128793105E-5</v>
      </c>
      <c r="AH90">
        <f t="shared" si="16"/>
        <v>4.1439415752718672E-2</v>
      </c>
      <c r="AJ90" s="3">
        <v>17.5</v>
      </c>
      <c r="AK90" s="3">
        <v>639.52700000000004</v>
      </c>
      <c r="AL90" s="17">
        <v>1.1613135927179701E-6</v>
      </c>
      <c r="AM90">
        <f t="shared" si="17"/>
        <v>7.4269139801014532E-4</v>
      </c>
      <c r="AO90" s="3">
        <v>17.5</v>
      </c>
      <c r="AP90" s="3">
        <v>639.52700000000004</v>
      </c>
      <c r="AQ90" s="17">
        <v>6.5009483044194997E-10</v>
      </c>
      <c r="AR90">
        <f t="shared" si="18"/>
        <v>4.1575319662804899E-7</v>
      </c>
      <c r="AT90" s="3">
        <v>17.5</v>
      </c>
      <c r="AU90" s="3">
        <v>639.52700000000004</v>
      </c>
      <c r="AV90" s="17">
        <v>2.8048631688007501E-5</v>
      </c>
      <c r="AW90">
        <f t="shared" si="19"/>
        <v>1.7937857277536374E-2</v>
      </c>
    </row>
    <row r="91" spans="1:49" x14ac:dyDescent="0.3">
      <c r="A91" s="3">
        <v>18</v>
      </c>
      <c r="B91" s="16">
        <v>1060.27</v>
      </c>
      <c r="C91" s="17">
        <v>4.3191834685639601E-8</v>
      </c>
      <c r="D91">
        <f t="shared" si="10"/>
        <v>4.57950065621431E-5</v>
      </c>
      <c r="F91" s="3">
        <v>18</v>
      </c>
      <c r="G91" s="3">
        <v>1060.27</v>
      </c>
      <c r="H91" s="16">
        <v>1.10386140757927E-4</v>
      </c>
      <c r="I91">
        <f t="shared" si="11"/>
        <v>0.11703911346140726</v>
      </c>
      <c r="K91" s="3">
        <v>18</v>
      </c>
      <c r="L91" s="3">
        <v>1060.27</v>
      </c>
      <c r="M91" s="16">
        <v>2.7219843150372601E-4</v>
      </c>
      <c r="N91">
        <f t="shared" si="12"/>
        <v>0.28860383097045555</v>
      </c>
      <c r="P91" s="3">
        <v>18</v>
      </c>
      <c r="Q91" s="3">
        <v>1060.27</v>
      </c>
      <c r="R91" s="17">
        <v>1.5316778325252E-5</v>
      </c>
      <c r="S91">
        <f t="shared" si="13"/>
        <v>1.6239920554914938E-2</v>
      </c>
      <c r="U91" s="3">
        <v>18</v>
      </c>
      <c r="V91" s="3">
        <v>1060.27</v>
      </c>
      <c r="W91" s="17">
        <v>4.2680343214440298E-6</v>
      </c>
      <c r="X91">
        <f t="shared" si="14"/>
        <v>4.5252687499974615E-3</v>
      </c>
      <c r="Z91" s="3">
        <v>18</v>
      </c>
      <c r="AA91" s="3">
        <v>1060.27</v>
      </c>
      <c r="AB91" s="17">
        <v>8.9017969826979599E-7</v>
      </c>
      <c r="AC91">
        <f t="shared" si="15"/>
        <v>9.4383082868451662E-4</v>
      </c>
      <c r="AE91" s="3">
        <v>18</v>
      </c>
      <c r="AF91" s="3">
        <v>1060.27</v>
      </c>
      <c r="AG91" s="17">
        <v>6.1242029807512694E-5</v>
      </c>
      <c r="AH91">
        <f t="shared" si="16"/>
        <v>6.4933086944011481E-2</v>
      </c>
      <c r="AJ91" s="3">
        <v>18</v>
      </c>
      <c r="AK91" s="3">
        <v>1060.27</v>
      </c>
      <c r="AL91" s="17">
        <v>1.1705927704075199E-6</v>
      </c>
      <c r="AM91">
        <f t="shared" si="17"/>
        <v>1.2411443966799812E-3</v>
      </c>
      <c r="AO91" s="3">
        <v>18</v>
      </c>
      <c r="AP91" s="3">
        <v>1060.27</v>
      </c>
      <c r="AQ91" s="17">
        <v>5.7672477447276596E-10</v>
      </c>
      <c r="AR91">
        <f t="shared" si="18"/>
        <v>6.1148397663023951E-7</v>
      </c>
      <c r="AT91" s="3">
        <v>18</v>
      </c>
      <c r="AU91" s="3">
        <v>1060.27</v>
      </c>
      <c r="AV91" s="17">
        <v>2.48322511164644E-5</v>
      </c>
      <c r="AW91">
        <f t="shared" si="19"/>
        <v>2.632889089125371E-2</v>
      </c>
    </row>
    <row r="92" spans="1:49" x14ac:dyDescent="0.3">
      <c r="A92" s="3">
        <v>18.5</v>
      </c>
      <c r="B92" s="16">
        <v>493.12900000000002</v>
      </c>
      <c r="C92" s="17">
        <v>3.5325658022427201E-8</v>
      </c>
      <c r="D92">
        <f t="shared" si="10"/>
        <v>1.7420106414941504E-5</v>
      </c>
      <c r="F92" s="3">
        <v>18.5</v>
      </c>
      <c r="G92" s="3">
        <v>493.12900000000002</v>
      </c>
      <c r="H92" s="16">
        <v>1.04986261796062E-4</v>
      </c>
      <c r="I92">
        <f t="shared" si="11"/>
        <v>5.1771770293230261E-2</v>
      </c>
      <c r="K92" s="3">
        <v>18.5</v>
      </c>
      <c r="L92" s="3">
        <v>493.12900000000002</v>
      </c>
      <c r="M92" s="16">
        <v>2.5058190638506498E-4</v>
      </c>
      <c r="N92">
        <f t="shared" si="12"/>
        <v>0.12356920491376071</v>
      </c>
      <c r="P92" s="3">
        <v>18.5</v>
      </c>
      <c r="Q92" s="3">
        <v>493.12900000000002</v>
      </c>
      <c r="R92" s="17">
        <v>1.3481041573702001E-5</v>
      </c>
      <c r="S92">
        <f t="shared" si="13"/>
        <v>6.6478925501980944E-3</v>
      </c>
      <c r="U92" s="3">
        <v>18.5</v>
      </c>
      <c r="V92" s="3">
        <v>493.12900000000002</v>
      </c>
      <c r="W92" s="17">
        <v>3.8426805257389101E-6</v>
      </c>
      <c r="X92">
        <f t="shared" si="14"/>
        <v>1.894937204977103E-3</v>
      </c>
      <c r="Z92" s="3">
        <v>18.5</v>
      </c>
      <c r="AA92" s="3">
        <v>493.12900000000002</v>
      </c>
      <c r="AB92" s="17">
        <v>7.9084052376198496E-7</v>
      </c>
      <c r="AC92">
        <f t="shared" si="15"/>
        <v>3.8998639664222388E-4</v>
      </c>
      <c r="AE92" s="3">
        <v>18.5</v>
      </c>
      <c r="AF92" s="3">
        <v>493.12900000000002</v>
      </c>
      <c r="AG92" s="17">
        <v>5.94645566468724E-5</v>
      </c>
      <c r="AH92">
        <f t="shared" si="16"/>
        <v>2.9323697354715541E-2</v>
      </c>
      <c r="AJ92" s="3">
        <v>18.5</v>
      </c>
      <c r="AK92" s="3">
        <v>493.12900000000002</v>
      </c>
      <c r="AL92" s="17">
        <v>1.1763220091676E-6</v>
      </c>
      <c r="AM92">
        <f t="shared" si="17"/>
        <v>5.8007849605880952E-4</v>
      </c>
      <c r="AO92" s="3">
        <v>18.5</v>
      </c>
      <c r="AP92" s="3">
        <v>493.12900000000002</v>
      </c>
      <c r="AQ92" s="17">
        <v>5.3055258783192203E-10</v>
      </c>
      <c r="AR92">
        <f t="shared" si="18"/>
        <v>2.616308670849679E-7</v>
      </c>
      <c r="AT92" s="3">
        <v>18.5</v>
      </c>
      <c r="AU92" s="3">
        <v>493.12900000000002</v>
      </c>
      <c r="AV92" s="17">
        <v>2.27724227225632E-5</v>
      </c>
      <c r="AW92">
        <f t="shared" si="19"/>
        <v>1.1229742044754869E-2</v>
      </c>
    </row>
    <row r="93" spans="1:49" x14ac:dyDescent="0.3">
      <c r="A93" s="3">
        <v>19</v>
      </c>
      <c r="B93" s="16">
        <v>326.56400000000002</v>
      </c>
      <c r="C93" s="17">
        <v>2.9026948118602899E-8</v>
      </c>
      <c r="D93">
        <f t="shared" si="10"/>
        <v>9.4791562854034371E-6</v>
      </c>
      <c r="F93" s="3">
        <v>19</v>
      </c>
      <c r="G93" s="3">
        <v>326.56400000000002</v>
      </c>
      <c r="H93" s="17">
        <v>9.3704036133609704E-5</v>
      </c>
      <c r="I93">
        <f t="shared" si="11"/>
        <v>3.0600364855936122E-2</v>
      </c>
      <c r="K93" s="3">
        <v>19</v>
      </c>
      <c r="L93" s="3">
        <v>326.56400000000002</v>
      </c>
      <c r="M93" s="16">
        <v>2.2613116426256101E-4</v>
      </c>
      <c r="N93">
        <f t="shared" si="12"/>
        <v>7.3846297526238974E-2</v>
      </c>
      <c r="P93" s="3">
        <v>19</v>
      </c>
      <c r="Q93" s="3">
        <v>326.56400000000002</v>
      </c>
      <c r="R93" s="17">
        <v>1.22572170726687E-5</v>
      </c>
      <c r="S93">
        <f t="shared" si="13"/>
        <v>4.0027658361189815E-3</v>
      </c>
      <c r="U93" s="3">
        <v>19</v>
      </c>
      <c r="V93" s="3">
        <v>326.56400000000002</v>
      </c>
      <c r="W93" s="17">
        <v>3.5313786752843901E-6</v>
      </c>
      <c r="X93">
        <f t="shared" si="14"/>
        <v>1.1532211457155716E-3</v>
      </c>
      <c r="Z93" s="3">
        <v>19</v>
      </c>
      <c r="AA93" s="3">
        <v>326.56400000000002</v>
      </c>
      <c r="AB93" s="17">
        <v>7.2379680104889498E-7</v>
      </c>
      <c r="AC93">
        <f t="shared" si="15"/>
        <v>2.3636597853773136E-4</v>
      </c>
      <c r="AE93" s="3">
        <v>19</v>
      </c>
      <c r="AF93" s="3">
        <v>326.56400000000002</v>
      </c>
      <c r="AG93" s="17">
        <v>5.4616902572399103E-5</v>
      </c>
      <c r="AH93">
        <f t="shared" si="16"/>
        <v>1.7835914171652943E-2</v>
      </c>
      <c r="AJ93" s="3">
        <v>19</v>
      </c>
      <c r="AK93" s="3">
        <v>326.56400000000002</v>
      </c>
      <c r="AL93" s="17">
        <v>1.1821811237421799E-6</v>
      </c>
      <c r="AM93">
        <f t="shared" si="17"/>
        <v>3.8605779649374128E-4</v>
      </c>
      <c r="AO93" s="3">
        <v>19</v>
      </c>
      <c r="AP93" s="3">
        <v>326.56400000000002</v>
      </c>
      <c r="AQ93" s="17">
        <v>4.7759552277202397E-10</v>
      </c>
      <c r="AR93">
        <f t="shared" si="18"/>
        <v>1.5596550429852325E-7</v>
      </c>
      <c r="AT93" s="3">
        <v>19</v>
      </c>
      <c r="AU93" s="3">
        <v>326.56400000000002</v>
      </c>
      <c r="AV93" s="17">
        <v>2.1029525487419002E-5</v>
      </c>
      <c r="AW93">
        <f t="shared" si="19"/>
        <v>6.8674859612734996E-3</v>
      </c>
    </row>
    <row r="94" spans="1:49" x14ac:dyDescent="0.3">
      <c r="A94" s="3">
        <v>19.5</v>
      </c>
      <c r="B94" s="16">
        <v>498.38600000000002</v>
      </c>
      <c r="C94" s="17">
        <v>2.4278661462279001E-8</v>
      </c>
      <c r="D94">
        <f t="shared" si="10"/>
        <v>1.2100144971539382E-5</v>
      </c>
      <c r="F94" s="3">
        <v>19.5</v>
      </c>
      <c r="G94" s="3">
        <v>498.38600000000002</v>
      </c>
      <c r="H94" s="17">
        <v>8.9943294246125501E-5</v>
      </c>
      <c r="I94">
        <f t="shared" si="11"/>
        <v>4.4826478646149505E-2</v>
      </c>
      <c r="K94" s="3">
        <v>19.5</v>
      </c>
      <c r="L94" s="3">
        <v>498.38600000000002</v>
      </c>
      <c r="M94" s="16">
        <v>1.97418680249089E-4</v>
      </c>
      <c r="N94">
        <f t="shared" si="12"/>
        <v>9.839070637462248E-2</v>
      </c>
      <c r="P94" s="3">
        <v>19.5</v>
      </c>
      <c r="Q94" s="3">
        <v>498.38600000000002</v>
      </c>
      <c r="R94" s="17">
        <v>1.10333925716353E-5</v>
      </c>
      <c r="S94">
        <f t="shared" si="13"/>
        <v>5.4988883902070311E-3</v>
      </c>
      <c r="U94" s="3">
        <v>19.5</v>
      </c>
      <c r="V94" s="3">
        <v>498.38600000000002</v>
      </c>
      <c r="W94" s="17">
        <v>3.2124298019524E-6</v>
      </c>
      <c r="X94">
        <f t="shared" si="14"/>
        <v>1.6010300392758489E-3</v>
      </c>
      <c r="Z94" s="3">
        <v>19.5</v>
      </c>
      <c r="AA94" s="3">
        <v>498.38600000000002</v>
      </c>
      <c r="AB94" s="17">
        <v>6.3954031255580702E-7</v>
      </c>
      <c r="AC94">
        <f t="shared" si="15"/>
        <v>3.1873793821343845E-4</v>
      </c>
      <c r="AE94" s="3">
        <v>19.5</v>
      </c>
      <c r="AF94" s="3">
        <v>498.38600000000002</v>
      </c>
      <c r="AG94" s="17">
        <v>5.3001017880908E-5</v>
      </c>
      <c r="AH94">
        <f t="shared" si="16"/>
        <v>2.6414965297594215E-2</v>
      </c>
      <c r="AJ94" s="3">
        <v>19.5</v>
      </c>
      <c r="AK94" s="3">
        <v>498.38600000000002</v>
      </c>
      <c r="AL94" s="17">
        <v>1.19018196401235E-6</v>
      </c>
      <c r="AM94">
        <f t="shared" si="17"/>
        <v>5.9317002831625913E-4</v>
      </c>
      <c r="AO94" s="3">
        <v>19.5</v>
      </c>
      <c r="AP94" s="3">
        <v>498.38600000000002</v>
      </c>
      <c r="AQ94" s="17">
        <v>4.31145802163611E-10</v>
      </c>
      <c r="AR94">
        <f t="shared" si="18"/>
        <v>2.1487703175711344E-7</v>
      </c>
      <c r="AT94" s="3">
        <v>19.5</v>
      </c>
      <c r="AU94" s="3">
        <v>498.38600000000002</v>
      </c>
      <c r="AV94" s="17">
        <v>1.9076835066562999E-5</v>
      </c>
      <c r="AW94">
        <f t="shared" si="19"/>
        <v>9.5076275214840671E-3</v>
      </c>
    </row>
    <row r="95" spans="1:49" x14ac:dyDescent="0.3">
      <c r="A95" s="3">
        <v>20</v>
      </c>
      <c r="B95" s="16">
        <v>83.719899999999996</v>
      </c>
      <c r="C95" s="17">
        <v>2.0095671147800299E-8</v>
      </c>
      <c r="D95">
        <f t="shared" si="10"/>
        <v>1.6824075789267262E-6</v>
      </c>
      <c r="F95" s="3">
        <v>20</v>
      </c>
      <c r="G95" s="3">
        <v>83.719899999999996</v>
      </c>
      <c r="H95" s="17">
        <v>8.1791414953452204E-5</v>
      </c>
      <c r="I95">
        <f t="shared" si="11"/>
        <v>6.8475690807615229E-3</v>
      </c>
      <c r="K95" s="3">
        <v>20</v>
      </c>
      <c r="L95" s="3">
        <v>83.719899999999996</v>
      </c>
      <c r="M95" s="16">
        <v>1.7248694744941199E-4</v>
      </c>
      <c r="N95">
        <f t="shared" si="12"/>
        <v>1.4440589991770026E-2</v>
      </c>
      <c r="P95" s="3">
        <v>20</v>
      </c>
      <c r="Q95" s="3">
        <v>83.719899999999996</v>
      </c>
      <c r="R95" s="17">
        <v>9.8095680706019894E-6</v>
      </c>
      <c r="S95">
        <f t="shared" si="13"/>
        <v>8.2125605791399145E-4</v>
      </c>
      <c r="U95" s="3">
        <v>20</v>
      </c>
      <c r="V95" s="3">
        <v>83.719899999999996</v>
      </c>
      <c r="W95" s="17">
        <v>2.97413743865242E-6</v>
      </c>
      <c r="X95">
        <f t="shared" si="14"/>
        <v>2.4899448895023674E-4</v>
      </c>
      <c r="Z95" s="3">
        <v>20</v>
      </c>
      <c r="AA95" s="3">
        <v>83.719899999999996</v>
      </c>
      <c r="AB95" s="17">
        <v>5.2021281378597395E-7</v>
      </c>
      <c r="AC95">
        <f t="shared" si="15"/>
        <v>4.3552164748880356E-5</v>
      </c>
      <c r="AE95" s="3">
        <v>20</v>
      </c>
      <c r="AF95" s="3">
        <v>83.719899999999996</v>
      </c>
      <c r="AG95" s="17">
        <v>5.0092425436224099E-5</v>
      </c>
      <c r="AH95">
        <f t="shared" si="16"/>
        <v>4.1937328482781373E-3</v>
      </c>
      <c r="AJ95" s="3">
        <v>20</v>
      </c>
      <c r="AK95" s="3">
        <v>83.719899999999996</v>
      </c>
      <c r="AL95" s="17">
        <v>1.1984082490925801E-6</v>
      </c>
      <c r="AM95">
        <f t="shared" si="17"/>
        <v>1.0033061877320589E-4</v>
      </c>
      <c r="AO95" s="3">
        <v>20</v>
      </c>
      <c r="AP95" s="3">
        <v>83.719899999999996</v>
      </c>
      <c r="AQ95" s="17">
        <v>3.8357583683180402E-10</v>
      </c>
      <c r="AR95">
        <f t="shared" si="18"/>
        <v>3.211293070197495E-8</v>
      </c>
      <c r="AT95" s="3">
        <v>20</v>
      </c>
      <c r="AU95" s="3">
        <v>83.719899999999996</v>
      </c>
      <c r="AV95" s="17">
        <v>1.78626794180578E-5</v>
      </c>
      <c r="AW95">
        <f t="shared" si="19"/>
        <v>1.4954617346118573E-3</v>
      </c>
    </row>
    <row r="96" spans="1:49" x14ac:dyDescent="0.3">
      <c r="A96" s="3">
        <v>20.5</v>
      </c>
      <c r="B96" s="16">
        <v>83.938599999999994</v>
      </c>
      <c r="C96" s="17">
        <v>1.6374714946498399E-8</v>
      </c>
      <c r="D96">
        <f t="shared" si="10"/>
        <v>1.3744706480081503E-6</v>
      </c>
      <c r="F96" s="3">
        <v>20.5</v>
      </c>
      <c r="G96" s="3">
        <v>83.938599999999994</v>
      </c>
      <c r="H96" s="17">
        <v>7.9074121855894497E-5</v>
      </c>
      <c r="I96">
        <f t="shared" si="11"/>
        <v>6.6373710848131855E-3</v>
      </c>
      <c r="K96" s="3">
        <v>20.5</v>
      </c>
      <c r="L96" s="3">
        <v>83.938599999999994</v>
      </c>
      <c r="M96" s="16">
        <v>1.6270017949938099E-4</v>
      </c>
      <c r="N96">
        <f t="shared" si="12"/>
        <v>1.365682528692674E-2</v>
      </c>
      <c r="P96" s="3">
        <v>20.5</v>
      </c>
      <c r="Q96" s="3">
        <v>83.938599999999994</v>
      </c>
      <c r="R96" s="17">
        <v>4.5988279100426597E-6</v>
      </c>
      <c r="S96">
        <f t="shared" si="13"/>
        <v>3.8601917640990679E-4</v>
      </c>
      <c r="U96" s="3">
        <v>20.5</v>
      </c>
      <c r="V96" s="3">
        <v>83.938599999999994</v>
      </c>
      <c r="W96" s="17">
        <v>2.8343597541743501E-6</v>
      </c>
      <c r="X96">
        <f t="shared" si="14"/>
        <v>2.3791218966173909E-4</v>
      </c>
      <c r="Z96" s="3">
        <v>20.5</v>
      </c>
      <c r="AA96" s="3">
        <v>83.938599999999994</v>
      </c>
      <c r="AB96" s="17">
        <v>2.39730795400915E-7</v>
      </c>
      <c r="AC96">
        <f t="shared" si="15"/>
        <v>2.0122667342839241E-5</v>
      </c>
      <c r="AE96" s="3">
        <v>20.5</v>
      </c>
      <c r="AF96" s="3">
        <v>83.938599999999994</v>
      </c>
      <c r="AG96" s="17">
        <v>4.9122894621329398E-5</v>
      </c>
      <c r="AH96">
        <f t="shared" si="16"/>
        <v>4.1233070024619192E-3</v>
      </c>
      <c r="AJ96" s="3">
        <v>20.5</v>
      </c>
      <c r="AK96" s="3">
        <v>83.938599999999994</v>
      </c>
      <c r="AL96" s="17">
        <v>1.2027480616863001E-6</v>
      </c>
      <c r="AM96">
        <f t="shared" si="17"/>
        <v>1.0095698845066167E-4</v>
      </c>
      <c r="AO96" s="3">
        <v>20.5</v>
      </c>
      <c r="AP96" s="3">
        <v>83.938599999999994</v>
      </c>
      <c r="AQ96" s="17">
        <v>3.5537948851087298E-10</v>
      </c>
      <c r="AR96">
        <f t="shared" si="18"/>
        <v>2.9830056734318764E-8</v>
      </c>
      <c r="AT96" s="3">
        <v>20.5</v>
      </c>
      <c r="AU96" s="3">
        <v>83.938599999999994</v>
      </c>
      <c r="AV96" s="17">
        <v>1.71723343197754E-5</v>
      </c>
      <c r="AW96">
        <f t="shared" si="19"/>
        <v>1.4414217015338994E-3</v>
      </c>
    </row>
    <row r="97" spans="1:49" x14ac:dyDescent="0.3">
      <c r="A97" s="3">
        <v>21</v>
      </c>
      <c r="B97" s="16">
        <v>0</v>
      </c>
      <c r="C97" s="17">
        <v>1.4173384485901E-8</v>
      </c>
      <c r="D97">
        <f t="shared" si="10"/>
        <v>0</v>
      </c>
      <c r="F97" s="3">
        <v>21</v>
      </c>
      <c r="G97" s="3">
        <v>0</v>
      </c>
      <c r="H97" s="17">
        <v>6.9077794893465994E-5</v>
      </c>
      <c r="I97">
        <f t="shared" si="11"/>
        <v>0</v>
      </c>
      <c r="K97" s="3">
        <v>21</v>
      </c>
      <c r="L97" s="3">
        <v>0</v>
      </c>
      <c r="M97" s="16">
        <v>0</v>
      </c>
      <c r="N97">
        <f t="shared" si="12"/>
        <v>0</v>
      </c>
      <c r="P97" s="3">
        <v>21</v>
      </c>
      <c r="Q97" s="3">
        <v>0</v>
      </c>
      <c r="R97" s="16">
        <v>0</v>
      </c>
      <c r="S97">
        <f t="shared" si="13"/>
        <v>0</v>
      </c>
      <c r="U97" s="3">
        <v>21</v>
      </c>
      <c r="V97" s="3">
        <v>0</v>
      </c>
      <c r="W97" s="17">
        <v>2.7096385630559398E-6</v>
      </c>
      <c r="X97">
        <f t="shared" si="14"/>
        <v>0</v>
      </c>
      <c r="Z97" s="3">
        <v>21</v>
      </c>
      <c r="AA97" s="3">
        <v>0</v>
      </c>
      <c r="AB97" s="16">
        <v>0</v>
      </c>
      <c r="AC97">
        <f t="shared" si="15"/>
        <v>0</v>
      </c>
      <c r="AE97" s="3">
        <v>21</v>
      </c>
      <c r="AF97" s="3">
        <v>0</v>
      </c>
      <c r="AG97" s="16">
        <v>0</v>
      </c>
      <c r="AH97">
        <f t="shared" si="16"/>
        <v>0</v>
      </c>
      <c r="AJ97" s="3">
        <v>21</v>
      </c>
      <c r="AK97" s="3">
        <v>0</v>
      </c>
      <c r="AL97" s="16">
        <v>0</v>
      </c>
      <c r="AM97">
        <f t="shared" si="17"/>
        <v>0</v>
      </c>
      <c r="AO97" s="3">
        <v>21</v>
      </c>
      <c r="AP97" s="3">
        <v>0</v>
      </c>
      <c r="AQ97" s="16">
        <v>0</v>
      </c>
      <c r="AR97">
        <f t="shared" si="18"/>
        <v>0</v>
      </c>
      <c r="AT97" s="3">
        <v>21</v>
      </c>
      <c r="AU97" s="3">
        <v>0</v>
      </c>
      <c r="AV97" s="16">
        <v>0</v>
      </c>
      <c r="AW97">
        <f t="shared" si="19"/>
        <v>0</v>
      </c>
    </row>
    <row r="98" spans="1:49" x14ac:dyDescent="0.3">
      <c r="A98" s="3">
        <v>21.5</v>
      </c>
      <c r="B98" s="16">
        <v>0</v>
      </c>
      <c r="C98" s="17">
        <v>1.18327858879546E-8</v>
      </c>
      <c r="D98">
        <f t="shared" si="10"/>
        <v>0</v>
      </c>
      <c r="F98" s="3">
        <v>21.5</v>
      </c>
      <c r="G98" s="3">
        <v>0</v>
      </c>
      <c r="H98" s="17">
        <v>6.5745685905989803E-5</v>
      </c>
      <c r="I98">
        <f t="shared" si="11"/>
        <v>0</v>
      </c>
      <c r="K98" s="3">
        <v>21.5</v>
      </c>
      <c r="L98" s="3">
        <v>0</v>
      </c>
      <c r="M98" s="16">
        <v>0</v>
      </c>
      <c r="N98">
        <f t="shared" si="12"/>
        <v>0</v>
      </c>
      <c r="P98" s="3">
        <v>21.5</v>
      </c>
      <c r="Q98" s="3">
        <v>0</v>
      </c>
      <c r="R98" s="16">
        <v>0</v>
      </c>
      <c r="S98">
        <f t="shared" si="13"/>
        <v>0</v>
      </c>
      <c r="U98" s="3">
        <v>21.5</v>
      </c>
      <c r="V98" s="3">
        <v>0</v>
      </c>
      <c r="W98" s="17">
        <v>2.6680648326831302E-6</v>
      </c>
      <c r="X98">
        <f t="shared" si="14"/>
        <v>0</v>
      </c>
      <c r="Z98" s="3">
        <v>21.5</v>
      </c>
      <c r="AA98" s="3">
        <v>0</v>
      </c>
      <c r="AB98" s="16">
        <v>0</v>
      </c>
      <c r="AC98">
        <f t="shared" si="15"/>
        <v>0</v>
      </c>
      <c r="AE98" s="3">
        <v>21.5</v>
      </c>
      <c r="AF98" s="3">
        <v>0</v>
      </c>
      <c r="AG98" s="16">
        <v>0</v>
      </c>
      <c r="AH98">
        <f t="shared" si="16"/>
        <v>0</v>
      </c>
      <c r="AJ98" s="3">
        <v>21.5</v>
      </c>
      <c r="AK98" s="3">
        <v>0</v>
      </c>
      <c r="AL98" s="16">
        <v>0</v>
      </c>
      <c r="AM98">
        <f t="shared" si="17"/>
        <v>0</v>
      </c>
      <c r="AO98" s="3">
        <v>21.5</v>
      </c>
      <c r="AP98" s="3">
        <v>0</v>
      </c>
      <c r="AQ98" s="16">
        <v>0</v>
      </c>
      <c r="AR98">
        <f t="shared" si="18"/>
        <v>0</v>
      </c>
      <c r="AT98" s="3">
        <v>21.5</v>
      </c>
      <c r="AU98" s="3">
        <v>0</v>
      </c>
      <c r="AV98" s="16">
        <v>0</v>
      </c>
      <c r="AW98">
        <f t="shared" si="19"/>
        <v>0</v>
      </c>
    </row>
    <row r="99" spans="1:49" x14ac:dyDescent="0.3">
      <c r="A99" s="3">
        <v>22</v>
      </c>
      <c r="B99" s="16">
        <v>248.773</v>
      </c>
      <c r="C99" s="17">
        <v>1.03109194617711E-8</v>
      </c>
      <c r="D99">
        <f t="shared" si="10"/>
        <v>2.5650783672631818E-6</v>
      </c>
      <c r="F99" s="3">
        <v>22</v>
      </c>
      <c r="G99" s="3">
        <v>248.773</v>
      </c>
      <c r="H99" s="17">
        <v>6.2788389286168604E-5</v>
      </c>
      <c r="I99">
        <f t="shared" si="11"/>
        <v>1.5620055967888022E-2</v>
      </c>
      <c r="K99" s="3">
        <v>22</v>
      </c>
      <c r="L99" s="3">
        <v>248.773</v>
      </c>
      <c r="M99" s="16">
        <v>0</v>
      </c>
      <c r="N99">
        <f t="shared" si="12"/>
        <v>0</v>
      </c>
      <c r="P99" s="3">
        <v>22</v>
      </c>
      <c r="Q99" s="3">
        <v>248.773</v>
      </c>
      <c r="R99" s="16">
        <v>0</v>
      </c>
      <c r="S99">
        <f t="shared" si="13"/>
        <v>0</v>
      </c>
      <c r="U99" s="3">
        <v>22</v>
      </c>
      <c r="V99" s="3">
        <v>248.773</v>
      </c>
      <c r="W99" s="17">
        <v>2.3684821478479702E-6</v>
      </c>
      <c r="X99">
        <f t="shared" si="14"/>
        <v>5.8921440936658307E-4</v>
      </c>
      <c r="Z99" s="3">
        <v>22</v>
      </c>
      <c r="AA99" s="3">
        <v>248.773</v>
      </c>
      <c r="AB99" s="16">
        <v>0</v>
      </c>
      <c r="AC99">
        <f t="shared" si="15"/>
        <v>0</v>
      </c>
      <c r="AE99" s="3">
        <v>22</v>
      </c>
      <c r="AF99" s="3">
        <v>248.773</v>
      </c>
      <c r="AG99" s="16">
        <v>0</v>
      </c>
      <c r="AH99">
        <f t="shared" si="16"/>
        <v>0</v>
      </c>
      <c r="AJ99" s="3">
        <v>22</v>
      </c>
      <c r="AK99" s="3">
        <v>248.773</v>
      </c>
      <c r="AL99" s="16">
        <v>0</v>
      </c>
      <c r="AM99">
        <f t="shared" si="17"/>
        <v>0</v>
      </c>
      <c r="AO99" s="3">
        <v>22</v>
      </c>
      <c r="AP99" s="3">
        <v>248.773</v>
      </c>
      <c r="AQ99" s="16">
        <v>0</v>
      </c>
      <c r="AR99">
        <f t="shared" si="18"/>
        <v>0</v>
      </c>
      <c r="AT99" s="3">
        <v>22</v>
      </c>
      <c r="AU99" s="3">
        <v>248.773</v>
      </c>
      <c r="AV99" s="16">
        <v>0</v>
      </c>
      <c r="AW99">
        <f t="shared" si="19"/>
        <v>0</v>
      </c>
    </row>
    <row r="100" spans="1:49" x14ac:dyDescent="0.3">
      <c r="A100" s="3">
        <v>22.5</v>
      </c>
      <c r="B100" s="16">
        <v>248.86199999999999</v>
      </c>
      <c r="C100" s="17">
        <v>8.7649358703395206E-9</v>
      </c>
      <c r="D100">
        <f t="shared" si="10"/>
        <v>2.1812594705644339E-6</v>
      </c>
      <c r="F100" s="3">
        <v>22.5</v>
      </c>
      <c r="G100" s="3">
        <v>248.86199999999999</v>
      </c>
      <c r="H100" s="17">
        <v>6.18026237462282E-5</v>
      </c>
      <c r="I100">
        <f t="shared" si="11"/>
        <v>1.5380324550733841E-2</v>
      </c>
      <c r="K100" s="3">
        <v>22.5</v>
      </c>
      <c r="L100" s="3">
        <v>248.86199999999999</v>
      </c>
      <c r="M100" s="16">
        <v>0</v>
      </c>
      <c r="N100">
        <f t="shared" si="12"/>
        <v>0</v>
      </c>
      <c r="P100" s="3">
        <v>22.5</v>
      </c>
      <c r="Q100" s="3">
        <v>248.86199999999999</v>
      </c>
      <c r="R100" s="16">
        <v>0</v>
      </c>
      <c r="S100">
        <f t="shared" si="13"/>
        <v>0</v>
      </c>
      <c r="U100" s="3">
        <v>22.5</v>
      </c>
      <c r="V100" s="3">
        <v>248.86199999999999</v>
      </c>
      <c r="W100" s="17">
        <v>2.2686212529029098E-6</v>
      </c>
      <c r="X100">
        <f t="shared" si="14"/>
        <v>5.6457362223992394E-4</v>
      </c>
      <c r="Z100" s="3">
        <v>22.5</v>
      </c>
      <c r="AA100" s="3">
        <v>248.86199999999999</v>
      </c>
      <c r="AB100" s="16">
        <v>0</v>
      </c>
      <c r="AC100">
        <f t="shared" si="15"/>
        <v>0</v>
      </c>
      <c r="AE100" s="3">
        <v>22.5</v>
      </c>
      <c r="AF100" s="3">
        <v>248.86199999999999</v>
      </c>
      <c r="AG100" s="16">
        <v>0</v>
      </c>
      <c r="AH100">
        <f t="shared" si="16"/>
        <v>0</v>
      </c>
      <c r="AJ100" s="3">
        <v>22.5</v>
      </c>
      <c r="AK100" s="3">
        <v>248.86199999999999</v>
      </c>
      <c r="AL100" s="16">
        <v>0</v>
      </c>
      <c r="AM100">
        <f t="shared" si="17"/>
        <v>0</v>
      </c>
      <c r="AO100" s="3">
        <v>22.5</v>
      </c>
      <c r="AP100" s="3">
        <v>248.86199999999999</v>
      </c>
      <c r="AQ100" s="16">
        <v>0</v>
      </c>
      <c r="AR100">
        <f t="shared" si="18"/>
        <v>0</v>
      </c>
      <c r="AT100" s="3">
        <v>22.5</v>
      </c>
      <c r="AU100" s="3">
        <v>248.86199999999999</v>
      </c>
      <c r="AV100" s="16">
        <v>0</v>
      </c>
      <c r="AW100">
        <f t="shared" si="19"/>
        <v>0</v>
      </c>
    </row>
    <row r="101" spans="1:49" x14ac:dyDescent="0.3">
      <c r="A101" s="3">
        <v>23</v>
      </c>
      <c r="B101" s="16">
        <v>0</v>
      </c>
      <c r="C101" s="17">
        <v>7.6689903817943397E-9</v>
      </c>
      <c r="D101">
        <f t="shared" si="10"/>
        <v>0</v>
      </c>
      <c r="F101" s="3">
        <v>23</v>
      </c>
      <c r="G101" s="3">
        <v>0</v>
      </c>
      <c r="H101" s="17">
        <v>5.9260247378817997E-5</v>
      </c>
      <c r="I101">
        <f t="shared" si="11"/>
        <v>0</v>
      </c>
      <c r="K101" s="3">
        <v>23</v>
      </c>
      <c r="L101" s="3">
        <v>0</v>
      </c>
      <c r="M101" s="16">
        <v>0</v>
      </c>
      <c r="N101">
        <f t="shared" si="12"/>
        <v>0</v>
      </c>
      <c r="P101" s="3">
        <v>23</v>
      </c>
      <c r="Q101" s="3">
        <v>0</v>
      </c>
      <c r="R101" s="16">
        <v>0</v>
      </c>
      <c r="S101">
        <f t="shared" si="13"/>
        <v>0</v>
      </c>
      <c r="U101" s="3">
        <v>23</v>
      </c>
      <c r="V101" s="3">
        <v>0</v>
      </c>
      <c r="W101" s="17">
        <v>2.1602119499881602E-6</v>
      </c>
      <c r="X101">
        <f t="shared" si="14"/>
        <v>0</v>
      </c>
      <c r="Z101" s="3">
        <v>23</v>
      </c>
      <c r="AA101" s="3">
        <v>0</v>
      </c>
      <c r="AB101" s="16">
        <v>0</v>
      </c>
      <c r="AC101">
        <f t="shared" si="15"/>
        <v>0</v>
      </c>
      <c r="AE101" s="3">
        <v>23</v>
      </c>
      <c r="AF101" s="3">
        <v>0</v>
      </c>
      <c r="AG101" s="16">
        <v>0</v>
      </c>
      <c r="AH101">
        <f t="shared" si="16"/>
        <v>0</v>
      </c>
      <c r="AJ101" s="3">
        <v>23</v>
      </c>
      <c r="AK101" s="3">
        <v>0</v>
      </c>
      <c r="AL101" s="16">
        <v>0</v>
      </c>
      <c r="AM101">
        <f t="shared" si="17"/>
        <v>0</v>
      </c>
      <c r="AO101" s="3">
        <v>23</v>
      </c>
      <c r="AP101" s="3">
        <v>0</v>
      </c>
      <c r="AQ101" s="16">
        <v>0</v>
      </c>
      <c r="AR101">
        <f t="shared" si="18"/>
        <v>0</v>
      </c>
      <c r="AT101" s="3">
        <v>23</v>
      </c>
      <c r="AU101" s="3">
        <v>0</v>
      </c>
      <c r="AV101" s="16">
        <v>0</v>
      </c>
      <c r="AW101">
        <f t="shared" si="19"/>
        <v>0</v>
      </c>
    </row>
    <row r="102" spans="1:49" x14ac:dyDescent="0.3">
      <c r="A102" s="3">
        <v>23.5</v>
      </c>
      <c r="B102" s="16">
        <v>0</v>
      </c>
      <c r="C102" s="17">
        <v>6.7057637929881097E-9</v>
      </c>
      <c r="D102">
        <f t="shared" si="10"/>
        <v>0</v>
      </c>
      <c r="F102" s="3">
        <v>23.5</v>
      </c>
      <c r="G102" s="3">
        <v>0</v>
      </c>
      <c r="H102" s="17">
        <v>5.75653298005444E-5</v>
      </c>
      <c r="I102">
        <f t="shared" si="11"/>
        <v>0</v>
      </c>
      <c r="K102" s="3">
        <v>23.5</v>
      </c>
      <c r="L102" s="3">
        <v>0</v>
      </c>
      <c r="M102" s="16">
        <v>0</v>
      </c>
      <c r="N102">
        <f t="shared" si="12"/>
        <v>0</v>
      </c>
      <c r="P102" s="3">
        <v>23.5</v>
      </c>
      <c r="Q102" s="3">
        <v>0</v>
      </c>
      <c r="R102" s="16">
        <v>0</v>
      </c>
      <c r="S102">
        <f t="shared" si="13"/>
        <v>0</v>
      </c>
      <c r="U102" s="3">
        <v>23.5</v>
      </c>
      <c r="V102" s="3">
        <v>0</v>
      </c>
      <c r="W102" s="17">
        <v>2.08793908137833E-6</v>
      </c>
      <c r="X102">
        <f t="shared" si="14"/>
        <v>0</v>
      </c>
      <c r="Z102" s="3">
        <v>23.5</v>
      </c>
      <c r="AA102" s="3">
        <v>0</v>
      </c>
      <c r="AB102" s="16">
        <v>0</v>
      </c>
      <c r="AC102">
        <f t="shared" si="15"/>
        <v>0</v>
      </c>
      <c r="AE102" s="3">
        <v>23.5</v>
      </c>
      <c r="AF102" s="3">
        <v>0</v>
      </c>
      <c r="AG102" s="16">
        <v>0</v>
      </c>
      <c r="AH102">
        <f t="shared" si="16"/>
        <v>0</v>
      </c>
      <c r="AJ102" s="3">
        <v>23.5</v>
      </c>
      <c r="AK102" s="3">
        <v>0</v>
      </c>
      <c r="AL102" s="16">
        <v>0</v>
      </c>
      <c r="AM102">
        <f t="shared" si="17"/>
        <v>0</v>
      </c>
      <c r="AO102" s="3">
        <v>23.5</v>
      </c>
      <c r="AP102" s="3">
        <v>0</v>
      </c>
      <c r="AQ102" s="16">
        <v>0</v>
      </c>
      <c r="AR102">
        <f t="shared" si="18"/>
        <v>0</v>
      </c>
      <c r="AT102" s="3">
        <v>23.5</v>
      </c>
      <c r="AU102" s="3">
        <v>0</v>
      </c>
      <c r="AV102" s="16">
        <v>0</v>
      </c>
      <c r="AW102">
        <f t="shared" si="19"/>
        <v>0</v>
      </c>
    </row>
    <row r="103" spans="1:49" x14ac:dyDescent="0.3">
      <c r="A103" s="3">
        <v>24</v>
      </c>
      <c r="B103" s="16">
        <v>248.98</v>
      </c>
      <c r="C103" s="17">
        <v>5.9023409855746997E-9</v>
      </c>
      <c r="D103">
        <f t="shared" si="10"/>
        <v>1.4695648585883888E-6</v>
      </c>
      <c r="F103" s="3">
        <v>24</v>
      </c>
      <c r="G103" s="3">
        <v>248.98</v>
      </c>
      <c r="H103" s="17">
        <v>5.5870412222270897E-5</v>
      </c>
      <c r="I103">
        <f t="shared" si="11"/>
        <v>1.3910615235101008E-2</v>
      </c>
      <c r="K103" s="3">
        <v>24</v>
      </c>
      <c r="L103" s="3">
        <v>248.98</v>
      </c>
      <c r="M103" s="16">
        <v>0</v>
      </c>
      <c r="N103">
        <f t="shared" si="12"/>
        <v>0</v>
      </c>
      <c r="P103" s="3">
        <v>24</v>
      </c>
      <c r="Q103" s="3">
        <v>248.98</v>
      </c>
      <c r="R103" s="16">
        <v>0</v>
      </c>
      <c r="S103">
        <f t="shared" si="13"/>
        <v>0</v>
      </c>
      <c r="U103" s="3">
        <v>24</v>
      </c>
      <c r="V103" s="3">
        <v>248.98</v>
      </c>
      <c r="W103" s="17">
        <v>2.0156662127685001E-6</v>
      </c>
      <c r="X103">
        <f t="shared" si="14"/>
        <v>5.0186057365510109E-4</v>
      </c>
      <c r="Z103" s="3">
        <v>24</v>
      </c>
      <c r="AA103" s="3">
        <v>248.98</v>
      </c>
      <c r="AB103" s="16">
        <v>0</v>
      </c>
      <c r="AC103">
        <f t="shared" si="15"/>
        <v>0</v>
      </c>
      <c r="AE103" s="3">
        <v>24</v>
      </c>
      <c r="AF103" s="3">
        <v>248.98</v>
      </c>
      <c r="AG103" s="16">
        <v>0</v>
      </c>
      <c r="AH103">
        <f t="shared" si="16"/>
        <v>0</v>
      </c>
      <c r="AJ103" s="3">
        <v>24</v>
      </c>
      <c r="AK103" s="3">
        <v>248.98</v>
      </c>
      <c r="AL103" s="16">
        <v>0</v>
      </c>
      <c r="AM103">
        <f t="shared" si="17"/>
        <v>0</v>
      </c>
      <c r="AO103" s="3">
        <v>24</v>
      </c>
      <c r="AP103" s="3">
        <v>248.98</v>
      </c>
      <c r="AQ103" s="16">
        <v>0</v>
      </c>
      <c r="AR103">
        <f t="shared" si="18"/>
        <v>0</v>
      </c>
      <c r="AT103" s="3">
        <v>24</v>
      </c>
      <c r="AU103" s="3">
        <v>248.98</v>
      </c>
      <c r="AV103" s="16">
        <v>0</v>
      </c>
      <c r="AW103">
        <f t="shared" si="19"/>
        <v>0</v>
      </c>
    </row>
    <row r="104" spans="1:49" x14ac:dyDescent="0.3">
      <c r="A104" s="3">
        <v>24.5</v>
      </c>
      <c r="B104" s="16">
        <v>0</v>
      </c>
      <c r="C104" s="17">
        <v>5.3497289496920898E-9</v>
      </c>
      <c r="D104">
        <f t="shared" si="10"/>
        <v>0</v>
      </c>
      <c r="F104" s="3">
        <v>24.5</v>
      </c>
      <c r="G104" s="3">
        <v>0</v>
      </c>
      <c r="H104" s="17">
        <v>5.5022953433134197E-5</v>
      </c>
      <c r="I104">
        <f t="shared" si="11"/>
        <v>0</v>
      </c>
      <c r="K104" s="3">
        <v>24.5</v>
      </c>
      <c r="L104" s="3">
        <v>0</v>
      </c>
      <c r="M104" s="16">
        <v>0</v>
      </c>
      <c r="N104">
        <f t="shared" si="12"/>
        <v>0</v>
      </c>
      <c r="P104" s="3">
        <v>24.5</v>
      </c>
      <c r="Q104" s="3">
        <v>0</v>
      </c>
      <c r="R104" s="16">
        <v>0</v>
      </c>
      <c r="S104">
        <f t="shared" si="13"/>
        <v>0</v>
      </c>
      <c r="U104" s="3">
        <v>24.5</v>
      </c>
      <c r="V104" s="3">
        <v>0</v>
      </c>
      <c r="W104" s="17">
        <v>1.9795297784635799E-6</v>
      </c>
      <c r="X104">
        <f t="shared" si="14"/>
        <v>0</v>
      </c>
      <c r="Z104" s="3">
        <v>24.5</v>
      </c>
      <c r="AA104" s="3">
        <v>0</v>
      </c>
      <c r="AB104" s="16">
        <v>0</v>
      </c>
      <c r="AC104">
        <f t="shared" si="15"/>
        <v>0</v>
      </c>
      <c r="AE104" s="3">
        <v>24.5</v>
      </c>
      <c r="AF104" s="3">
        <v>0</v>
      </c>
      <c r="AG104" s="16">
        <v>0</v>
      </c>
      <c r="AH104">
        <f t="shared" si="16"/>
        <v>0</v>
      </c>
      <c r="AJ104" s="3">
        <v>24.5</v>
      </c>
      <c r="AK104" s="3">
        <v>0</v>
      </c>
      <c r="AL104" s="16">
        <v>0</v>
      </c>
      <c r="AM104">
        <f t="shared" si="17"/>
        <v>0</v>
      </c>
      <c r="AO104" s="3">
        <v>24.5</v>
      </c>
      <c r="AP104" s="3">
        <v>0</v>
      </c>
      <c r="AQ104" s="16">
        <v>0</v>
      </c>
      <c r="AR104">
        <f t="shared" si="18"/>
        <v>0</v>
      </c>
      <c r="AT104" s="3">
        <v>24.5</v>
      </c>
      <c r="AU104" s="3">
        <v>0</v>
      </c>
      <c r="AV104" s="16">
        <v>0</v>
      </c>
      <c r="AW104">
        <f t="shared" si="19"/>
        <v>0</v>
      </c>
    </row>
    <row r="105" spans="1:49" x14ac:dyDescent="0.3">
      <c r="A105" s="3">
        <v>25</v>
      </c>
      <c r="B105" s="16">
        <v>0</v>
      </c>
      <c r="C105" s="17">
        <v>4.7218334572784696E-9</v>
      </c>
      <c r="D105">
        <f t="shared" si="10"/>
        <v>0</v>
      </c>
      <c r="F105" s="3">
        <v>25</v>
      </c>
      <c r="G105" s="3">
        <v>0</v>
      </c>
      <c r="H105" s="17">
        <v>5.2246265371502002E-5</v>
      </c>
      <c r="I105">
        <f t="shared" si="11"/>
        <v>0</v>
      </c>
      <c r="K105" s="3">
        <v>25</v>
      </c>
      <c r="L105" s="3">
        <v>0</v>
      </c>
      <c r="M105" s="16">
        <v>0</v>
      </c>
      <c r="N105">
        <f t="shared" si="12"/>
        <v>0</v>
      </c>
      <c r="P105" s="3">
        <v>25</v>
      </c>
      <c r="Q105" s="3">
        <v>0</v>
      </c>
      <c r="R105" s="16">
        <v>0</v>
      </c>
      <c r="S105">
        <f t="shared" si="13"/>
        <v>0</v>
      </c>
      <c r="U105" s="3">
        <v>25</v>
      </c>
      <c r="V105" s="3">
        <v>0</v>
      </c>
      <c r="W105" s="17">
        <v>1.86953895767033E-6</v>
      </c>
      <c r="X105">
        <f t="shared" si="14"/>
        <v>0</v>
      </c>
      <c r="Z105" s="3">
        <v>25</v>
      </c>
      <c r="AA105" s="3">
        <v>0</v>
      </c>
      <c r="AB105" s="16">
        <v>0</v>
      </c>
      <c r="AC105">
        <f t="shared" si="15"/>
        <v>0</v>
      </c>
      <c r="AE105" s="3">
        <v>25</v>
      </c>
      <c r="AF105" s="3">
        <v>0</v>
      </c>
      <c r="AG105" s="16">
        <v>0</v>
      </c>
      <c r="AH105">
        <f t="shared" si="16"/>
        <v>0</v>
      </c>
      <c r="AJ105" s="3">
        <v>25</v>
      </c>
      <c r="AK105" s="3">
        <v>0</v>
      </c>
      <c r="AL105" s="16">
        <v>0</v>
      </c>
      <c r="AM105">
        <f t="shared" si="17"/>
        <v>0</v>
      </c>
      <c r="AO105" s="3">
        <v>25</v>
      </c>
      <c r="AP105" s="3">
        <v>0</v>
      </c>
      <c r="AQ105" s="16">
        <v>0</v>
      </c>
      <c r="AR105">
        <f t="shared" si="18"/>
        <v>0</v>
      </c>
      <c r="AT105" s="3">
        <v>25</v>
      </c>
      <c r="AU105" s="3">
        <v>0</v>
      </c>
      <c r="AV105" s="16">
        <v>0</v>
      </c>
      <c r="AW105">
        <f t="shared" si="19"/>
        <v>0</v>
      </c>
    </row>
    <row r="106" spans="1:49" x14ac:dyDescent="0.3">
      <c r="A106" s="3">
        <v>25.5</v>
      </c>
      <c r="B106" s="16">
        <v>0</v>
      </c>
      <c r="C106" s="17">
        <v>4.2367190918144903E-9</v>
      </c>
      <c r="D106">
        <f t="shared" si="10"/>
        <v>0</v>
      </c>
      <c r="F106" s="3">
        <v>25.5</v>
      </c>
      <c r="G106" s="3">
        <v>0</v>
      </c>
      <c r="H106" s="17">
        <v>5.03951399970806E-5</v>
      </c>
      <c r="I106">
        <f t="shared" si="11"/>
        <v>0</v>
      </c>
      <c r="K106" s="3">
        <v>25.5</v>
      </c>
      <c r="L106" s="3">
        <v>0</v>
      </c>
      <c r="M106" s="16">
        <v>0</v>
      </c>
      <c r="N106">
        <f t="shared" si="12"/>
        <v>0</v>
      </c>
      <c r="P106" s="3">
        <v>25.5</v>
      </c>
      <c r="Q106" s="3">
        <v>0</v>
      </c>
      <c r="R106" s="16">
        <v>0</v>
      </c>
      <c r="S106">
        <f t="shared" si="13"/>
        <v>0</v>
      </c>
      <c r="U106" s="3">
        <v>25.5</v>
      </c>
      <c r="V106" s="3">
        <v>0</v>
      </c>
      <c r="W106" s="17">
        <v>1.79621174380816E-6</v>
      </c>
      <c r="X106">
        <f t="shared" si="14"/>
        <v>0</v>
      </c>
      <c r="Z106" s="3">
        <v>25.5</v>
      </c>
      <c r="AA106" s="3">
        <v>0</v>
      </c>
      <c r="AB106" s="16">
        <v>0</v>
      </c>
      <c r="AC106">
        <f t="shared" si="15"/>
        <v>0</v>
      </c>
      <c r="AE106" s="3">
        <v>25.5</v>
      </c>
      <c r="AF106" s="3">
        <v>0</v>
      </c>
      <c r="AG106" s="16">
        <v>0</v>
      </c>
      <c r="AH106">
        <f t="shared" si="16"/>
        <v>0</v>
      </c>
      <c r="AJ106" s="3">
        <v>25.5</v>
      </c>
      <c r="AK106" s="3">
        <v>0</v>
      </c>
      <c r="AL106" s="16">
        <v>0</v>
      </c>
      <c r="AM106">
        <f t="shared" si="17"/>
        <v>0</v>
      </c>
      <c r="AO106" s="3">
        <v>25.5</v>
      </c>
      <c r="AP106" s="3">
        <v>0</v>
      </c>
      <c r="AQ106" s="16">
        <v>0</v>
      </c>
      <c r="AR106">
        <f t="shared" si="18"/>
        <v>0</v>
      </c>
      <c r="AT106" s="3">
        <v>25.5</v>
      </c>
      <c r="AU106" s="3">
        <v>0</v>
      </c>
      <c r="AV106" s="16">
        <v>0</v>
      </c>
      <c r="AW106">
        <f t="shared" si="19"/>
        <v>0</v>
      </c>
    </row>
    <row r="107" spans="1:49" x14ac:dyDescent="0.3">
      <c r="A107" s="3">
        <v>26</v>
      </c>
      <c r="B107" s="16">
        <v>0</v>
      </c>
      <c r="C107" s="17">
        <v>3.78691340045374E-9</v>
      </c>
      <c r="D107">
        <f t="shared" si="10"/>
        <v>0</v>
      </c>
      <c r="F107" s="3">
        <v>26</v>
      </c>
      <c r="G107" s="3">
        <v>0</v>
      </c>
      <c r="H107" s="17">
        <v>4.8729127160101297E-5</v>
      </c>
      <c r="I107">
        <f t="shared" si="11"/>
        <v>0</v>
      </c>
      <c r="K107" s="3">
        <v>26</v>
      </c>
      <c r="L107" s="3">
        <v>0</v>
      </c>
      <c r="M107" s="16">
        <v>0</v>
      </c>
      <c r="N107">
        <f t="shared" si="12"/>
        <v>0</v>
      </c>
      <c r="P107" s="3">
        <v>26</v>
      </c>
      <c r="Q107" s="3">
        <v>0</v>
      </c>
      <c r="R107" s="16">
        <v>0</v>
      </c>
      <c r="S107">
        <f t="shared" si="13"/>
        <v>0</v>
      </c>
      <c r="U107" s="3">
        <v>26</v>
      </c>
      <c r="V107" s="3">
        <v>0</v>
      </c>
      <c r="W107" s="17">
        <v>1.7302172513322101E-6</v>
      </c>
      <c r="X107">
        <f t="shared" si="14"/>
        <v>0</v>
      </c>
      <c r="Z107" s="3">
        <v>26</v>
      </c>
      <c r="AA107" s="3">
        <v>0</v>
      </c>
      <c r="AB107" s="16">
        <v>0</v>
      </c>
      <c r="AC107">
        <f t="shared" si="15"/>
        <v>0</v>
      </c>
      <c r="AE107" s="3">
        <v>26</v>
      </c>
      <c r="AF107" s="3">
        <v>0</v>
      </c>
      <c r="AG107" s="16">
        <v>0</v>
      </c>
      <c r="AH107">
        <f t="shared" si="16"/>
        <v>0</v>
      </c>
      <c r="AJ107" s="3">
        <v>26</v>
      </c>
      <c r="AK107" s="3">
        <v>0</v>
      </c>
      <c r="AL107" s="16">
        <v>0</v>
      </c>
      <c r="AM107">
        <f t="shared" si="17"/>
        <v>0</v>
      </c>
      <c r="AO107" s="3">
        <v>26</v>
      </c>
      <c r="AP107" s="3">
        <v>0</v>
      </c>
      <c r="AQ107" s="16">
        <v>0</v>
      </c>
      <c r="AR107">
        <f t="shared" si="18"/>
        <v>0</v>
      </c>
      <c r="AT107" s="3">
        <v>26</v>
      </c>
      <c r="AU107" s="3">
        <v>0</v>
      </c>
      <c r="AV107" s="16">
        <v>0</v>
      </c>
      <c r="AW107">
        <f t="shared" si="19"/>
        <v>0</v>
      </c>
    </row>
    <row r="108" spans="1:49" x14ac:dyDescent="0.3">
      <c r="A108" s="3">
        <v>26.5</v>
      </c>
      <c r="B108" s="16">
        <v>0</v>
      </c>
      <c r="C108" s="17">
        <v>3.4585337923887898E-9</v>
      </c>
      <c r="D108">
        <f t="shared" si="10"/>
        <v>0</v>
      </c>
      <c r="F108" s="3">
        <v>26.5</v>
      </c>
      <c r="G108" s="3">
        <v>0</v>
      </c>
      <c r="H108" s="17">
        <v>4.8036808733249903E-5</v>
      </c>
      <c r="I108">
        <f t="shared" si="11"/>
        <v>0</v>
      </c>
      <c r="K108" s="3">
        <v>26.5</v>
      </c>
      <c r="L108" s="3">
        <v>0</v>
      </c>
      <c r="M108" s="16">
        <v>0</v>
      </c>
      <c r="N108">
        <f t="shared" si="12"/>
        <v>0</v>
      </c>
      <c r="P108" s="3">
        <v>26.5</v>
      </c>
      <c r="Q108" s="3">
        <v>0</v>
      </c>
      <c r="R108" s="16">
        <v>0</v>
      </c>
      <c r="S108">
        <f t="shared" si="13"/>
        <v>0</v>
      </c>
      <c r="U108" s="3">
        <v>26.5</v>
      </c>
      <c r="V108" s="3">
        <v>0</v>
      </c>
      <c r="W108" s="17">
        <v>1.6603562127829401E-6</v>
      </c>
      <c r="X108">
        <f t="shared" si="14"/>
        <v>0</v>
      </c>
      <c r="Z108" s="3">
        <v>26.5</v>
      </c>
      <c r="AA108" s="3">
        <v>0</v>
      </c>
      <c r="AB108" s="16">
        <v>0</v>
      </c>
      <c r="AC108">
        <f t="shared" si="15"/>
        <v>0</v>
      </c>
      <c r="AE108" s="3">
        <v>26.5</v>
      </c>
      <c r="AF108" s="3">
        <v>0</v>
      </c>
      <c r="AG108" s="16">
        <v>0</v>
      </c>
      <c r="AH108">
        <f t="shared" si="16"/>
        <v>0</v>
      </c>
      <c r="AJ108" s="3">
        <v>26.5</v>
      </c>
      <c r="AK108" s="3">
        <v>0</v>
      </c>
      <c r="AL108" s="16">
        <v>0</v>
      </c>
      <c r="AM108">
        <f t="shared" si="17"/>
        <v>0</v>
      </c>
      <c r="AO108" s="3">
        <v>26.5</v>
      </c>
      <c r="AP108" s="3">
        <v>0</v>
      </c>
      <c r="AQ108" s="16">
        <v>0</v>
      </c>
      <c r="AR108">
        <f t="shared" si="18"/>
        <v>0</v>
      </c>
      <c r="AT108" s="3">
        <v>26.5</v>
      </c>
      <c r="AU108" s="3">
        <v>0</v>
      </c>
      <c r="AV108" s="16">
        <v>0</v>
      </c>
      <c r="AW108">
        <f t="shared" si="19"/>
        <v>0</v>
      </c>
    </row>
    <row r="109" spans="1:49" x14ac:dyDescent="0.3">
      <c r="A109" s="3">
        <v>27</v>
      </c>
      <c r="B109" s="16">
        <v>0</v>
      </c>
      <c r="C109" s="17">
        <v>3.0235070903573301E-9</v>
      </c>
      <c r="D109">
        <f t="shared" si="10"/>
        <v>0</v>
      </c>
      <c r="F109" s="3">
        <v>27</v>
      </c>
      <c r="G109" s="3">
        <v>0</v>
      </c>
      <c r="H109" s="17">
        <v>4.7407428345203202E-5</v>
      </c>
      <c r="I109">
        <f t="shared" si="11"/>
        <v>0</v>
      </c>
      <c r="K109" s="3">
        <v>27</v>
      </c>
      <c r="L109" s="3">
        <v>0</v>
      </c>
      <c r="M109" s="16">
        <v>0</v>
      </c>
      <c r="N109">
        <f t="shared" si="12"/>
        <v>0</v>
      </c>
      <c r="P109" s="3">
        <v>27</v>
      </c>
      <c r="Q109" s="3">
        <v>0</v>
      </c>
      <c r="R109" s="16">
        <v>0</v>
      </c>
      <c r="S109">
        <f t="shared" si="13"/>
        <v>0</v>
      </c>
      <c r="U109" s="3">
        <v>27</v>
      </c>
      <c r="V109" s="3">
        <v>0</v>
      </c>
      <c r="W109" s="17">
        <v>1.59684617773816E-6</v>
      </c>
      <c r="X109">
        <f t="shared" si="14"/>
        <v>0</v>
      </c>
      <c r="Z109" s="3">
        <v>27</v>
      </c>
      <c r="AA109" s="3">
        <v>0</v>
      </c>
      <c r="AB109" s="16">
        <v>0</v>
      </c>
      <c r="AC109">
        <f t="shared" si="15"/>
        <v>0</v>
      </c>
      <c r="AE109" s="3">
        <v>27</v>
      </c>
      <c r="AF109" s="3">
        <v>0</v>
      </c>
      <c r="AG109" s="16">
        <v>0</v>
      </c>
      <c r="AH109">
        <f t="shared" si="16"/>
        <v>0</v>
      </c>
      <c r="AJ109" s="3">
        <v>27</v>
      </c>
      <c r="AK109" s="3">
        <v>0</v>
      </c>
      <c r="AL109" s="16">
        <v>0</v>
      </c>
      <c r="AM109">
        <f t="shared" si="17"/>
        <v>0</v>
      </c>
      <c r="AO109" s="3">
        <v>27</v>
      </c>
      <c r="AP109" s="3">
        <v>0</v>
      </c>
      <c r="AQ109" s="16">
        <v>0</v>
      </c>
      <c r="AR109">
        <f t="shared" si="18"/>
        <v>0</v>
      </c>
      <c r="AT109" s="3">
        <v>27</v>
      </c>
      <c r="AU109" s="3">
        <v>0</v>
      </c>
      <c r="AV109" s="16">
        <v>0</v>
      </c>
      <c r="AW109">
        <f t="shared" si="19"/>
        <v>0</v>
      </c>
    </row>
    <row r="110" spans="1:49" x14ac:dyDescent="0.3">
      <c r="A110" s="3">
        <v>27.5</v>
      </c>
      <c r="B110" s="16">
        <v>0</v>
      </c>
      <c r="C110" s="17">
        <v>2.79005567201854E-9</v>
      </c>
      <c r="D110">
        <f t="shared" si="10"/>
        <v>0</v>
      </c>
      <c r="F110" s="3">
        <v>27.5</v>
      </c>
      <c r="G110" s="3">
        <v>0</v>
      </c>
      <c r="H110" s="17">
        <v>4.6778047957156501E-5</v>
      </c>
      <c r="I110">
        <f t="shared" si="11"/>
        <v>0</v>
      </c>
      <c r="K110" s="3">
        <v>27.5</v>
      </c>
      <c r="L110" s="3">
        <v>0</v>
      </c>
      <c r="M110" s="16">
        <v>0</v>
      </c>
      <c r="N110">
        <f t="shared" si="12"/>
        <v>0</v>
      </c>
      <c r="P110" s="3">
        <v>27.5</v>
      </c>
      <c r="Q110" s="3">
        <v>0</v>
      </c>
      <c r="R110" s="16">
        <v>0</v>
      </c>
      <c r="S110">
        <f t="shared" si="13"/>
        <v>0</v>
      </c>
      <c r="U110" s="3">
        <v>27.5</v>
      </c>
      <c r="V110" s="3">
        <v>0</v>
      </c>
      <c r="W110" s="17">
        <v>1.53333614269337E-6</v>
      </c>
      <c r="X110">
        <f t="shared" si="14"/>
        <v>0</v>
      </c>
      <c r="Z110" s="3">
        <v>27.5</v>
      </c>
      <c r="AA110" s="3">
        <v>0</v>
      </c>
      <c r="AB110" s="16">
        <v>0</v>
      </c>
      <c r="AC110">
        <f t="shared" si="15"/>
        <v>0</v>
      </c>
      <c r="AE110" s="3">
        <v>27.5</v>
      </c>
      <c r="AF110" s="3">
        <v>0</v>
      </c>
      <c r="AG110" s="16">
        <v>0</v>
      </c>
      <c r="AH110">
        <f t="shared" si="16"/>
        <v>0</v>
      </c>
      <c r="AJ110" s="3">
        <v>27.5</v>
      </c>
      <c r="AK110" s="3">
        <v>0</v>
      </c>
      <c r="AL110" s="16">
        <v>0</v>
      </c>
      <c r="AM110">
        <f t="shared" si="17"/>
        <v>0</v>
      </c>
      <c r="AO110" s="3">
        <v>27.5</v>
      </c>
      <c r="AP110" s="3">
        <v>0</v>
      </c>
      <c r="AQ110" s="16">
        <v>0</v>
      </c>
      <c r="AR110">
        <f t="shared" si="18"/>
        <v>0</v>
      </c>
      <c r="AT110" s="3">
        <v>27.5</v>
      </c>
      <c r="AU110" s="3">
        <v>0</v>
      </c>
      <c r="AV110" s="16">
        <v>0</v>
      </c>
      <c r="AW110">
        <f t="shared" si="19"/>
        <v>0</v>
      </c>
    </row>
    <row r="111" spans="1:49" x14ac:dyDescent="0.3">
      <c r="A111" s="3">
        <v>28</v>
      </c>
      <c r="B111" s="16">
        <v>0</v>
      </c>
      <c r="C111" s="17">
        <v>2.5213611315453201E-9</v>
      </c>
      <c r="D111">
        <f t="shared" si="10"/>
        <v>0</v>
      </c>
      <c r="F111" s="3">
        <v>28</v>
      </c>
      <c r="G111" s="3">
        <v>0</v>
      </c>
      <c r="H111" s="17">
        <v>4.61486675691098E-5</v>
      </c>
      <c r="I111">
        <f t="shared" si="11"/>
        <v>0</v>
      </c>
      <c r="K111" s="3">
        <v>28</v>
      </c>
      <c r="L111" s="3">
        <v>0</v>
      </c>
      <c r="M111" s="16">
        <v>0</v>
      </c>
      <c r="N111">
        <f t="shared" si="12"/>
        <v>0</v>
      </c>
      <c r="P111" s="3">
        <v>28</v>
      </c>
      <c r="Q111" s="3">
        <v>0</v>
      </c>
      <c r="R111" s="16">
        <v>0</v>
      </c>
      <c r="S111">
        <f t="shared" si="13"/>
        <v>0</v>
      </c>
      <c r="U111" s="3">
        <v>28</v>
      </c>
      <c r="V111" s="3">
        <v>0</v>
      </c>
      <c r="W111" s="17">
        <v>1.4698261076485799E-6</v>
      </c>
      <c r="X111">
        <f t="shared" si="14"/>
        <v>0</v>
      </c>
      <c r="Z111" s="3">
        <v>28</v>
      </c>
      <c r="AA111" s="3">
        <v>0</v>
      </c>
      <c r="AB111" s="16">
        <v>0</v>
      </c>
      <c r="AC111">
        <f t="shared" si="15"/>
        <v>0</v>
      </c>
      <c r="AE111" s="3">
        <v>28</v>
      </c>
      <c r="AF111" s="3">
        <v>0</v>
      </c>
      <c r="AG111" s="16">
        <v>0</v>
      </c>
      <c r="AH111">
        <f t="shared" si="16"/>
        <v>0</v>
      </c>
      <c r="AJ111" s="3">
        <v>28</v>
      </c>
      <c r="AK111" s="3">
        <v>0</v>
      </c>
      <c r="AL111" s="16">
        <v>0</v>
      </c>
      <c r="AM111">
        <f t="shared" si="17"/>
        <v>0</v>
      </c>
      <c r="AO111" s="3">
        <v>28</v>
      </c>
      <c r="AP111" s="3">
        <v>0</v>
      </c>
      <c r="AQ111" s="16">
        <v>0</v>
      </c>
      <c r="AR111">
        <f t="shared" si="18"/>
        <v>0</v>
      </c>
      <c r="AT111" s="3">
        <v>28</v>
      </c>
      <c r="AU111" s="3">
        <v>0</v>
      </c>
      <c r="AV111" s="16">
        <v>0</v>
      </c>
      <c r="AW111">
        <f t="shared" si="19"/>
        <v>0</v>
      </c>
    </row>
    <row r="112" spans="1:49" x14ac:dyDescent="0.3">
      <c r="A112" s="3">
        <v>28.5</v>
      </c>
      <c r="B112" s="16">
        <v>0</v>
      </c>
      <c r="C112" s="17">
        <v>2.28036825715967E-9</v>
      </c>
      <c r="D112">
        <f t="shared" si="10"/>
        <v>0</v>
      </c>
      <c r="F112" s="3">
        <v>28.5</v>
      </c>
      <c r="G112" s="3">
        <v>0</v>
      </c>
      <c r="H112" s="17">
        <v>4.5833977375086503E-5</v>
      </c>
      <c r="I112">
        <f t="shared" si="11"/>
        <v>0</v>
      </c>
      <c r="K112" s="3">
        <v>28.5</v>
      </c>
      <c r="L112" s="3">
        <v>0</v>
      </c>
      <c r="M112" s="16">
        <v>0</v>
      </c>
      <c r="N112">
        <f t="shared" si="12"/>
        <v>0</v>
      </c>
      <c r="P112" s="3">
        <v>28.5</v>
      </c>
      <c r="Q112" s="3">
        <v>0</v>
      </c>
      <c r="R112" s="16">
        <v>0</v>
      </c>
      <c r="S112">
        <f t="shared" si="13"/>
        <v>0</v>
      </c>
      <c r="U112" s="3">
        <v>28.5</v>
      </c>
      <c r="V112" s="3">
        <v>0</v>
      </c>
      <c r="W112" s="17">
        <v>1.43807109012618E-6</v>
      </c>
      <c r="X112">
        <f t="shared" si="14"/>
        <v>0</v>
      </c>
      <c r="Z112" s="3">
        <v>28.5</v>
      </c>
      <c r="AA112" s="3">
        <v>0</v>
      </c>
      <c r="AB112" s="16">
        <v>0</v>
      </c>
      <c r="AC112">
        <f t="shared" si="15"/>
        <v>0</v>
      </c>
      <c r="AE112" s="3">
        <v>28.5</v>
      </c>
      <c r="AF112" s="3">
        <v>0</v>
      </c>
      <c r="AG112" s="16">
        <v>0</v>
      </c>
      <c r="AH112">
        <f t="shared" si="16"/>
        <v>0</v>
      </c>
      <c r="AJ112" s="3">
        <v>28.5</v>
      </c>
      <c r="AK112" s="3">
        <v>0</v>
      </c>
      <c r="AL112" s="16">
        <v>0</v>
      </c>
      <c r="AM112">
        <f t="shared" si="17"/>
        <v>0</v>
      </c>
      <c r="AO112" s="3">
        <v>28.5</v>
      </c>
      <c r="AP112" s="3">
        <v>0</v>
      </c>
      <c r="AQ112" s="16">
        <v>0</v>
      </c>
      <c r="AR112">
        <f t="shared" si="18"/>
        <v>0</v>
      </c>
      <c r="AT112" s="3">
        <v>28.5</v>
      </c>
      <c r="AU112" s="3">
        <v>0</v>
      </c>
      <c r="AV112" s="16">
        <v>0</v>
      </c>
      <c r="AW112">
        <f t="shared" si="19"/>
        <v>0</v>
      </c>
    </row>
    <row r="113" spans="1:49" x14ac:dyDescent="0.3">
      <c r="A113" s="3">
        <v>29</v>
      </c>
      <c r="B113" s="16">
        <v>0</v>
      </c>
      <c r="C113" s="17">
        <v>2.0621517122968199E-9</v>
      </c>
      <c r="D113">
        <f t="shared" si="10"/>
        <v>0</v>
      </c>
      <c r="F113" s="3">
        <v>29</v>
      </c>
      <c r="G113" s="3">
        <v>0</v>
      </c>
      <c r="H113" s="17">
        <v>4.3299390821569402E-5</v>
      </c>
      <c r="I113">
        <f t="shared" si="11"/>
        <v>0</v>
      </c>
      <c r="K113" s="3">
        <v>29</v>
      </c>
      <c r="L113" s="3">
        <v>0</v>
      </c>
      <c r="M113" s="16">
        <v>0</v>
      </c>
      <c r="N113">
        <f t="shared" si="12"/>
        <v>0</v>
      </c>
      <c r="P113" s="3">
        <v>29</v>
      </c>
      <c r="Q113" s="3">
        <v>0</v>
      </c>
      <c r="R113" s="16">
        <v>0</v>
      </c>
      <c r="S113">
        <f t="shared" si="13"/>
        <v>0</v>
      </c>
      <c r="U113" s="3">
        <v>29</v>
      </c>
      <c r="V113" s="3">
        <v>0</v>
      </c>
      <c r="W113" s="17">
        <v>1.3686368695807901E-6</v>
      </c>
      <c r="X113">
        <f t="shared" si="14"/>
        <v>0</v>
      </c>
      <c r="Z113" s="3">
        <v>29</v>
      </c>
      <c r="AA113" s="3">
        <v>0</v>
      </c>
      <c r="AB113" s="16">
        <v>0</v>
      </c>
      <c r="AC113">
        <f t="shared" si="15"/>
        <v>0</v>
      </c>
      <c r="AE113" s="3">
        <v>29</v>
      </c>
      <c r="AF113" s="3">
        <v>0</v>
      </c>
      <c r="AG113" s="16">
        <v>0</v>
      </c>
      <c r="AH113">
        <f t="shared" si="16"/>
        <v>0</v>
      </c>
      <c r="AJ113" s="3">
        <v>29</v>
      </c>
      <c r="AK113" s="3">
        <v>0</v>
      </c>
      <c r="AL113" s="16">
        <v>0</v>
      </c>
      <c r="AM113">
        <f t="shared" si="17"/>
        <v>0</v>
      </c>
      <c r="AO113" s="3">
        <v>29</v>
      </c>
      <c r="AP113" s="3">
        <v>0</v>
      </c>
      <c r="AQ113" s="16">
        <v>0</v>
      </c>
      <c r="AR113">
        <f t="shared" si="18"/>
        <v>0</v>
      </c>
      <c r="AT113" s="3">
        <v>29</v>
      </c>
      <c r="AU113" s="3">
        <v>0</v>
      </c>
      <c r="AV113" s="16">
        <v>0</v>
      </c>
      <c r="AW113">
        <f t="shared" si="19"/>
        <v>0</v>
      </c>
    </row>
    <row r="114" spans="1:49" x14ac:dyDescent="0.3">
      <c r="A114" s="3">
        <v>29.5</v>
      </c>
      <c r="B114" s="16">
        <v>0</v>
      </c>
      <c r="C114" s="17">
        <v>1.8281448900042101E-9</v>
      </c>
      <c r="D114">
        <f t="shared" si="10"/>
        <v>0</v>
      </c>
      <c r="F114" s="3">
        <v>29.5</v>
      </c>
      <c r="G114" s="3">
        <v>0</v>
      </c>
      <c r="H114" s="17">
        <v>4.1609666452557997E-5</v>
      </c>
      <c r="I114">
        <f t="shared" si="11"/>
        <v>0</v>
      </c>
      <c r="K114" s="3">
        <v>29.5</v>
      </c>
      <c r="L114" s="3">
        <v>0</v>
      </c>
      <c r="M114" s="16">
        <v>0</v>
      </c>
      <c r="N114">
        <f t="shared" si="12"/>
        <v>0</v>
      </c>
      <c r="P114" s="3">
        <v>29.5</v>
      </c>
      <c r="Q114" s="3">
        <v>0</v>
      </c>
      <c r="R114" s="16">
        <v>0</v>
      </c>
      <c r="S114">
        <f t="shared" si="13"/>
        <v>0</v>
      </c>
      <c r="U114" s="3">
        <v>29.5</v>
      </c>
      <c r="V114" s="3">
        <v>0</v>
      </c>
      <c r="W114" s="17">
        <v>1.3223473892172001E-6</v>
      </c>
      <c r="X114">
        <f t="shared" si="14"/>
        <v>0</v>
      </c>
      <c r="Z114" s="3">
        <v>29.5</v>
      </c>
      <c r="AA114" s="3">
        <v>0</v>
      </c>
      <c r="AB114" s="16">
        <v>0</v>
      </c>
      <c r="AC114">
        <f t="shared" si="15"/>
        <v>0</v>
      </c>
      <c r="AE114" s="3">
        <v>29.5</v>
      </c>
      <c r="AF114" s="3">
        <v>0</v>
      </c>
      <c r="AG114" s="16">
        <v>0</v>
      </c>
      <c r="AH114">
        <f t="shared" si="16"/>
        <v>0</v>
      </c>
      <c r="AJ114" s="3">
        <v>29.5</v>
      </c>
      <c r="AK114" s="3">
        <v>0</v>
      </c>
      <c r="AL114" s="16">
        <v>0</v>
      </c>
      <c r="AM114">
        <f t="shared" si="17"/>
        <v>0</v>
      </c>
      <c r="AO114" s="3">
        <v>29.5</v>
      </c>
      <c r="AP114" s="3">
        <v>0</v>
      </c>
      <c r="AQ114" s="16">
        <v>0</v>
      </c>
      <c r="AR114">
        <f t="shared" si="18"/>
        <v>0</v>
      </c>
      <c r="AT114" s="3">
        <v>29.5</v>
      </c>
      <c r="AU114" s="3">
        <v>0</v>
      </c>
      <c r="AV114" s="16">
        <v>0</v>
      </c>
      <c r="AW114">
        <f t="shared" si="19"/>
        <v>0</v>
      </c>
    </row>
    <row r="115" spans="1:49" x14ac:dyDescent="0.3">
      <c r="A115" s="3">
        <v>30</v>
      </c>
      <c r="B115" s="16">
        <v>0</v>
      </c>
      <c r="C115" s="17">
        <v>1.6672881056216801E-9</v>
      </c>
      <c r="D115">
        <f t="shared" si="10"/>
        <v>0</v>
      </c>
      <c r="F115" s="3">
        <v>30</v>
      </c>
      <c r="G115" s="3">
        <v>0</v>
      </c>
      <c r="H115" s="17">
        <v>3.99199420835467E-5</v>
      </c>
      <c r="I115">
        <f t="shared" si="11"/>
        <v>0</v>
      </c>
      <c r="K115" s="3">
        <v>30</v>
      </c>
      <c r="L115" s="3">
        <v>0</v>
      </c>
      <c r="M115" s="16">
        <v>0</v>
      </c>
      <c r="N115">
        <f t="shared" si="12"/>
        <v>0</v>
      </c>
      <c r="P115" s="3">
        <v>30</v>
      </c>
      <c r="Q115" s="3">
        <v>0</v>
      </c>
      <c r="R115" s="16">
        <v>0</v>
      </c>
      <c r="S115">
        <f t="shared" si="13"/>
        <v>0</v>
      </c>
      <c r="U115" s="3">
        <v>30</v>
      </c>
      <c r="V115" s="3">
        <v>0</v>
      </c>
      <c r="W115" s="17">
        <v>1.2760579088536101E-6</v>
      </c>
      <c r="X115">
        <f t="shared" si="14"/>
        <v>0</v>
      </c>
      <c r="Z115" s="3">
        <v>30</v>
      </c>
      <c r="AA115" s="3">
        <v>0</v>
      </c>
      <c r="AB115" s="16">
        <v>0</v>
      </c>
      <c r="AC115">
        <f t="shared" si="15"/>
        <v>0</v>
      </c>
      <c r="AE115" s="3">
        <v>30</v>
      </c>
      <c r="AF115" s="3">
        <v>0</v>
      </c>
      <c r="AG115" s="16">
        <v>0</v>
      </c>
      <c r="AH115">
        <f t="shared" si="16"/>
        <v>0</v>
      </c>
      <c r="AJ115" s="3">
        <v>30</v>
      </c>
      <c r="AK115" s="3">
        <v>0</v>
      </c>
      <c r="AL115" s="16">
        <v>0</v>
      </c>
      <c r="AM115">
        <f t="shared" si="17"/>
        <v>0</v>
      </c>
      <c r="AO115" s="3">
        <v>30</v>
      </c>
      <c r="AP115" s="3">
        <v>0</v>
      </c>
      <c r="AQ115" s="16">
        <v>0</v>
      </c>
      <c r="AR115">
        <f t="shared" si="18"/>
        <v>0</v>
      </c>
      <c r="AT115" s="3">
        <v>30</v>
      </c>
      <c r="AU115" s="3">
        <v>0</v>
      </c>
      <c r="AV115" s="16">
        <v>0</v>
      </c>
      <c r="AW115">
        <f t="shared" si="19"/>
        <v>0</v>
      </c>
    </row>
    <row r="116" spans="1:49" x14ac:dyDescent="0.3">
      <c r="AB116" s="16"/>
    </row>
    <row r="117" spans="1:49" x14ac:dyDescent="0.3">
      <c r="A117" t="s">
        <v>61</v>
      </c>
      <c r="D117">
        <f>SUM(D3:D116)</f>
        <v>104907.70848276041</v>
      </c>
      <c r="I117">
        <f>SUM(I3:I116)</f>
        <v>15.950787114064381</v>
      </c>
      <c r="N117">
        <f>SUM(N3:N116)</f>
        <v>39.958464073654312</v>
      </c>
      <c r="S117">
        <f>SUM(S3:S116)</f>
        <v>21.813130820171487</v>
      </c>
      <c r="X117">
        <f>SUM(X3:X116)</f>
        <v>4.5855611216011116</v>
      </c>
      <c r="AC117">
        <f>SUM(AC3:AC116)</f>
        <v>0.16542079146593386</v>
      </c>
      <c r="AH117">
        <f>SUM(AH3:AH116)</f>
        <v>4.6662476270429796</v>
      </c>
      <c r="AM117">
        <f>SUM(AM3:AM116)</f>
        <v>510.96819532970119</v>
      </c>
      <c r="AR117">
        <f>SUM(AR3:AR116)</f>
        <v>8.5851755235056544</v>
      </c>
      <c r="AW117">
        <f>SUM(AW3:AW116)</f>
        <v>25.607208458639988</v>
      </c>
    </row>
    <row r="124" spans="1:49" ht="31" x14ac:dyDescent="0.35">
      <c r="A124" s="21" t="s">
        <v>60</v>
      </c>
      <c r="B124">
        <f>ABS((D117-activity_Ami!D242)/activity_Ami!D242)</f>
        <v>2.1006009243652382</v>
      </c>
      <c r="F124" s="23" t="s">
        <v>60</v>
      </c>
      <c r="G124">
        <f>ABS((I117-activity_Ami!I242)/activity_Ami!I242)</f>
        <v>7.9728589767407279E-2</v>
      </c>
      <c r="K124" s="23" t="s">
        <v>60</v>
      </c>
      <c r="L124">
        <f>ABS((N117-activity_Ami!N242)/activity_Ami!N242)</f>
        <v>0.14432492818040651</v>
      </c>
      <c r="P124" s="23" t="s">
        <v>60</v>
      </c>
      <c r="Q124">
        <f>ABS((S117-activity_Ami!S242)/activity_Ami!S242)</f>
        <v>4.9941699450276163E-2</v>
      </c>
      <c r="U124" s="23" t="s">
        <v>60</v>
      </c>
      <c r="V124">
        <f>ABS((X117-activity_Ami!X242)/activity_Ami!X242)</f>
        <v>0.11985550994521522</v>
      </c>
      <c r="Z124" s="23" t="s">
        <v>60</v>
      </c>
      <c r="AA124">
        <f>ABS((AC117-activity_Ami!AC242)/activity_Ami!AC242)</f>
        <v>9.7225605399683696E-2</v>
      </c>
      <c r="AE124" s="23" t="s">
        <v>60</v>
      </c>
      <c r="AF124">
        <f>ABS((AH117-activity_Ami!AH242)/activity_Ami!AH242)</f>
        <v>6.9652511480228135E-2</v>
      </c>
      <c r="AJ124" s="23" t="s">
        <v>60</v>
      </c>
      <c r="AK124">
        <f>ABS((AM117-activity_Ami!AM242)/activity_Ami!AM242)</f>
        <v>0.28350920293557291</v>
      </c>
      <c r="AO124" s="23" t="s">
        <v>60</v>
      </c>
      <c r="AP124">
        <f>ABS((AR117-activity_Ami!AR242)/activity_Ami!AR242)</f>
        <v>0.18144838463109628</v>
      </c>
      <c r="AT124" s="23" t="s">
        <v>60</v>
      </c>
      <c r="AU124">
        <f>ABS((AW117-activity_Ami!AW242)/activity_Ami!AW242)</f>
        <v>0.1337231074968365</v>
      </c>
    </row>
    <row r="125" spans="1:49" ht="15.5" x14ac:dyDescent="0.35">
      <c r="A125" s="21"/>
      <c r="F125" s="23"/>
      <c r="K125" s="23"/>
      <c r="P125" s="23"/>
      <c r="U125" s="23"/>
      <c r="Z125" s="23"/>
      <c r="AE125" s="23"/>
      <c r="AJ125" s="23"/>
      <c r="AO125" s="23"/>
      <c r="AT125" s="23"/>
    </row>
    <row r="126" spans="1:49" ht="15.5" x14ac:dyDescent="0.35">
      <c r="A126" s="21"/>
      <c r="F126" s="23"/>
      <c r="K126" s="23"/>
      <c r="P126" s="23"/>
      <c r="U126" s="23"/>
      <c r="Z126" s="23"/>
      <c r="AE126" s="23"/>
      <c r="AJ126" s="23"/>
      <c r="AO126" s="23"/>
      <c r="AT126" s="23"/>
    </row>
    <row r="127" spans="1:49" ht="15.5" x14ac:dyDescent="0.35">
      <c r="A127" s="21"/>
      <c r="F127" s="23"/>
      <c r="K127" s="23"/>
      <c r="P127" s="23"/>
      <c r="U127" s="23"/>
      <c r="Z127" s="23"/>
      <c r="AE127" s="23"/>
      <c r="AJ127" s="23"/>
      <c r="AO127" s="23"/>
      <c r="AT127" s="23"/>
    </row>
    <row r="130" spans="1:47" x14ac:dyDescent="0.3">
      <c r="A130" t="s">
        <v>64</v>
      </c>
      <c r="B130">
        <f>activity_Ami!D242/D117</f>
        <v>0.32251812612896069</v>
      </c>
      <c r="F130" t="s">
        <v>64</v>
      </c>
      <c r="G130">
        <f>activity_Ami!I242/I117</f>
        <v>0.92615867494572668</v>
      </c>
      <c r="K130" t="s">
        <v>64</v>
      </c>
      <c r="L130">
        <f>activity_Ami!N242/N117</f>
        <v>0.87387766828614155</v>
      </c>
      <c r="P130" t="s">
        <v>64</v>
      </c>
      <c r="Q130">
        <f>activity_Ami!S242/S117</f>
        <v>0.95243383563446959</v>
      </c>
      <c r="U130" t="s">
        <v>64</v>
      </c>
      <c r="V130">
        <f>activity_Ami!X242/X117</f>
        <v>0.89297234430620542</v>
      </c>
      <c r="Z130" t="s">
        <v>64</v>
      </c>
      <c r="AA130">
        <f>activity_Ami!AC242/AC117</f>
        <v>0.91138959488256965</v>
      </c>
      <c r="AE130" t="s">
        <v>64</v>
      </c>
      <c r="AF130">
        <f>activity_Ami!AH242/AH117</f>
        <v>0.93488304778171349</v>
      </c>
      <c r="AJ130" t="s">
        <v>64</v>
      </c>
      <c r="AK130">
        <f>activity_Ami!AM242/AM117</f>
        <v>1.395691339089286</v>
      </c>
      <c r="AO130" t="s">
        <v>64</v>
      </c>
      <c r="AP130">
        <f>activity_Ami!AR242/AR117</f>
        <v>1.2216700587040212</v>
      </c>
      <c r="AT130" t="s">
        <v>64</v>
      </c>
      <c r="AU130">
        <f>activity_Ami!AW242/AW117</f>
        <v>0.8820495881114343</v>
      </c>
    </row>
    <row r="137" spans="1:47" x14ac:dyDescent="0.3">
      <c r="A137" t="s">
        <v>69</v>
      </c>
      <c r="B137">
        <f>0.1*(B124+G124+L124+Q124+V124+AA124+AF124+AK124+AP124+AU124)</f>
        <v>0.32600104636519611</v>
      </c>
    </row>
    <row r="144" spans="1:47" x14ac:dyDescent="0.3">
      <c r="A144" t="s">
        <v>73</v>
      </c>
      <c r="B144">
        <f>(((B130-1)^2+(G130-1)^2+(L130-1)^2+(Q130-1)^2+(V130-1)^2+(AA130-1)^2+(AF130-1)^2+(AK130-1)^2+(AP130-1)^2+(AU130-1)^2)/9)^0.5</f>
        <v>0.28397419760025083</v>
      </c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4"/>
  <sheetViews>
    <sheetView topLeftCell="A103" workbookViewId="0">
      <selection activeCell="B130" sqref="B130"/>
    </sheetView>
  </sheetViews>
  <sheetFormatPr defaultRowHeight="14.5" x14ac:dyDescent="0.3"/>
  <cols>
    <col min="2" max="2" width="13.19921875" bestFit="1" customWidth="1"/>
    <col min="5" max="5" width="1.5" customWidth="1"/>
    <col min="10" max="10" width="1.69921875" customWidth="1"/>
    <col min="15" max="15" width="1.3984375" customWidth="1"/>
    <col min="20" max="20" width="1.19921875" customWidth="1"/>
    <col min="25" max="25" width="1.3984375" customWidth="1"/>
    <col min="30" max="30" width="1.3984375" customWidth="1"/>
    <col min="35" max="35" width="1.3984375" customWidth="1"/>
    <col min="40" max="40" width="1.5" customWidth="1"/>
    <col min="45" max="45" width="1.296875" customWidth="1"/>
  </cols>
  <sheetData>
    <row r="1" spans="1:49" x14ac:dyDescent="0.3">
      <c r="A1" s="26" t="s">
        <v>42</v>
      </c>
      <c r="B1" s="26"/>
      <c r="C1" s="26"/>
      <c r="D1" s="27"/>
      <c r="F1" s="26" t="s">
        <v>14</v>
      </c>
      <c r="G1" s="26"/>
      <c r="H1" s="26"/>
      <c r="I1" s="27"/>
      <c r="K1" s="26" t="s">
        <v>1</v>
      </c>
      <c r="L1" s="26"/>
      <c r="M1" s="26"/>
      <c r="N1" s="27"/>
      <c r="P1" s="26" t="s">
        <v>8</v>
      </c>
      <c r="Q1" s="26"/>
      <c r="R1" s="26"/>
      <c r="S1" s="27"/>
      <c r="U1" s="26" t="s">
        <v>9</v>
      </c>
      <c r="V1" s="26"/>
      <c r="W1" s="26"/>
      <c r="X1" s="27"/>
      <c r="Z1" s="26" t="s">
        <v>10</v>
      </c>
      <c r="AA1" s="26"/>
      <c r="AB1" s="26"/>
      <c r="AC1" s="27"/>
      <c r="AE1" s="26" t="s">
        <v>5</v>
      </c>
      <c r="AF1" s="26"/>
      <c r="AG1" s="26"/>
      <c r="AH1" s="27"/>
      <c r="AJ1" s="26" t="s">
        <v>12</v>
      </c>
      <c r="AK1" s="26"/>
      <c r="AL1" s="26"/>
      <c r="AM1" s="27"/>
      <c r="AO1" s="26" t="s">
        <v>45</v>
      </c>
      <c r="AP1" s="26"/>
      <c r="AQ1" s="26"/>
      <c r="AR1" s="27"/>
      <c r="AT1" s="26" t="s">
        <v>44</v>
      </c>
      <c r="AU1" s="26"/>
      <c r="AV1" s="26"/>
      <c r="AW1" s="27"/>
    </row>
    <row r="2" spans="1:49" x14ac:dyDescent="0.3">
      <c r="A2" s="1" t="s">
        <v>55</v>
      </c>
      <c r="B2" s="1" t="s">
        <v>56</v>
      </c>
      <c r="C2" s="1" t="s">
        <v>57</v>
      </c>
      <c r="D2" s="1" t="s">
        <v>58</v>
      </c>
      <c r="F2" s="1" t="s">
        <v>55</v>
      </c>
      <c r="G2" s="1" t="s">
        <v>56</v>
      </c>
      <c r="H2" s="1" t="s">
        <v>57</v>
      </c>
      <c r="I2" s="1" t="s">
        <v>58</v>
      </c>
      <c r="K2" s="1" t="s">
        <v>55</v>
      </c>
      <c r="L2" s="1" t="s">
        <v>56</v>
      </c>
      <c r="M2" s="1" t="s">
        <v>57</v>
      </c>
      <c r="N2" s="1" t="s">
        <v>58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55</v>
      </c>
      <c r="V2" s="1" t="s">
        <v>56</v>
      </c>
      <c r="W2" s="1" t="s">
        <v>57</v>
      </c>
      <c r="X2" s="1" t="s">
        <v>58</v>
      </c>
      <c r="Z2" s="1" t="s">
        <v>55</v>
      </c>
      <c r="AA2" s="1" t="s">
        <v>56</v>
      </c>
      <c r="AB2" s="1" t="s">
        <v>57</v>
      </c>
      <c r="AC2" s="1" t="s">
        <v>58</v>
      </c>
      <c r="AE2" s="1" t="s">
        <v>55</v>
      </c>
      <c r="AF2" s="1" t="s">
        <v>56</v>
      </c>
      <c r="AG2" s="1" t="s">
        <v>57</v>
      </c>
      <c r="AH2" s="1" t="s">
        <v>58</v>
      </c>
      <c r="AJ2" s="1" t="s">
        <v>55</v>
      </c>
      <c r="AK2" s="1" t="s">
        <v>56</v>
      </c>
      <c r="AL2" s="1" t="s">
        <v>57</v>
      </c>
      <c r="AM2" s="1" t="s">
        <v>58</v>
      </c>
      <c r="AO2" s="1" t="s">
        <v>55</v>
      </c>
      <c r="AP2" s="1" t="s">
        <v>56</v>
      </c>
      <c r="AQ2" s="1" t="s">
        <v>57</v>
      </c>
      <c r="AR2" s="1" t="s">
        <v>58</v>
      </c>
      <c r="AT2" s="1" t="s">
        <v>55</v>
      </c>
      <c r="AU2" s="1" t="s">
        <v>56</v>
      </c>
      <c r="AV2" s="1" t="s">
        <v>57</v>
      </c>
      <c r="AW2" s="1" t="s">
        <v>58</v>
      </c>
    </row>
    <row r="3" spans="1:49" x14ac:dyDescent="0.3">
      <c r="A3" s="2">
        <v>9.9999999999999994E-12</v>
      </c>
      <c r="B3" s="16">
        <v>0</v>
      </c>
      <c r="C3" s="16">
        <v>0</v>
      </c>
      <c r="D3">
        <f>B3*C3</f>
        <v>0</v>
      </c>
      <c r="F3" s="2">
        <v>9.9999999999999994E-12</v>
      </c>
      <c r="G3" s="3">
        <v>0</v>
      </c>
      <c r="H3" s="16">
        <v>0</v>
      </c>
      <c r="I3">
        <f>G3*H3</f>
        <v>0</v>
      </c>
      <c r="K3" s="2">
        <v>9.9999999999999994E-12</v>
      </c>
      <c r="L3" s="3">
        <v>0</v>
      </c>
      <c r="M3" s="16">
        <v>0</v>
      </c>
      <c r="N3">
        <f>L3*M3</f>
        <v>0</v>
      </c>
      <c r="P3" s="2">
        <v>9.9999999999999994E-12</v>
      </c>
      <c r="Q3" s="3">
        <v>0</v>
      </c>
      <c r="R3" s="16">
        <v>0</v>
      </c>
      <c r="S3">
        <f>Q3*R3</f>
        <v>0</v>
      </c>
      <c r="U3" s="2">
        <v>9.9999999999999994E-12</v>
      </c>
      <c r="V3" s="3">
        <v>0</v>
      </c>
      <c r="W3" s="16">
        <v>0</v>
      </c>
      <c r="X3">
        <f>V3*W3</f>
        <v>0</v>
      </c>
      <c r="Z3" s="2">
        <v>9.9999999999999994E-12</v>
      </c>
      <c r="AA3" s="3">
        <v>0</v>
      </c>
      <c r="AB3" s="16">
        <v>0</v>
      </c>
      <c r="AC3">
        <f>AA3*AB3</f>
        <v>0</v>
      </c>
      <c r="AE3" s="2">
        <v>9.9999999999999994E-12</v>
      </c>
      <c r="AF3" s="3">
        <v>0</v>
      </c>
      <c r="AG3" s="16">
        <v>0</v>
      </c>
      <c r="AH3">
        <f>AF3*AG3</f>
        <v>0</v>
      </c>
      <c r="AJ3" s="2">
        <v>9.9999999999999994E-12</v>
      </c>
      <c r="AK3" s="3">
        <v>0</v>
      </c>
      <c r="AL3" s="16">
        <v>0</v>
      </c>
      <c r="AM3">
        <f>AK3*AL3</f>
        <v>0</v>
      </c>
      <c r="AO3" s="2">
        <v>9.9999999999999994E-12</v>
      </c>
      <c r="AP3" s="3">
        <v>0</v>
      </c>
      <c r="AQ3" s="16">
        <v>0</v>
      </c>
      <c r="AR3">
        <f>AP3*AQ3</f>
        <v>0</v>
      </c>
      <c r="AT3" s="2">
        <v>9.9999999999999994E-12</v>
      </c>
      <c r="AU3" s="3">
        <v>0</v>
      </c>
      <c r="AV3" s="16">
        <v>0</v>
      </c>
      <c r="AW3">
        <f>AU3*AV3</f>
        <v>0</v>
      </c>
    </row>
    <row r="4" spans="1:49" x14ac:dyDescent="0.3">
      <c r="A4" s="2">
        <v>1.5849999999999999E-11</v>
      </c>
      <c r="B4" s="16">
        <v>0</v>
      </c>
      <c r="C4" s="16">
        <v>0.798943581792663</v>
      </c>
      <c r="D4">
        <f t="shared" ref="D4:D67" si="0">B4*C4</f>
        <v>0</v>
      </c>
      <c r="F4" s="2">
        <v>1.5849999999999999E-11</v>
      </c>
      <c r="G4" s="3">
        <v>0</v>
      </c>
      <c r="H4" s="16">
        <v>0</v>
      </c>
      <c r="I4">
        <f t="shared" ref="I4:I67" si="1">G4*H4</f>
        <v>0</v>
      </c>
      <c r="K4" s="2">
        <v>1.5849999999999999E-11</v>
      </c>
      <c r="L4" s="3">
        <v>0</v>
      </c>
      <c r="M4" s="16">
        <v>0</v>
      </c>
      <c r="N4">
        <f t="shared" ref="N4:N67" si="2">L4*M4</f>
        <v>0</v>
      </c>
      <c r="P4" s="2">
        <v>1.5849999999999999E-11</v>
      </c>
      <c r="Q4" s="3">
        <v>0</v>
      </c>
      <c r="R4" s="16">
        <v>0</v>
      </c>
      <c r="S4">
        <f t="shared" ref="S4:S67" si="3">Q4*R4</f>
        <v>0</v>
      </c>
      <c r="U4" s="2">
        <v>1.5849999999999999E-11</v>
      </c>
      <c r="V4" s="3">
        <v>0</v>
      </c>
      <c r="W4" s="16">
        <v>0</v>
      </c>
      <c r="X4">
        <f t="shared" ref="X4:X67" si="4">V4*W4</f>
        <v>0</v>
      </c>
      <c r="Z4" s="2">
        <v>1.5849999999999999E-11</v>
      </c>
      <c r="AA4" s="3">
        <v>0</v>
      </c>
      <c r="AB4" s="16">
        <v>0</v>
      </c>
      <c r="AC4">
        <f t="shared" ref="AC4:AC67" si="5">AA4*AB4</f>
        <v>0</v>
      </c>
      <c r="AE4" s="2">
        <v>1.5849999999999999E-11</v>
      </c>
      <c r="AF4" s="3">
        <v>0</v>
      </c>
      <c r="AG4" s="16">
        <v>0</v>
      </c>
      <c r="AH4">
        <f t="shared" ref="AH4:AH67" si="6">AF4*AG4</f>
        <v>0</v>
      </c>
      <c r="AJ4" s="2">
        <v>1.5849999999999999E-11</v>
      </c>
      <c r="AK4" s="3">
        <v>0</v>
      </c>
      <c r="AL4" s="16">
        <v>0.11829255817128</v>
      </c>
      <c r="AM4">
        <f t="shared" ref="AM4:AM67" si="7">AK4*AL4</f>
        <v>0</v>
      </c>
      <c r="AO4" s="2">
        <v>1.5849999999999999E-11</v>
      </c>
      <c r="AP4" s="3">
        <v>0</v>
      </c>
      <c r="AQ4" s="16">
        <v>1.56101461322566E-3</v>
      </c>
      <c r="AR4">
        <f t="shared" ref="AR4:AR67" si="8">AP4*AQ4</f>
        <v>0</v>
      </c>
      <c r="AT4" s="2">
        <v>1.5849999999999999E-11</v>
      </c>
      <c r="AU4" s="3">
        <v>0</v>
      </c>
      <c r="AV4" s="16">
        <v>0</v>
      </c>
      <c r="AW4">
        <f t="shared" ref="AW4:AW67" si="9">AU4*AV4</f>
        <v>0</v>
      </c>
    </row>
    <row r="5" spans="1:49" x14ac:dyDescent="0.3">
      <c r="A5" s="2">
        <v>2.512E-11</v>
      </c>
      <c r="B5" s="16">
        <v>0</v>
      </c>
      <c r="C5" s="16">
        <v>0.62523348655337296</v>
      </c>
      <c r="D5">
        <f t="shared" si="0"/>
        <v>0</v>
      </c>
      <c r="F5" s="2">
        <v>2.512E-11</v>
      </c>
      <c r="G5" s="3">
        <v>0</v>
      </c>
      <c r="H5" s="16">
        <v>0</v>
      </c>
      <c r="I5">
        <f t="shared" si="1"/>
        <v>0</v>
      </c>
      <c r="K5" s="2">
        <v>2.512E-11</v>
      </c>
      <c r="L5" s="3">
        <v>0</v>
      </c>
      <c r="M5" s="16">
        <v>0</v>
      </c>
      <c r="N5">
        <f t="shared" si="2"/>
        <v>0</v>
      </c>
      <c r="P5" s="2">
        <v>2.512E-11</v>
      </c>
      <c r="Q5" s="3">
        <v>0</v>
      </c>
      <c r="R5" s="16">
        <v>0</v>
      </c>
      <c r="S5">
        <f t="shared" si="3"/>
        <v>0</v>
      </c>
      <c r="U5" s="2">
        <v>2.512E-11</v>
      </c>
      <c r="V5" s="3">
        <v>0</v>
      </c>
      <c r="W5" s="16">
        <v>0</v>
      </c>
      <c r="X5">
        <f t="shared" si="4"/>
        <v>0</v>
      </c>
      <c r="Z5" s="2">
        <v>2.512E-11</v>
      </c>
      <c r="AA5" s="3">
        <v>0</v>
      </c>
      <c r="AB5" s="16">
        <v>0</v>
      </c>
      <c r="AC5">
        <f t="shared" si="5"/>
        <v>0</v>
      </c>
      <c r="AE5" s="2">
        <v>2.512E-11</v>
      </c>
      <c r="AF5" s="3">
        <v>0</v>
      </c>
      <c r="AG5" s="16">
        <v>0</v>
      </c>
      <c r="AH5">
        <f t="shared" si="6"/>
        <v>0</v>
      </c>
      <c r="AJ5" s="2">
        <v>2.512E-11</v>
      </c>
      <c r="AK5" s="3">
        <v>0</v>
      </c>
      <c r="AL5" s="16">
        <v>9.2572441966531999E-2</v>
      </c>
      <c r="AM5">
        <f t="shared" si="7"/>
        <v>0</v>
      </c>
      <c r="AO5" s="2">
        <v>2.512E-11</v>
      </c>
      <c r="AP5" s="3">
        <v>0</v>
      </c>
      <c r="AQ5" s="16">
        <v>1.22160711264966E-3</v>
      </c>
      <c r="AR5">
        <f t="shared" si="8"/>
        <v>0</v>
      </c>
      <c r="AT5" s="2">
        <v>2.512E-11</v>
      </c>
      <c r="AU5" s="3">
        <v>0</v>
      </c>
      <c r="AV5" s="16">
        <v>0</v>
      </c>
      <c r="AW5">
        <f t="shared" si="9"/>
        <v>0</v>
      </c>
    </row>
    <row r="6" spans="1:49" x14ac:dyDescent="0.3">
      <c r="A6" s="2">
        <v>3.9810000000000003E-11</v>
      </c>
      <c r="B6" s="16">
        <v>0</v>
      </c>
      <c r="C6" s="16">
        <v>0.48929276714064801</v>
      </c>
      <c r="D6">
        <f t="shared" si="0"/>
        <v>0</v>
      </c>
      <c r="F6" s="2">
        <v>3.9810000000000003E-11</v>
      </c>
      <c r="G6" s="3">
        <v>0</v>
      </c>
      <c r="H6" s="16">
        <v>0</v>
      </c>
      <c r="I6">
        <f t="shared" si="1"/>
        <v>0</v>
      </c>
      <c r="K6" s="2">
        <v>3.9810000000000003E-11</v>
      </c>
      <c r="L6" s="3">
        <v>0</v>
      </c>
      <c r="M6" s="16">
        <v>0</v>
      </c>
      <c r="N6">
        <f t="shared" si="2"/>
        <v>0</v>
      </c>
      <c r="P6" s="2">
        <v>3.9810000000000003E-11</v>
      </c>
      <c r="Q6" s="3">
        <v>0</v>
      </c>
      <c r="R6" s="16">
        <v>0</v>
      </c>
      <c r="S6">
        <f t="shared" si="3"/>
        <v>0</v>
      </c>
      <c r="U6" s="2">
        <v>3.9810000000000003E-11</v>
      </c>
      <c r="V6" s="3">
        <v>0</v>
      </c>
      <c r="W6" s="16">
        <v>0</v>
      </c>
      <c r="X6">
        <f t="shared" si="4"/>
        <v>0</v>
      </c>
      <c r="Z6" s="2">
        <v>3.9810000000000003E-11</v>
      </c>
      <c r="AA6" s="3">
        <v>0</v>
      </c>
      <c r="AB6" s="16">
        <v>0</v>
      </c>
      <c r="AC6">
        <f t="shared" si="5"/>
        <v>0</v>
      </c>
      <c r="AE6" s="2">
        <v>3.9810000000000003E-11</v>
      </c>
      <c r="AF6" s="3">
        <v>0</v>
      </c>
      <c r="AG6" s="16">
        <v>0</v>
      </c>
      <c r="AH6">
        <f t="shared" si="6"/>
        <v>0</v>
      </c>
      <c r="AJ6" s="2">
        <v>3.9810000000000003E-11</v>
      </c>
      <c r="AK6" s="3">
        <v>0</v>
      </c>
      <c r="AL6" s="16">
        <v>7.2444631304621407E-2</v>
      </c>
      <c r="AM6">
        <f t="shared" si="7"/>
        <v>0</v>
      </c>
      <c r="AO6" s="2">
        <v>3.9810000000000003E-11</v>
      </c>
      <c r="AP6" s="3">
        <v>0</v>
      </c>
      <c r="AQ6" s="16">
        <v>9.5599865100993802E-4</v>
      </c>
      <c r="AR6">
        <f t="shared" si="8"/>
        <v>0</v>
      </c>
      <c r="AT6" s="2">
        <v>3.9810000000000003E-11</v>
      </c>
      <c r="AU6" s="3">
        <v>0</v>
      </c>
      <c r="AV6" s="16">
        <v>0</v>
      </c>
      <c r="AW6">
        <f t="shared" si="9"/>
        <v>0</v>
      </c>
    </row>
    <row r="7" spans="1:49" x14ac:dyDescent="0.3">
      <c r="A7" s="2">
        <v>6.3099999999999994E-11</v>
      </c>
      <c r="B7" s="16">
        <v>0</v>
      </c>
      <c r="C7" s="16">
        <v>0.39206036611848899</v>
      </c>
      <c r="D7">
        <f t="shared" si="0"/>
        <v>0</v>
      </c>
      <c r="F7" s="2">
        <v>6.3099999999999994E-11</v>
      </c>
      <c r="G7" s="3">
        <v>0</v>
      </c>
      <c r="H7" s="16">
        <v>0</v>
      </c>
      <c r="I7">
        <f t="shared" si="1"/>
        <v>0</v>
      </c>
      <c r="K7" s="2">
        <v>6.3099999999999994E-11</v>
      </c>
      <c r="L7" s="3">
        <v>0</v>
      </c>
      <c r="M7" s="16">
        <v>0</v>
      </c>
      <c r="N7">
        <f t="shared" si="2"/>
        <v>0</v>
      </c>
      <c r="P7" s="2">
        <v>6.3099999999999994E-11</v>
      </c>
      <c r="Q7" s="3">
        <v>0</v>
      </c>
      <c r="R7" s="16">
        <v>0</v>
      </c>
      <c r="S7">
        <f t="shared" si="3"/>
        <v>0</v>
      </c>
      <c r="U7" s="2">
        <v>6.3099999999999994E-11</v>
      </c>
      <c r="V7" s="3">
        <v>0</v>
      </c>
      <c r="W7" s="16">
        <v>0</v>
      </c>
      <c r="X7">
        <f t="shared" si="4"/>
        <v>0</v>
      </c>
      <c r="Z7" s="2">
        <v>6.3099999999999994E-11</v>
      </c>
      <c r="AA7" s="3">
        <v>0</v>
      </c>
      <c r="AB7" s="16">
        <v>0</v>
      </c>
      <c r="AC7">
        <f t="shared" si="5"/>
        <v>0</v>
      </c>
      <c r="AE7" s="2">
        <v>6.3099999999999994E-11</v>
      </c>
      <c r="AF7" s="3">
        <v>0</v>
      </c>
      <c r="AG7" s="16">
        <v>0</v>
      </c>
      <c r="AH7">
        <f t="shared" si="6"/>
        <v>0</v>
      </c>
      <c r="AJ7" s="2">
        <v>6.3099999999999994E-11</v>
      </c>
      <c r="AK7" s="3">
        <v>0</v>
      </c>
      <c r="AL7" s="16">
        <v>5.8047995287573199E-2</v>
      </c>
      <c r="AM7">
        <f t="shared" si="7"/>
        <v>0</v>
      </c>
      <c r="AO7" s="2">
        <v>6.3099999999999994E-11</v>
      </c>
      <c r="AP7" s="3">
        <v>0</v>
      </c>
      <c r="AQ7" s="16">
        <v>7.6601603591386596E-4</v>
      </c>
      <c r="AR7">
        <f t="shared" si="8"/>
        <v>0</v>
      </c>
      <c r="AT7" s="2">
        <v>6.3099999999999994E-11</v>
      </c>
      <c r="AU7" s="3">
        <v>0</v>
      </c>
      <c r="AV7" s="16">
        <v>0</v>
      </c>
      <c r="AW7">
        <f t="shared" si="9"/>
        <v>0</v>
      </c>
    </row>
    <row r="8" spans="1:49" x14ac:dyDescent="0.3">
      <c r="A8" s="2">
        <v>1E-10</v>
      </c>
      <c r="B8" s="16">
        <v>0</v>
      </c>
      <c r="C8" s="16">
        <v>0.31471774346940201</v>
      </c>
      <c r="D8">
        <f t="shared" si="0"/>
        <v>0</v>
      </c>
      <c r="F8" s="2">
        <v>1E-10</v>
      </c>
      <c r="G8" s="3">
        <v>0</v>
      </c>
      <c r="H8" s="16">
        <v>0</v>
      </c>
      <c r="I8">
        <f t="shared" si="1"/>
        <v>0</v>
      </c>
      <c r="K8" s="2">
        <v>1E-10</v>
      </c>
      <c r="L8" s="3">
        <v>0</v>
      </c>
      <c r="M8" s="16">
        <v>0</v>
      </c>
      <c r="N8">
        <f t="shared" si="2"/>
        <v>0</v>
      </c>
      <c r="P8" s="2">
        <v>1E-10</v>
      </c>
      <c r="Q8" s="3">
        <v>0</v>
      </c>
      <c r="R8" s="16">
        <v>0</v>
      </c>
      <c r="S8">
        <f t="shared" si="3"/>
        <v>0</v>
      </c>
      <c r="U8" s="2">
        <v>1E-10</v>
      </c>
      <c r="V8" s="3">
        <v>0</v>
      </c>
      <c r="W8" s="16">
        <v>0</v>
      </c>
      <c r="X8">
        <f t="shared" si="4"/>
        <v>0</v>
      </c>
      <c r="Z8" s="2">
        <v>1E-10</v>
      </c>
      <c r="AA8" s="3">
        <v>0</v>
      </c>
      <c r="AB8" s="16">
        <v>0</v>
      </c>
      <c r="AC8">
        <f t="shared" si="5"/>
        <v>0</v>
      </c>
      <c r="AE8" s="2">
        <v>1E-10</v>
      </c>
      <c r="AF8" s="3">
        <v>0</v>
      </c>
      <c r="AG8" s="16">
        <v>0</v>
      </c>
      <c r="AH8">
        <f t="shared" si="6"/>
        <v>0</v>
      </c>
      <c r="AJ8" s="2">
        <v>1E-10</v>
      </c>
      <c r="AK8" s="3">
        <v>0</v>
      </c>
      <c r="AL8" s="16">
        <v>4.6596237002947398E-2</v>
      </c>
      <c r="AM8">
        <f t="shared" si="7"/>
        <v>0</v>
      </c>
      <c r="AO8" s="2">
        <v>1E-10</v>
      </c>
      <c r="AP8" s="3">
        <v>0</v>
      </c>
      <c r="AQ8" s="16">
        <v>6.1489598766381896E-4</v>
      </c>
      <c r="AR8">
        <f t="shared" si="8"/>
        <v>0</v>
      </c>
      <c r="AT8" s="2">
        <v>1E-10</v>
      </c>
      <c r="AU8" s="3">
        <v>0</v>
      </c>
      <c r="AV8" s="16">
        <v>0</v>
      </c>
      <c r="AW8">
        <f t="shared" si="9"/>
        <v>0</v>
      </c>
    </row>
    <row r="9" spans="1:49" x14ac:dyDescent="0.3">
      <c r="A9" s="2">
        <v>1.585E-10</v>
      </c>
      <c r="B9" s="16">
        <v>0</v>
      </c>
      <c r="C9" s="16">
        <v>0.246294360065937</v>
      </c>
      <c r="D9">
        <f t="shared" si="0"/>
        <v>0</v>
      </c>
      <c r="F9" s="2">
        <v>1.585E-10</v>
      </c>
      <c r="G9" s="3">
        <v>0</v>
      </c>
      <c r="H9" s="16">
        <v>0</v>
      </c>
      <c r="I9">
        <f t="shared" si="1"/>
        <v>0</v>
      </c>
      <c r="K9" s="2">
        <v>1.585E-10</v>
      </c>
      <c r="L9" s="3">
        <v>0</v>
      </c>
      <c r="M9" s="16">
        <v>0</v>
      </c>
      <c r="N9">
        <f t="shared" si="2"/>
        <v>0</v>
      </c>
      <c r="P9" s="2">
        <v>1.585E-10</v>
      </c>
      <c r="Q9" s="3">
        <v>0</v>
      </c>
      <c r="R9" s="16">
        <v>0</v>
      </c>
      <c r="S9">
        <f t="shared" si="3"/>
        <v>0</v>
      </c>
      <c r="U9" s="2">
        <v>1.585E-10</v>
      </c>
      <c r="V9" s="3">
        <v>0</v>
      </c>
      <c r="W9" s="16">
        <v>0</v>
      </c>
      <c r="X9">
        <f t="shared" si="4"/>
        <v>0</v>
      </c>
      <c r="Z9" s="2">
        <v>1.585E-10</v>
      </c>
      <c r="AA9" s="3">
        <v>0</v>
      </c>
      <c r="AB9" s="16">
        <v>0</v>
      </c>
      <c r="AC9">
        <f t="shared" si="5"/>
        <v>0</v>
      </c>
      <c r="AE9" s="2">
        <v>1.585E-10</v>
      </c>
      <c r="AF9" s="3">
        <v>0</v>
      </c>
      <c r="AG9" s="16">
        <v>0</v>
      </c>
      <c r="AH9">
        <f t="shared" si="6"/>
        <v>0</v>
      </c>
      <c r="AJ9" s="2">
        <v>1.585E-10</v>
      </c>
      <c r="AK9" s="3">
        <v>0</v>
      </c>
      <c r="AL9" s="16">
        <v>3.6464923673783303E-2</v>
      </c>
      <c r="AM9">
        <f t="shared" si="7"/>
        <v>0</v>
      </c>
      <c r="AO9" s="2">
        <v>1.585E-10</v>
      </c>
      <c r="AP9" s="3">
        <v>0</v>
      </c>
      <c r="AQ9" s="16">
        <v>4.8120144257978299E-4</v>
      </c>
      <c r="AR9">
        <f t="shared" si="8"/>
        <v>0</v>
      </c>
      <c r="AT9" s="2">
        <v>1.585E-10</v>
      </c>
      <c r="AU9" s="3">
        <v>0</v>
      </c>
      <c r="AV9" s="16">
        <v>0</v>
      </c>
      <c r="AW9">
        <f t="shared" si="9"/>
        <v>0</v>
      </c>
    </row>
    <row r="10" spans="1:49" x14ac:dyDescent="0.3">
      <c r="A10" s="2">
        <v>2.5120000000000002E-10</v>
      </c>
      <c r="B10" s="16">
        <v>0</v>
      </c>
      <c r="C10" s="16">
        <v>0.19735403486549499</v>
      </c>
      <c r="D10">
        <f t="shared" si="0"/>
        <v>0</v>
      </c>
      <c r="F10" s="2">
        <v>2.5120000000000002E-10</v>
      </c>
      <c r="G10" s="3">
        <v>0</v>
      </c>
      <c r="H10" s="16">
        <v>0</v>
      </c>
      <c r="I10">
        <f t="shared" si="1"/>
        <v>0</v>
      </c>
      <c r="K10" s="2">
        <v>2.5120000000000002E-10</v>
      </c>
      <c r="L10" s="3">
        <v>0</v>
      </c>
      <c r="M10" s="16">
        <v>0</v>
      </c>
      <c r="N10">
        <f t="shared" si="2"/>
        <v>0</v>
      </c>
      <c r="P10" s="2">
        <v>2.5120000000000002E-10</v>
      </c>
      <c r="Q10" s="3">
        <v>0</v>
      </c>
      <c r="R10" s="16">
        <v>0</v>
      </c>
      <c r="S10">
        <f t="shared" si="3"/>
        <v>0</v>
      </c>
      <c r="U10" s="2">
        <v>2.5120000000000002E-10</v>
      </c>
      <c r="V10" s="3">
        <v>0</v>
      </c>
      <c r="W10" s="16">
        <v>0</v>
      </c>
      <c r="X10">
        <f t="shared" si="4"/>
        <v>0</v>
      </c>
      <c r="Z10" s="2">
        <v>2.5120000000000002E-10</v>
      </c>
      <c r="AA10" s="3">
        <v>0</v>
      </c>
      <c r="AB10" s="16">
        <v>0</v>
      </c>
      <c r="AC10">
        <f t="shared" si="5"/>
        <v>0</v>
      </c>
      <c r="AE10" s="2">
        <v>2.5120000000000002E-10</v>
      </c>
      <c r="AF10" s="3">
        <v>0</v>
      </c>
      <c r="AG10" s="16">
        <v>0</v>
      </c>
      <c r="AH10">
        <f t="shared" si="6"/>
        <v>0</v>
      </c>
      <c r="AJ10" s="2">
        <v>2.5120000000000002E-10</v>
      </c>
      <c r="AK10" s="3">
        <v>0</v>
      </c>
      <c r="AL10" s="16">
        <v>2.9218370277854001E-2</v>
      </c>
      <c r="AM10">
        <f t="shared" si="7"/>
        <v>0</v>
      </c>
      <c r="AO10" s="2">
        <v>2.5120000000000002E-10</v>
      </c>
      <c r="AP10" s="3">
        <v>0</v>
      </c>
      <c r="AQ10" s="16">
        <v>3.8557440304361998E-4</v>
      </c>
      <c r="AR10">
        <f t="shared" si="8"/>
        <v>0</v>
      </c>
      <c r="AT10" s="2">
        <v>2.5120000000000002E-10</v>
      </c>
      <c r="AU10" s="3">
        <v>0</v>
      </c>
      <c r="AV10" s="16">
        <v>0</v>
      </c>
      <c r="AW10">
        <f t="shared" si="9"/>
        <v>0</v>
      </c>
    </row>
    <row r="11" spans="1:49" x14ac:dyDescent="0.3">
      <c r="A11" s="2">
        <v>3.981E-10</v>
      </c>
      <c r="B11" s="16">
        <v>0</v>
      </c>
      <c r="C11" s="16">
        <v>0.15842635575024699</v>
      </c>
      <c r="D11">
        <f t="shared" si="0"/>
        <v>0</v>
      </c>
      <c r="F11" s="2">
        <v>3.981E-10</v>
      </c>
      <c r="G11" s="3">
        <v>0</v>
      </c>
      <c r="H11" s="16">
        <v>0</v>
      </c>
      <c r="I11">
        <f t="shared" si="1"/>
        <v>0</v>
      </c>
      <c r="K11" s="2">
        <v>3.981E-10</v>
      </c>
      <c r="L11" s="3">
        <v>0</v>
      </c>
      <c r="M11" s="16">
        <v>0</v>
      </c>
      <c r="N11">
        <f t="shared" si="2"/>
        <v>0</v>
      </c>
      <c r="P11" s="2">
        <v>3.981E-10</v>
      </c>
      <c r="Q11" s="3">
        <v>0</v>
      </c>
      <c r="R11" s="16">
        <v>0</v>
      </c>
      <c r="S11">
        <f t="shared" si="3"/>
        <v>0</v>
      </c>
      <c r="U11" s="2">
        <v>3.981E-10</v>
      </c>
      <c r="V11" s="3">
        <v>0</v>
      </c>
      <c r="W11" s="16">
        <v>0</v>
      </c>
      <c r="X11">
        <f t="shared" si="4"/>
        <v>0</v>
      </c>
      <c r="Z11" s="2">
        <v>3.981E-10</v>
      </c>
      <c r="AA11" s="3">
        <v>0</v>
      </c>
      <c r="AB11" s="16">
        <v>0</v>
      </c>
      <c r="AC11">
        <f t="shared" si="5"/>
        <v>0</v>
      </c>
      <c r="AE11" s="2">
        <v>3.981E-10</v>
      </c>
      <c r="AF11" s="3">
        <v>0</v>
      </c>
      <c r="AG11" s="16">
        <v>0</v>
      </c>
      <c r="AH11">
        <f t="shared" si="6"/>
        <v>0</v>
      </c>
      <c r="AJ11" s="2">
        <v>3.981E-10</v>
      </c>
      <c r="AK11" s="3">
        <v>0</v>
      </c>
      <c r="AL11" s="16">
        <v>2.3454092003218401E-2</v>
      </c>
      <c r="AM11">
        <f t="shared" si="7"/>
        <v>0</v>
      </c>
      <c r="AO11" s="2">
        <v>3.981E-10</v>
      </c>
      <c r="AP11" s="3">
        <v>0</v>
      </c>
      <c r="AQ11" s="16">
        <v>3.0950845379443899E-4</v>
      </c>
      <c r="AR11">
        <f t="shared" si="8"/>
        <v>0</v>
      </c>
      <c r="AT11" s="2">
        <v>3.981E-10</v>
      </c>
      <c r="AU11" s="3">
        <v>0</v>
      </c>
      <c r="AV11" s="16">
        <v>0</v>
      </c>
      <c r="AW11">
        <f t="shared" si="9"/>
        <v>0</v>
      </c>
    </row>
    <row r="12" spans="1:49" x14ac:dyDescent="0.3">
      <c r="A12" s="2">
        <v>6.3099999999999999E-10</v>
      </c>
      <c r="B12" s="16">
        <v>0</v>
      </c>
      <c r="C12" s="16">
        <v>0.123989010334828</v>
      </c>
      <c r="D12">
        <f t="shared" si="0"/>
        <v>0</v>
      </c>
      <c r="F12" s="2">
        <v>6.3099999999999999E-10</v>
      </c>
      <c r="G12" s="3">
        <v>0</v>
      </c>
      <c r="H12" s="16">
        <v>0</v>
      </c>
      <c r="I12">
        <f t="shared" si="1"/>
        <v>0</v>
      </c>
      <c r="K12" s="2">
        <v>6.3099999999999999E-10</v>
      </c>
      <c r="L12" s="3">
        <v>0</v>
      </c>
      <c r="M12" s="16">
        <v>0</v>
      </c>
      <c r="N12">
        <f t="shared" si="2"/>
        <v>0</v>
      </c>
      <c r="P12" s="2">
        <v>6.3099999999999999E-10</v>
      </c>
      <c r="Q12" s="3">
        <v>0</v>
      </c>
      <c r="R12" s="16">
        <v>0</v>
      </c>
      <c r="S12">
        <f t="shared" si="3"/>
        <v>0</v>
      </c>
      <c r="U12" s="2">
        <v>6.3099999999999999E-10</v>
      </c>
      <c r="V12" s="3">
        <v>0</v>
      </c>
      <c r="W12" s="16">
        <v>0</v>
      </c>
      <c r="X12">
        <f t="shared" si="4"/>
        <v>0</v>
      </c>
      <c r="Z12" s="2">
        <v>6.3099999999999999E-10</v>
      </c>
      <c r="AA12" s="3">
        <v>0</v>
      </c>
      <c r="AB12" s="16">
        <v>0</v>
      </c>
      <c r="AC12">
        <f t="shared" si="5"/>
        <v>0</v>
      </c>
      <c r="AE12" s="2">
        <v>6.3099999999999999E-10</v>
      </c>
      <c r="AF12" s="3">
        <v>0</v>
      </c>
      <c r="AG12" s="16">
        <v>0</v>
      </c>
      <c r="AH12">
        <f t="shared" si="6"/>
        <v>0</v>
      </c>
      <c r="AJ12" s="2">
        <v>6.3099999999999999E-10</v>
      </c>
      <c r="AK12" s="3">
        <v>0</v>
      </c>
      <c r="AL12" s="16">
        <v>1.8354481389851199E-2</v>
      </c>
      <c r="AM12">
        <f t="shared" si="7"/>
        <v>0</v>
      </c>
      <c r="AO12" s="2">
        <v>6.3099999999999999E-10</v>
      </c>
      <c r="AP12" s="3">
        <v>0</v>
      </c>
      <c r="AQ12" s="16">
        <v>2.4221345095772301E-4</v>
      </c>
      <c r="AR12">
        <f t="shared" si="8"/>
        <v>0</v>
      </c>
      <c r="AT12" s="2">
        <v>6.3099999999999999E-10</v>
      </c>
      <c r="AU12" s="3">
        <v>0</v>
      </c>
      <c r="AV12" s="16">
        <v>0</v>
      </c>
      <c r="AW12">
        <f t="shared" si="9"/>
        <v>0</v>
      </c>
    </row>
    <row r="13" spans="1:49" x14ac:dyDescent="0.3">
      <c r="A13" s="2">
        <v>1.0000000000000001E-9</v>
      </c>
      <c r="B13" s="16">
        <v>0</v>
      </c>
      <c r="C13" s="16">
        <v>9.9359413427947907E-2</v>
      </c>
      <c r="D13">
        <f t="shared" si="0"/>
        <v>0</v>
      </c>
      <c r="F13" s="2">
        <v>1.0000000000000001E-9</v>
      </c>
      <c r="G13" s="3">
        <v>0</v>
      </c>
      <c r="H13" s="16">
        <v>0</v>
      </c>
      <c r="I13">
        <f t="shared" si="1"/>
        <v>0</v>
      </c>
      <c r="K13" s="2">
        <v>1.0000000000000001E-9</v>
      </c>
      <c r="L13" s="3">
        <v>0</v>
      </c>
      <c r="M13" s="16">
        <v>0</v>
      </c>
      <c r="N13">
        <f t="shared" si="2"/>
        <v>0</v>
      </c>
      <c r="P13" s="2">
        <v>1.0000000000000001E-9</v>
      </c>
      <c r="Q13" s="3">
        <v>0</v>
      </c>
      <c r="R13" s="16">
        <v>0</v>
      </c>
      <c r="S13">
        <f t="shared" si="3"/>
        <v>0</v>
      </c>
      <c r="U13" s="2">
        <v>1.0000000000000001E-9</v>
      </c>
      <c r="V13" s="3">
        <v>0</v>
      </c>
      <c r="W13" s="16">
        <v>0</v>
      </c>
      <c r="X13">
        <f t="shared" si="4"/>
        <v>0</v>
      </c>
      <c r="Z13" s="2">
        <v>1.0000000000000001E-9</v>
      </c>
      <c r="AA13" s="3">
        <v>0</v>
      </c>
      <c r="AB13" s="16">
        <v>0</v>
      </c>
      <c r="AC13">
        <f t="shared" si="5"/>
        <v>0</v>
      </c>
      <c r="AE13" s="2">
        <v>1.0000000000000001E-9</v>
      </c>
      <c r="AF13" s="3">
        <v>0</v>
      </c>
      <c r="AG13" s="16">
        <v>0</v>
      </c>
      <c r="AH13">
        <f t="shared" si="6"/>
        <v>0</v>
      </c>
      <c r="AJ13" s="2">
        <v>1.0000000000000001E-9</v>
      </c>
      <c r="AK13" s="3">
        <v>0</v>
      </c>
      <c r="AL13" s="16">
        <v>1.4706904436897501E-2</v>
      </c>
      <c r="AM13">
        <f t="shared" si="7"/>
        <v>0</v>
      </c>
      <c r="AO13" s="2">
        <v>1.0000000000000001E-9</v>
      </c>
      <c r="AP13" s="3">
        <v>0</v>
      </c>
      <c r="AQ13" s="16">
        <v>1.9407987111495699E-4</v>
      </c>
      <c r="AR13">
        <f t="shared" si="8"/>
        <v>0</v>
      </c>
      <c r="AT13" s="2">
        <v>1.0000000000000001E-9</v>
      </c>
      <c r="AU13" s="3">
        <v>0</v>
      </c>
      <c r="AV13" s="16">
        <v>0</v>
      </c>
      <c r="AW13">
        <f t="shared" si="9"/>
        <v>0</v>
      </c>
    </row>
    <row r="14" spans="1:49" x14ac:dyDescent="0.3">
      <c r="A14" s="2">
        <v>1.585E-9</v>
      </c>
      <c r="B14" s="16">
        <v>11024.768589764</v>
      </c>
      <c r="C14" s="16">
        <v>7.9770429202616303E-2</v>
      </c>
      <c r="D14">
        <f t="shared" si="0"/>
        <v>879.45052226499718</v>
      </c>
      <c r="F14" s="2">
        <v>1.585E-9</v>
      </c>
      <c r="G14" s="3">
        <v>11024.768589764</v>
      </c>
      <c r="H14" s="16">
        <v>0</v>
      </c>
      <c r="I14">
        <f t="shared" si="1"/>
        <v>0</v>
      </c>
      <c r="K14" s="2">
        <v>1.585E-9</v>
      </c>
      <c r="L14" s="3">
        <v>11024.768589764</v>
      </c>
      <c r="M14" s="16">
        <v>0</v>
      </c>
      <c r="N14">
        <f t="shared" si="2"/>
        <v>0</v>
      </c>
      <c r="P14" s="2">
        <v>1.585E-9</v>
      </c>
      <c r="Q14" s="3">
        <v>11024.768589764</v>
      </c>
      <c r="R14" s="16">
        <v>0</v>
      </c>
      <c r="S14">
        <f t="shared" si="3"/>
        <v>0</v>
      </c>
      <c r="U14" s="2">
        <v>1.585E-9</v>
      </c>
      <c r="V14" s="3">
        <v>11024.768589764</v>
      </c>
      <c r="W14" s="16">
        <v>0</v>
      </c>
      <c r="X14">
        <f t="shared" si="4"/>
        <v>0</v>
      </c>
      <c r="Z14" s="2">
        <v>1.585E-9</v>
      </c>
      <c r="AA14" s="3">
        <v>11024.768589764</v>
      </c>
      <c r="AB14" s="16">
        <v>0</v>
      </c>
      <c r="AC14">
        <f t="shared" si="5"/>
        <v>0</v>
      </c>
      <c r="AE14" s="2">
        <v>1.585E-9</v>
      </c>
      <c r="AF14" s="3">
        <v>11024.768589764</v>
      </c>
      <c r="AG14" s="16">
        <v>0</v>
      </c>
      <c r="AH14">
        <f t="shared" si="6"/>
        <v>0</v>
      </c>
      <c r="AJ14" s="2">
        <v>1.585E-9</v>
      </c>
      <c r="AK14" s="3">
        <v>11024.768589764</v>
      </c>
      <c r="AL14" s="16">
        <v>1.1805427280899099E-2</v>
      </c>
      <c r="AM14">
        <f t="shared" si="7"/>
        <v>130.15210387519943</v>
      </c>
      <c r="AO14" s="2">
        <v>1.585E-9</v>
      </c>
      <c r="AP14" s="3">
        <v>11024.768589764</v>
      </c>
      <c r="AQ14" s="16">
        <v>1.5579249801165099E-4</v>
      </c>
      <c r="AR14">
        <f t="shared" si="8"/>
        <v>1.7175762385997204</v>
      </c>
      <c r="AT14" s="2">
        <v>1.585E-9</v>
      </c>
      <c r="AU14" s="3">
        <v>11024.768589764</v>
      </c>
      <c r="AV14" s="16">
        <v>0</v>
      </c>
      <c r="AW14">
        <f t="shared" si="9"/>
        <v>0</v>
      </c>
    </row>
    <row r="15" spans="1:49" x14ac:dyDescent="0.3">
      <c r="A15" s="2">
        <v>2.512E-9</v>
      </c>
      <c r="B15" s="16">
        <v>8627.5124656075404</v>
      </c>
      <c r="C15" s="16">
        <v>6.2443828157913897E-2</v>
      </c>
      <c r="D15">
        <f t="shared" si="0"/>
        <v>538.73490583265732</v>
      </c>
      <c r="F15" s="2">
        <v>2.512E-9</v>
      </c>
      <c r="G15" s="3">
        <v>8627.5124656075404</v>
      </c>
      <c r="H15" s="16">
        <v>0</v>
      </c>
      <c r="I15">
        <f t="shared" si="1"/>
        <v>0</v>
      </c>
      <c r="K15" s="2">
        <v>2.512E-9</v>
      </c>
      <c r="L15" s="3">
        <v>8627.5124656075404</v>
      </c>
      <c r="M15" s="16">
        <v>0</v>
      </c>
      <c r="N15">
        <f t="shared" si="2"/>
        <v>0</v>
      </c>
      <c r="P15" s="2">
        <v>2.512E-9</v>
      </c>
      <c r="Q15" s="3">
        <v>8627.5124656075404</v>
      </c>
      <c r="R15" s="16">
        <v>0</v>
      </c>
      <c r="S15">
        <f t="shared" si="3"/>
        <v>0</v>
      </c>
      <c r="U15" s="2">
        <v>2.512E-9</v>
      </c>
      <c r="V15" s="3">
        <v>8627.5124656075404</v>
      </c>
      <c r="W15" s="16">
        <v>0</v>
      </c>
      <c r="X15">
        <f t="shared" si="4"/>
        <v>0</v>
      </c>
      <c r="Z15" s="2">
        <v>2.512E-9</v>
      </c>
      <c r="AA15" s="3">
        <v>8627.5124656075404</v>
      </c>
      <c r="AB15" s="16">
        <v>0</v>
      </c>
      <c r="AC15">
        <f t="shared" si="5"/>
        <v>0</v>
      </c>
      <c r="AE15" s="2">
        <v>2.512E-9</v>
      </c>
      <c r="AF15" s="3">
        <v>8627.5124656075404</v>
      </c>
      <c r="AG15" s="16">
        <v>0</v>
      </c>
      <c r="AH15">
        <f t="shared" si="6"/>
        <v>0</v>
      </c>
      <c r="AJ15" s="2">
        <v>2.512E-9</v>
      </c>
      <c r="AK15" s="3">
        <v>8627.5124656075404</v>
      </c>
      <c r="AL15" s="16">
        <v>9.2385028715731808E-3</v>
      </c>
      <c r="AM15">
        <f t="shared" si="7"/>
        <v>79.705298688048671</v>
      </c>
      <c r="AO15" s="2">
        <v>2.512E-9</v>
      </c>
      <c r="AP15" s="3">
        <v>8627.5124656075404</v>
      </c>
      <c r="AQ15" s="16">
        <v>1.2192030435796E-4</v>
      </c>
      <c r="AR15">
        <f t="shared" si="8"/>
        <v>1.0518689456589652</v>
      </c>
      <c r="AT15" s="2">
        <v>2.512E-9</v>
      </c>
      <c r="AU15" s="3">
        <v>8627.5124656075404</v>
      </c>
      <c r="AV15" s="16">
        <v>0</v>
      </c>
      <c r="AW15">
        <f t="shared" si="9"/>
        <v>0</v>
      </c>
    </row>
    <row r="16" spans="1:49" x14ac:dyDescent="0.3">
      <c r="A16" s="2">
        <v>3.9810000000000002E-9</v>
      </c>
      <c r="B16" s="16">
        <v>6751.4477739570102</v>
      </c>
      <c r="C16" s="16">
        <v>4.8889874021546598E-2</v>
      </c>
      <c r="D16">
        <f t="shared" si="0"/>
        <v>330.07743113180942</v>
      </c>
      <c r="F16" s="2">
        <v>3.9810000000000002E-9</v>
      </c>
      <c r="G16" s="3">
        <v>6751.4477739570102</v>
      </c>
      <c r="H16" s="16">
        <v>0</v>
      </c>
      <c r="I16">
        <f t="shared" si="1"/>
        <v>0</v>
      </c>
      <c r="K16" s="2">
        <v>3.9810000000000002E-9</v>
      </c>
      <c r="L16" s="3">
        <v>6751.4477739570102</v>
      </c>
      <c r="M16" s="16">
        <v>0</v>
      </c>
      <c r="N16">
        <f t="shared" si="2"/>
        <v>0</v>
      </c>
      <c r="P16" s="2">
        <v>3.9810000000000002E-9</v>
      </c>
      <c r="Q16" s="3">
        <v>6751.4477739570102</v>
      </c>
      <c r="R16" s="16">
        <v>0</v>
      </c>
      <c r="S16">
        <f t="shared" si="3"/>
        <v>0</v>
      </c>
      <c r="U16" s="2">
        <v>3.9810000000000002E-9</v>
      </c>
      <c r="V16" s="3">
        <v>6751.4477739570102</v>
      </c>
      <c r="W16" s="16">
        <v>0</v>
      </c>
      <c r="X16">
        <f t="shared" si="4"/>
        <v>0</v>
      </c>
      <c r="Z16" s="2">
        <v>3.9810000000000002E-9</v>
      </c>
      <c r="AA16" s="3">
        <v>6751.4477739570102</v>
      </c>
      <c r="AB16" s="16">
        <v>0</v>
      </c>
      <c r="AC16">
        <f t="shared" si="5"/>
        <v>0</v>
      </c>
      <c r="AE16" s="2">
        <v>3.9810000000000002E-9</v>
      </c>
      <c r="AF16" s="3">
        <v>6751.4477739570102</v>
      </c>
      <c r="AG16" s="16">
        <v>0</v>
      </c>
      <c r="AH16">
        <f t="shared" si="6"/>
        <v>0</v>
      </c>
      <c r="AJ16" s="2">
        <v>3.9810000000000002E-9</v>
      </c>
      <c r="AK16" s="3">
        <v>6751.4477739570102</v>
      </c>
      <c r="AL16" s="16">
        <v>7.2296817924806201E-3</v>
      </c>
      <c r="AM16">
        <f t="shared" si="7"/>
        <v>48.810819044260811</v>
      </c>
      <c r="AO16" s="2">
        <v>3.9810000000000002E-9</v>
      </c>
      <c r="AP16" s="3">
        <v>6751.4477739570102</v>
      </c>
      <c r="AQ16" s="17">
        <v>9.5412924837143798E-5</v>
      </c>
      <c r="AR16">
        <f t="shared" si="8"/>
        <v>0.644175378998462</v>
      </c>
      <c r="AT16" s="2">
        <v>3.9810000000000002E-9</v>
      </c>
      <c r="AU16" s="3">
        <v>6751.4477739570102</v>
      </c>
      <c r="AV16" s="16">
        <v>0</v>
      </c>
      <c r="AW16">
        <f t="shared" si="9"/>
        <v>0</v>
      </c>
    </row>
    <row r="17" spans="1:49" x14ac:dyDescent="0.3">
      <c r="A17" s="2">
        <v>6.3099999999999999E-9</v>
      </c>
      <c r="B17" s="16">
        <v>5409.5456835589703</v>
      </c>
      <c r="C17" s="16">
        <v>3.9202326966341801E-2</v>
      </c>
      <c r="D17">
        <f t="shared" si="0"/>
        <v>212.0667786262417</v>
      </c>
      <c r="F17" s="2">
        <v>6.3099999999999999E-9</v>
      </c>
      <c r="G17" s="3">
        <v>5409.5456835589703</v>
      </c>
      <c r="H17" s="16">
        <v>0</v>
      </c>
      <c r="I17">
        <f t="shared" si="1"/>
        <v>0</v>
      </c>
      <c r="K17" s="2">
        <v>6.3099999999999999E-9</v>
      </c>
      <c r="L17" s="3">
        <v>5409.5456835589703</v>
      </c>
      <c r="M17" s="16">
        <v>0</v>
      </c>
      <c r="N17">
        <f t="shared" si="2"/>
        <v>0</v>
      </c>
      <c r="P17" s="2">
        <v>6.3099999999999999E-9</v>
      </c>
      <c r="Q17" s="3">
        <v>5409.5456835589703</v>
      </c>
      <c r="R17" s="16">
        <v>0</v>
      </c>
      <c r="S17">
        <f t="shared" si="3"/>
        <v>0</v>
      </c>
      <c r="U17" s="2">
        <v>6.3099999999999999E-9</v>
      </c>
      <c r="V17" s="3">
        <v>5409.5456835589703</v>
      </c>
      <c r="W17" s="16">
        <v>0</v>
      </c>
      <c r="X17">
        <f t="shared" si="4"/>
        <v>0</v>
      </c>
      <c r="Z17" s="2">
        <v>6.3099999999999999E-9</v>
      </c>
      <c r="AA17" s="3">
        <v>5409.5456835589703</v>
      </c>
      <c r="AB17" s="16">
        <v>0</v>
      </c>
      <c r="AC17">
        <f t="shared" si="5"/>
        <v>0</v>
      </c>
      <c r="AE17" s="2">
        <v>6.3099999999999999E-9</v>
      </c>
      <c r="AF17" s="3">
        <v>5409.5456835589703</v>
      </c>
      <c r="AG17" s="16">
        <v>0</v>
      </c>
      <c r="AH17">
        <f t="shared" si="6"/>
        <v>0</v>
      </c>
      <c r="AJ17" s="2">
        <v>6.3099999999999999E-9</v>
      </c>
      <c r="AK17" s="3">
        <v>5409.5456835589703</v>
      </c>
      <c r="AL17" s="16">
        <v>5.7928534043110401E-3</v>
      </c>
      <c r="AM17">
        <f t="shared" si="7"/>
        <v>31.336705128780672</v>
      </c>
      <c r="AO17" s="2">
        <v>6.3099999999999999E-9</v>
      </c>
      <c r="AP17" s="3">
        <v>5409.5456835589703</v>
      </c>
      <c r="AQ17" s="17">
        <v>7.6453416994464994E-5</v>
      </c>
      <c r="AR17">
        <f t="shared" si="8"/>
        <v>0.41357825189574215</v>
      </c>
      <c r="AT17" s="2">
        <v>6.3099999999999999E-9</v>
      </c>
      <c r="AU17" s="3">
        <v>5409.5456835589703</v>
      </c>
      <c r="AV17" s="16">
        <v>0</v>
      </c>
      <c r="AW17">
        <f t="shared" si="9"/>
        <v>0</v>
      </c>
    </row>
    <row r="18" spans="1:49" x14ac:dyDescent="0.3">
      <c r="A18" s="2">
        <v>1E-8</v>
      </c>
      <c r="B18" s="16">
        <v>4342.1652103967799</v>
      </c>
      <c r="C18" s="16">
        <v>3.1502810224531698E-2</v>
      </c>
      <c r="D18">
        <f t="shared" si="0"/>
        <v>136.79040658669351</v>
      </c>
      <c r="F18" s="2">
        <v>1E-8</v>
      </c>
      <c r="G18" s="3">
        <v>4342.1652103967799</v>
      </c>
      <c r="H18" s="16">
        <v>0</v>
      </c>
      <c r="I18">
        <f t="shared" si="1"/>
        <v>0</v>
      </c>
      <c r="K18" s="2">
        <v>1E-8</v>
      </c>
      <c r="L18" s="3">
        <v>4342.1652103967799</v>
      </c>
      <c r="M18" s="16">
        <v>0</v>
      </c>
      <c r="N18">
        <f t="shared" si="2"/>
        <v>0</v>
      </c>
      <c r="P18" s="2">
        <v>1E-8</v>
      </c>
      <c r="Q18" s="3">
        <v>4342.1652103967799</v>
      </c>
      <c r="R18" s="16">
        <v>0</v>
      </c>
      <c r="S18">
        <f t="shared" si="3"/>
        <v>0</v>
      </c>
      <c r="U18" s="2">
        <v>1E-8</v>
      </c>
      <c r="V18" s="3">
        <v>4342.1652103967799</v>
      </c>
      <c r="W18" s="16">
        <v>0</v>
      </c>
      <c r="X18">
        <f t="shared" si="4"/>
        <v>0</v>
      </c>
      <c r="Z18" s="2">
        <v>1E-8</v>
      </c>
      <c r="AA18" s="3">
        <v>4342.1652103967799</v>
      </c>
      <c r="AB18" s="16">
        <v>0</v>
      </c>
      <c r="AC18">
        <f t="shared" si="5"/>
        <v>0</v>
      </c>
      <c r="AE18" s="2">
        <v>1E-8</v>
      </c>
      <c r="AF18" s="3">
        <v>4342.1652103967799</v>
      </c>
      <c r="AG18" s="16">
        <v>0</v>
      </c>
      <c r="AH18">
        <f t="shared" si="6"/>
        <v>0</v>
      </c>
      <c r="AJ18" s="2">
        <v>1E-8</v>
      </c>
      <c r="AK18" s="3">
        <v>4342.1652103967799</v>
      </c>
      <c r="AL18" s="16">
        <v>4.6499923059309198E-3</v>
      </c>
      <c r="AM18">
        <f t="shared" si="7"/>
        <v>20.191034819425941</v>
      </c>
      <c r="AO18" s="2">
        <v>1E-8</v>
      </c>
      <c r="AP18" s="3">
        <v>4342.1652103967799</v>
      </c>
      <c r="AQ18" s="17">
        <v>6.1372666905344298E-5</v>
      </c>
      <c r="AR18">
        <f t="shared" si="8"/>
        <v>0.26649025910565582</v>
      </c>
      <c r="AT18" s="2">
        <v>1E-8</v>
      </c>
      <c r="AU18" s="3">
        <v>4342.1652103967799</v>
      </c>
      <c r="AV18" s="16">
        <v>0</v>
      </c>
      <c r="AW18">
        <f t="shared" si="9"/>
        <v>0</v>
      </c>
    </row>
    <row r="19" spans="1:49" x14ac:dyDescent="0.3">
      <c r="A19" s="2">
        <v>1.585E-8</v>
      </c>
      <c r="B19" s="16">
        <v>4466.9496172325198</v>
      </c>
      <c r="C19" s="16">
        <v>2.4698515863168399E-2</v>
      </c>
      <c r="D19">
        <f t="shared" si="0"/>
        <v>110.3270259811914</v>
      </c>
      <c r="F19" s="2">
        <v>1.585E-8</v>
      </c>
      <c r="G19" s="3">
        <v>4466.9496172325198</v>
      </c>
      <c r="H19" s="16">
        <v>0</v>
      </c>
      <c r="I19">
        <f t="shared" si="1"/>
        <v>0</v>
      </c>
      <c r="K19" s="2">
        <v>1.585E-8</v>
      </c>
      <c r="L19" s="3">
        <v>4466.9496172325198</v>
      </c>
      <c r="M19" s="16">
        <v>0</v>
      </c>
      <c r="N19">
        <f t="shared" si="2"/>
        <v>0</v>
      </c>
      <c r="P19" s="2">
        <v>1.585E-8</v>
      </c>
      <c r="Q19" s="3">
        <v>4466.9496172325198</v>
      </c>
      <c r="R19" s="16">
        <v>0</v>
      </c>
      <c r="S19">
        <f t="shared" si="3"/>
        <v>0</v>
      </c>
      <c r="U19" s="2">
        <v>1.585E-8</v>
      </c>
      <c r="V19" s="3">
        <v>4466.9496172325198</v>
      </c>
      <c r="W19" s="16">
        <v>0</v>
      </c>
      <c r="X19">
        <f t="shared" si="4"/>
        <v>0</v>
      </c>
      <c r="Z19" s="2">
        <v>1.585E-8</v>
      </c>
      <c r="AA19" s="3">
        <v>4466.9496172325198</v>
      </c>
      <c r="AB19" s="16">
        <v>0</v>
      </c>
      <c r="AC19">
        <f t="shared" si="5"/>
        <v>0</v>
      </c>
      <c r="AE19" s="2">
        <v>1.585E-8</v>
      </c>
      <c r="AF19" s="3">
        <v>4466.9496172325198</v>
      </c>
      <c r="AG19" s="16">
        <v>0</v>
      </c>
      <c r="AH19">
        <f t="shared" si="6"/>
        <v>0</v>
      </c>
      <c r="AJ19" s="2">
        <v>1.585E-8</v>
      </c>
      <c r="AK19" s="3">
        <v>4466.9496172325198</v>
      </c>
      <c r="AL19" s="16">
        <v>3.6389536889687899E-3</v>
      </c>
      <c r="AM19">
        <f t="shared" si="7"/>
        <v>16.255022788066</v>
      </c>
      <c r="AO19" s="2">
        <v>1.585E-8</v>
      </c>
      <c r="AP19" s="3">
        <v>4466.9496172325198</v>
      </c>
      <c r="AQ19" s="17">
        <v>4.8032491311532497E-5</v>
      </c>
      <c r="AR19">
        <f t="shared" si="8"/>
        <v>0.21455871867877443</v>
      </c>
      <c r="AT19" s="2">
        <v>1.585E-8</v>
      </c>
      <c r="AU19" s="3">
        <v>4466.9496172325198</v>
      </c>
      <c r="AV19" s="16">
        <v>0</v>
      </c>
      <c r="AW19">
        <f t="shared" si="9"/>
        <v>0</v>
      </c>
    </row>
    <row r="20" spans="1:49" x14ac:dyDescent="0.3">
      <c r="A20" s="2">
        <v>2.5119999999999999E-8</v>
      </c>
      <c r="B20" s="16">
        <v>8646.8523084443204</v>
      </c>
      <c r="C20" s="16">
        <v>1.9842178704818601E-2</v>
      </c>
      <c r="D20">
        <f t="shared" si="0"/>
        <v>171.57238873832546</v>
      </c>
      <c r="F20" s="2">
        <v>2.5119999999999999E-8</v>
      </c>
      <c r="G20" s="3">
        <v>8646.8523084443204</v>
      </c>
      <c r="H20" s="16">
        <v>0</v>
      </c>
      <c r="I20">
        <f t="shared" si="1"/>
        <v>0</v>
      </c>
      <c r="K20" s="2">
        <v>2.5119999999999999E-8</v>
      </c>
      <c r="L20" s="3">
        <v>8646.8523084443204</v>
      </c>
      <c r="M20" s="16">
        <v>0</v>
      </c>
      <c r="N20">
        <f t="shared" si="2"/>
        <v>0</v>
      </c>
      <c r="P20" s="2">
        <v>2.5119999999999999E-8</v>
      </c>
      <c r="Q20" s="3">
        <v>8646.8523084443204</v>
      </c>
      <c r="R20" s="16">
        <v>0</v>
      </c>
      <c r="S20">
        <f t="shared" si="3"/>
        <v>0</v>
      </c>
      <c r="U20" s="2">
        <v>2.5119999999999999E-8</v>
      </c>
      <c r="V20" s="3">
        <v>8646.8523084443204</v>
      </c>
      <c r="W20" s="16">
        <v>0</v>
      </c>
      <c r="X20">
        <f t="shared" si="4"/>
        <v>0</v>
      </c>
      <c r="Z20" s="2">
        <v>2.5119999999999999E-8</v>
      </c>
      <c r="AA20" s="3">
        <v>8646.8523084443204</v>
      </c>
      <c r="AB20" s="16">
        <v>0</v>
      </c>
      <c r="AC20">
        <f t="shared" si="5"/>
        <v>0</v>
      </c>
      <c r="AE20" s="2">
        <v>2.5119999999999999E-8</v>
      </c>
      <c r="AF20" s="3">
        <v>8646.8523084443204</v>
      </c>
      <c r="AG20" s="16">
        <v>0</v>
      </c>
      <c r="AH20">
        <f t="shared" si="6"/>
        <v>0</v>
      </c>
      <c r="AJ20" s="2">
        <v>2.5119999999999999E-8</v>
      </c>
      <c r="AK20" s="3">
        <v>8646.8523084443204</v>
      </c>
      <c r="AL20" s="16">
        <v>2.9158247577691998E-3</v>
      </c>
      <c r="AM20">
        <f t="shared" si="7"/>
        <v>25.212706037735707</v>
      </c>
      <c r="AO20" s="2">
        <v>2.5119999999999999E-8</v>
      </c>
      <c r="AP20" s="3">
        <v>8646.8523084443204</v>
      </c>
      <c r="AQ20" s="17">
        <v>3.8493295036361199E-5</v>
      </c>
      <c r="AR20">
        <f t="shared" si="8"/>
        <v>0.33284583704478815</v>
      </c>
      <c r="AT20" s="2">
        <v>2.5119999999999999E-8</v>
      </c>
      <c r="AU20" s="3">
        <v>8646.8523084443204</v>
      </c>
      <c r="AV20" s="16">
        <v>0</v>
      </c>
      <c r="AW20">
        <f t="shared" si="9"/>
        <v>0</v>
      </c>
    </row>
    <row r="21" spans="1:49" x14ac:dyDescent="0.3">
      <c r="A21" s="2">
        <v>3.9809999999999997E-8</v>
      </c>
      <c r="B21" s="16">
        <v>13625.538959940901</v>
      </c>
      <c r="C21" s="16">
        <v>1.6332696134498101E-2</v>
      </c>
      <c r="D21">
        <f t="shared" si="0"/>
        <v>222.54178750148003</v>
      </c>
      <c r="F21" s="2">
        <v>3.9809999999999997E-8</v>
      </c>
      <c r="G21" s="3">
        <v>13625.538959940901</v>
      </c>
      <c r="H21" s="16">
        <v>0</v>
      </c>
      <c r="I21">
        <f t="shared" si="1"/>
        <v>0</v>
      </c>
      <c r="K21" s="2">
        <v>3.9809999999999997E-8</v>
      </c>
      <c r="L21" s="3">
        <v>13625.538959940901</v>
      </c>
      <c r="M21" s="16">
        <v>0</v>
      </c>
      <c r="N21">
        <f t="shared" si="2"/>
        <v>0</v>
      </c>
      <c r="P21" s="2">
        <v>3.9809999999999997E-8</v>
      </c>
      <c r="Q21" s="3">
        <v>13625.538959940901</v>
      </c>
      <c r="R21" s="16">
        <v>0</v>
      </c>
      <c r="S21">
        <f t="shared" si="3"/>
        <v>0</v>
      </c>
      <c r="U21" s="2">
        <v>3.9809999999999997E-8</v>
      </c>
      <c r="V21" s="3">
        <v>13625.538959940901</v>
      </c>
      <c r="W21" s="16">
        <v>0</v>
      </c>
      <c r="X21">
        <f t="shared" si="4"/>
        <v>0</v>
      </c>
      <c r="Z21" s="2">
        <v>3.9809999999999997E-8</v>
      </c>
      <c r="AA21" s="3">
        <v>13625.538959940901</v>
      </c>
      <c r="AB21" s="16">
        <v>0</v>
      </c>
      <c r="AC21">
        <f t="shared" si="5"/>
        <v>0</v>
      </c>
      <c r="AE21" s="2">
        <v>3.9809999999999997E-8</v>
      </c>
      <c r="AF21" s="3">
        <v>13625.538959940901</v>
      </c>
      <c r="AG21" s="16">
        <v>0</v>
      </c>
      <c r="AH21">
        <f t="shared" si="6"/>
        <v>0</v>
      </c>
      <c r="AJ21" s="2">
        <v>3.9809999999999997E-8</v>
      </c>
      <c r="AK21" s="3">
        <v>13625.538959940901</v>
      </c>
      <c r="AL21" s="16">
        <v>2.3915356985581499E-3</v>
      </c>
      <c r="AM21">
        <f t="shared" si="7"/>
        <v>32.585962834793548</v>
      </c>
      <c r="AO21" s="2">
        <v>3.9809999999999997E-8</v>
      </c>
      <c r="AP21" s="3">
        <v>13625.538959940901</v>
      </c>
      <c r="AQ21" s="17">
        <v>3.1575477540512601E-5</v>
      </c>
      <c r="AR21">
        <f t="shared" si="8"/>
        <v>0.43023289940699333</v>
      </c>
      <c r="AT21" s="2">
        <v>3.9809999999999997E-8</v>
      </c>
      <c r="AU21" s="3">
        <v>13625.538959940901</v>
      </c>
      <c r="AV21" s="16">
        <v>0</v>
      </c>
      <c r="AW21">
        <f t="shared" si="9"/>
        <v>0</v>
      </c>
    </row>
    <row r="22" spans="1:49" x14ac:dyDescent="0.3">
      <c r="A22" s="2">
        <v>6.3100000000000003E-8</v>
      </c>
      <c r="B22" s="16">
        <v>18827.6333143663</v>
      </c>
      <c r="C22" s="16">
        <v>1.2664189851213399E-2</v>
      </c>
      <c r="D22">
        <f t="shared" si="0"/>
        <v>238.43672274216499</v>
      </c>
      <c r="F22" s="2">
        <v>6.3100000000000003E-8</v>
      </c>
      <c r="G22" s="3">
        <v>18827.6333143663</v>
      </c>
      <c r="H22" s="16">
        <v>0</v>
      </c>
      <c r="I22">
        <f t="shared" si="1"/>
        <v>0</v>
      </c>
      <c r="K22" s="2">
        <v>6.3100000000000003E-8</v>
      </c>
      <c r="L22" s="3">
        <v>18827.6333143663</v>
      </c>
      <c r="M22" s="16">
        <v>0</v>
      </c>
      <c r="N22">
        <f t="shared" si="2"/>
        <v>0</v>
      </c>
      <c r="P22" s="2">
        <v>6.3100000000000003E-8</v>
      </c>
      <c r="Q22" s="3">
        <v>18827.6333143663</v>
      </c>
      <c r="R22" s="16">
        <v>0</v>
      </c>
      <c r="S22">
        <f t="shared" si="3"/>
        <v>0</v>
      </c>
      <c r="U22" s="2">
        <v>6.3100000000000003E-8</v>
      </c>
      <c r="V22" s="3">
        <v>18827.6333143663</v>
      </c>
      <c r="W22" s="16">
        <v>0</v>
      </c>
      <c r="X22">
        <f t="shared" si="4"/>
        <v>0</v>
      </c>
      <c r="Z22" s="2">
        <v>6.3100000000000003E-8</v>
      </c>
      <c r="AA22" s="3">
        <v>18827.6333143663</v>
      </c>
      <c r="AB22" s="16">
        <v>0</v>
      </c>
      <c r="AC22">
        <f t="shared" si="5"/>
        <v>0</v>
      </c>
      <c r="AE22" s="2">
        <v>6.3100000000000003E-8</v>
      </c>
      <c r="AF22" s="3">
        <v>18827.6333143663</v>
      </c>
      <c r="AG22" s="16">
        <v>0</v>
      </c>
      <c r="AH22">
        <f t="shared" si="6"/>
        <v>0</v>
      </c>
      <c r="AJ22" s="2">
        <v>6.3100000000000003E-8</v>
      </c>
      <c r="AK22" s="3">
        <v>18827.6333143663</v>
      </c>
      <c r="AL22" s="16">
        <v>1.8408352897508E-3</v>
      </c>
      <c r="AM22">
        <f t="shared" si="7"/>
        <v>34.658571827573304</v>
      </c>
      <c r="AO22" s="2">
        <v>6.3100000000000003E-8</v>
      </c>
      <c r="AP22" s="3">
        <v>18827.6333143663</v>
      </c>
      <c r="AQ22" s="17">
        <v>2.43044031089802E-5</v>
      </c>
      <c r="AR22">
        <f t="shared" si="8"/>
        <v>0.45759438966042348</v>
      </c>
      <c r="AT22" s="2">
        <v>6.3100000000000003E-8</v>
      </c>
      <c r="AU22" s="3">
        <v>18827.6333143663</v>
      </c>
      <c r="AV22" s="16">
        <v>0</v>
      </c>
      <c r="AW22">
        <f t="shared" si="9"/>
        <v>0</v>
      </c>
    </row>
    <row r="23" spans="1:49" x14ac:dyDescent="0.3">
      <c r="A23" s="2">
        <v>9.9999999999999995E-8</v>
      </c>
      <c r="B23" s="16">
        <v>22755.082985446901</v>
      </c>
      <c r="C23" s="16">
        <v>1.02049398060324E-2</v>
      </c>
      <c r="D23">
        <f t="shared" si="0"/>
        <v>232.21425214775766</v>
      </c>
      <c r="F23" s="2">
        <v>9.9999999999999995E-8</v>
      </c>
      <c r="G23" s="3">
        <v>22755.082985446901</v>
      </c>
      <c r="H23" s="16">
        <v>0</v>
      </c>
      <c r="I23">
        <f t="shared" si="1"/>
        <v>0</v>
      </c>
      <c r="K23" s="2">
        <v>9.9999999999999995E-8</v>
      </c>
      <c r="L23" s="3">
        <v>22755.082985446901</v>
      </c>
      <c r="M23" s="16">
        <v>0</v>
      </c>
      <c r="N23">
        <f t="shared" si="2"/>
        <v>0</v>
      </c>
      <c r="P23" s="2">
        <v>9.9999999999999995E-8</v>
      </c>
      <c r="Q23" s="3">
        <v>22755.082985446901</v>
      </c>
      <c r="R23" s="16">
        <v>0</v>
      </c>
      <c r="S23">
        <f t="shared" si="3"/>
        <v>0</v>
      </c>
      <c r="U23" s="2">
        <v>9.9999999999999995E-8</v>
      </c>
      <c r="V23" s="3">
        <v>22755.082985446901</v>
      </c>
      <c r="W23" s="16">
        <v>0</v>
      </c>
      <c r="X23">
        <f t="shared" si="4"/>
        <v>0</v>
      </c>
      <c r="Z23" s="2">
        <v>9.9999999999999995E-8</v>
      </c>
      <c r="AA23" s="3">
        <v>22755.082985446901</v>
      </c>
      <c r="AB23" s="16">
        <v>0</v>
      </c>
      <c r="AC23">
        <f t="shared" si="5"/>
        <v>0</v>
      </c>
      <c r="AE23" s="2">
        <v>9.9999999999999995E-8</v>
      </c>
      <c r="AF23" s="3">
        <v>22755.082985446901</v>
      </c>
      <c r="AG23" s="16">
        <v>0</v>
      </c>
      <c r="AH23">
        <f t="shared" si="6"/>
        <v>0</v>
      </c>
      <c r="AJ23" s="2">
        <v>9.9999999999999995E-8</v>
      </c>
      <c r="AK23" s="3">
        <v>22755.082985446901</v>
      </c>
      <c r="AL23" s="16">
        <v>1.4408315038404299E-3</v>
      </c>
      <c r="AM23">
        <f t="shared" si="7"/>
        <v>32.786240437935241</v>
      </c>
      <c r="AO23" s="2">
        <v>9.9999999999999995E-8</v>
      </c>
      <c r="AP23" s="3">
        <v>22755.082985446901</v>
      </c>
      <c r="AQ23" s="17">
        <v>1.9027048766342401E-5</v>
      </c>
      <c r="AR23">
        <f t="shared" si="8"/>
        <v>0.43296207364626643</v>
      </c>
      <c r="AT23" s="2">
        <v>9.9999999999999995E-8</v>
      </c>
      <c r="AU23" s="3">
        <v>22755.082985446901</v>
      </c>
      <c r="AV23" s="16">
        <v>0</v>
      </c>
      <c r="AW23">
        <f t="shared" si="9"/>
        <v>0</v>
      </c>
    </row>
    <row r="24" spans="1:49" x14ac:dyDescent="0.3">
      <c r="A24" s="2">
        <v>1.585E-7</v>
      </c>
      <c r="B24" s="16">
        <v>26531.263438060501</v>
      </c>
      <c r="C24" s="16">
        <v>8.2108667929685995E-3</v>
      </c>
      <c r="D24">
        <f t="shared" si="0"/>
        <v>217.8446699390729</v>
      </c>
      <c r="F24" s="2">
        <v>1.585E-7</v>
      </c>
      <c r="G24" s="3">
        <v>26531.263438060501</v>
      </c>
      <c r="H24" s="16">
        <v>0</v>
      </c>
      <c r="I24">
        <f t="shared" si="1"/>
        <v>0</v>
      </c>
      <c r="K24" s="2">
        <v>1.585E-7</v>
      </c>
      <c r="L24" s="3">
        <v>26531.263438060501</v>
      </c>
      <c r="M24" s="16">
        <v>0</v>
      </c>
      <c r="N24">
        <f t="shared" si="2"/>
        <v>0</v>
      </c>
      <c r="P24" s="2">
        <v>1.585E-7</v>
      </c>
      <c r="Q24" s="3">
        <v>26531.263438060501</v>
      </c>
      <c r="R24" s="16">
        <v>0</v>
      </c>
      <c r="S24">
        <f t="shared" si="3"/>
        <v>0</v>
      </c>
      <c r="U24" s="2">
        <v>1.585E-7</v>
      </c>
      <c r="V24" s="3">
        <v>26531.263438060501</v>
      </c>
      <c r="W24" s="16">
        <v>0</v>
      </c>
      <c r="X24">
        <f t="shared" si="4"/>
        <v>0</v>
      </c>
      <c r="Z24" s="2">
        <v>1.585E-7</v>
      </c>
      <c r="AA24" s="3">
        <v>26531.263438060501</v>
      </c>
      <c r="AB24" s="16">
        <v>0</v>
      </c>
      <c r="AC24">
        <f t="shared" si="5"/>
        <v>0</v>
      </c>
      <c r="AE24" s="2">
        <v>1.585E-7</v>
      </c>
      <c r="AF24" s="3">
        <v>26531.263438060501</v>
      </c>
      <c r="AG24" s="16">
        <v>0</v>
      </c>
      <c r="AH24">
        <f t="shared" si="6"/>
        <v>0</v>
      </c>
      <c r="AJ24" s="2">
        <v>1.585E-7</v>
      </c>
      <c r="AK24" s="3">
        <v>26531.263438060501</v>
      </c>
      <c r="AL24" s="16">
        <v>1.1545200257422701E-3</v>
      </c>
      <c r="AM24">
        <f t="shared" si="7"/>
        <v>30.630874947484561</v>
      </c>
      <c r="AO24" s="2">
        <v>1.585E-7</v>
      </c>
      <c r="AP24" s="3">
        <v>26531.263438060501</v>
      </c>
      <c r="AQ24" s="17">
        <v>1.5253983667122001E-5</v>
      </c>
      <c r="AR24">
        <f t="shared" si="8"/>
        <v>0.40470745915228601</v>
      </c>
      <c r="AT24" s="2">
        <v>1.585E-7</v>
      </c>
      <c r="AU24" s="3">
        <v>26531.263438060501</v>
      </c>
      <c r="AV24" s="16">
        <v>0</v>
      </c>
      <c r="AW24">
        <f t="shared" si="9"/>
        <v>0</v>
      </c>
    </row>
    <row r="25" spans="1:49" x14ac:dyDescent="0.3">
      <c r="A25" s="2">
        <v>2.5120000000000003E-7</v>
      </c>
      <c r="B25" s="16">
        <v>35766.690087893803</v>
      </c>
      <c r="C25" s="16">
        <v>6.6676855482030997E-3</v>
      </c>
      <c r="D25">
        <f t="shared" si="0"/>
        <v>238.48104260610856</v>
      </c>
      <c r="F25" s="2">
        <v>2.5120000000000003E-7</v>
      </c>
      <c r="G25" s="3">
        <v>35766.690087893803</v>
      </c>
      <c r="H25" s="16">
        <v>0</v>
      </c>
      <c r="I25">
        <f t="shared" si="1"/>
        <v>0</v>
      </c>
      <c r="K25" s="2">
        <v>2.5120000000000003E-7</v>
      </c>
      <c r="L25" s="3">
        <v>35766.690087893803</v>
      </c>
      <c r="M25" s="16">
        <v>0</v>
      </c>
      <c r="N25">
        <f t="shared" si="2"/>
        <v>0</v>
      </c>
      <c r="P25" s="2">
        <v>2.5120000000000003E-7</v>
      </c>
      <c r="Q25" s="3">
        <v>35766.690087893803</v>
      </c>
      <c r="R25" s="16">
        <v>0</v>
      </c>
      <c r="S25">
        <f t="shared" si="3"/>
        <v>0</v>
      </c>
      <c r="U25" s="2">
        <v>2.5120000000000003E-7</v>
      </c>
      <c r="V25" s="3">
        <v>35766.690087893803</v>
      </c>
      <c r="W25" s="16">
        <v>0</v>
      </c>
      <c r="X25">
        <f t="shared" si="4"/>
        <v>0</v>
      </c>
      <c r="Z25" s="2">
        <v>2.5120000000000003E-7</v>
      </c>
      <c r="AA25" s="3">
        <v>35766.690087893803</v>
      </c>
      <c r="AB25" s="16">
        <v>0</v>
      </c>
      <c r="AC25">
        <f t="shared" si="5"/>
        <v>0</v>
      </c>
      <c r="AE25" s="2">
        <v>2.5120000000000003E-7</v>
      </c>
      <c r="AF25" s="3">
        <v>35766.690087893803</v>
      </c>
      <c r="AG25" s="16">
        <v>0</v>
      </c>
      <c r="AH25">
        <f t="shared" si="6"/>
        <v>0</v>
      </c>
      <c r="AJ25" s="2">
        <v>2.5120000000000003E-7</v>
      </c>
      <c r="AK25" s="3">
        <v>35766.690087893803</v>
      </c>
      <c r="AL25" s="16">
        <v>9.2675166384334603E-4</v>
      </c>
      <c r="AM25">
        <f t="shared" si="7"/>
        <v>33.146839549124891</v>
      </c>
      <c r="AO25" s="2">
        <v>2.5120000000000003E-7</v>
      </c>
      <c r="AP25" s="3">
        <v>35766.690087893803</v>
      </c>
      <c r="AQ25" s="17">
        <v>1.22548156035584E-5</v>
      </c>
      <c r="AR25">
        <f t="shared" si="8"/>
        <v>0.43831419177675851</v>
      </c>
      <c r="AT25" s="2">
        <v>2.5120000000000003E-7</v>
      </c>
      <c r="AU25" s="3">
        <v>35766.690087893803</v>
      </c>
      <c r="AV25" s="16">
        <v>0</v>
      </c>
      <c r="AW25">
        <f t="shared" si="9"/>
        <v>0</v>
      </c>
    </row>
    <row r="26" spans="1:49" x14ac:dyDescent="0.3">
      <c r="A26" s="2">
        <v>3.981E-7</v>
      </c>
      <c r="B26" s="16">
        <v>43692.055785102501</v>
      </c>
      <c r="C26" s="16">
        <v>5.6335078920765102E-3</v>
      </c>
      <c r="D26">
        <f t="shared" si="0"/>
        <v>246.13954108642207</v>
      </c>
      <c r="F26" s="2">
        <v>3.981E-7</v>
      </c>
      <c r="G26" s="3">
        <v>43692.055785102501</v>
      </c>
      <c r="H26" s="16">
        <v>0</v>
      </c>
      <c r="I26">
        <f t="shared" si="1"/>
        <v>0</v>
      </c>
      <c r="K26" s="2">
        <v>3.981E-7</v>
      </c>
      <c r="L26" s="3">
        <v>43692.055785102501</v>
      </c>
      <c r="M26" s="16">
        <v>0</v>
      </c>
      <c r="N26">
        <f t="shared" si="2"/>
        <v>0</v>
      </c>
      <c r="P26" s="2">
        <v>3.981E-7</v>
      </c>
      <c r="Q26" s="3">
        <v>43692.055785102501</v>
      </c>
      <c r="R26" s="16">
        <v>0</v>
      </c>
      <c r="S26">
        <f t="shared" si="3"/>
        <v>0</v>
      </c>
      <c r="U26" s="2">
        <v>3.981E-7</v>
      </c>
      <c r="V26" s="3">
        <v>43692.055785102501</v>
      </c>
      <c r="W26" s="16">
        <v>0</v>
      </c>
      <c r="X26">
        <f t="shared" si="4"/>
        <v>0</v>
      </c>
      <c r="Z26" s="2">
        <v>3.981E-7</v>
      </c>
      <c r="AA26" s="3">
        <v>43692.055785102501</v>
      </c>
      <c r="AB26" s="16">
        <v>0</v>
      </c>
      <c r="AC26">
        <f t="shared" si="5"/>
        <v>0</v>
      </c>
      <c r="AE26" s="2">
        <v>3.981E-7</v>
      </c>
      <c r="AF26" s="3">
        <v>43692.055785102501</v>
      </c>
      <c r="AG26" s="16">
        <v>0</v>
      </c>
      <c r="AH26">
        <f t="shared" si="6"/>
        <v>0</v>
      </c>
      <c r="AJ26" s="2">
        <v>3.981E-7</v>
      </c>
      <c r="AK26" s="3">
        <v>43692.055785102501</v>
      </c>
      <c r="AL26" s="16">
        <v>7.2531770624684904E-4</v>
      </c>
      <c r="AM26">
        <f t="shared" si="7"/>
        <v>31.690621683259916</v>
      </c>
      <c r="AO26" s="2">
        <v>3.981E-7</v>
      </c>
      <c r="AP26" s="3">
        <v>43692.055785102501</v>
      </c>
      <c r="AQ26" s="17">
        <v>9.6044103246432102E-6</v>
      </c>
      <c r="AR26">
        <f t="shared" si="8"/>
        <v>0.41963643168732556</v>
      </c>
      <c r="AT26" s="2">
        <v>3.981E-7</v>
      </c>
      <c r="AU26" s="3">
        <v>43692.055785102501</v>
      </c>
      <c r="AV26" s="16">
        <v>0</v>
      </c>
      <c r="AW26">
        <f t="shared" si="9"/>
        <v>0</v>
      </c>
    </row>
    <row r="27" spans="1:49" x14ac:dyDescent="0.3">
      <c r="A27" s="2">
        <v>6.3099999999999997E-7</v>
      </c>
      <c r="B27" s="16">
        <v>52552.308286260901</v>
      </c>
      <c r="C27" s="16">
        <v>4.8516218860485899E-3</v>
      </c>
      <c r="D27">
        <f t="shared" si="0"/>
        <v>254.96392904399605</v>
      </c>
      <c r="F27" s="2">
        <v>6.3099999999999997E-7</v>
      </c>
      <c r="G27" s="3">
        <v>52552.308286260901</v>
      </c>
      <c r="H27" s="16">
        <v>0</v>
      </c>
      <c r="I27">
        <f t="shared" si="1"/>
        <v>0</v>
      </c>
      <c r="K27" s="2">
        <v>6.3099999999999997E-7</v>
      </c>
      <c r="L27" s="3">
        <v>52552.308286260901</v>
      </c>
      <c r="M27" s="16">
        <v>0</v>
      </c>
      <c r="N27">
        <f t="shared" si="2"/>
        <v>0</v>
      </c>
      <c r="P27" s="2">
        <v>6.3099999999999997E-7</v>
      </c>
      <c r="Q27" s="3">
        <v>52552.308286260901</v>
      </c>
      <c r="R27" s="16">
        <v>0</v>
      </c>
      <c r="S27">
        <f t="shared" si="3"/>
        <v>0</v>
      </c>
      <c r="U27" s="2">
        <v>6.3099999999999997E-7</v>
      </c>
      <c r="V27" s="3">
        <v>52552.308286260901</v>
      </c>
      <c r="W27" s="16">
        <v>0</v>
      </c>
      <c r="X27">
        <f t="shared" si="4"/>
        <v>0</v>
      </c>
      <c r="Z27" s="2">
        <v>6.3099999999999997E-7</v>
      </c>
      <c r="AA27" s="3">
        <v>52552.308286260901</v>
      </c>
      <c r="AB27" s="16">
        <v>0</v>
      </c>
      <c r="AC27">
        <f t="shared" si="5"/>
        <v>0</v>
      </c>
      <c r="AE27" s="2">
        <v>6.3099999999999997E-7</v>
      </c>
      <c r="AF27" s="3">
        <v>52552.308286260901</v>
      </c>
      <c r="AG27" s="16">
        <v>0</v>
      </c>
      <c r="AH27">
        <f t="shared" si="6"/>
        <v>0</v>
      </c>
      <c r="AJ27" s="2">
        <v>6.3099999999999997E-7</v>
      </c>
      <c r="AK27" s="3">
        <v>52552.308286260901</v>
      </c>
      <c r="AL27" s="16">
        <v>5.8122367570023303E-4</v>
      </c>
      <c r="AM27">
        <f t="shared" si="7"/>
        <v>30.544645788672376</v>
      </c>
      <c r="AO27" s="2">
        <v>6.3099999999999997E-7</v>
      </c>
      <c r="AP27" s="3">
        <v>52552.308286260901</v>
      </c>
      <c r="AQ27" s="17">
        <v>7.7120095857949095E-6</v>
      </c>
      <c r="AR27">
        <f t="shared" si="8"/>
        <v>0.40528390525929331</v>
      </c>
      <c r="AT27" s="2">
        <v>6.3099999999999997E-7</v>
      </c>
      <c r="AU27" s="3">
        <v>52552.308286260901</v>
      </c>
      <c r="AV27" s="16">
        <v>0</v>
      </c>
      <c r="AW27">
        <f t="shared" si="9"/>
        <v>0</v>
      </c>
    </row>
    <row r="28" spans="1:49" x14ac:dyDescent="0.3">
      <c r="A28" s="2">
        <v>9.9999999999999995E-7</v>
      </c>
      <c r="B28" s="16">
        <v>61790.945436479997</v>
      </c>
      <c r="C28" s="16">
        <v>4.3344463506083796E-3</v>
      </c>
      <c r="D28">
        <f t="shared" si="0"/>
        <v>267.82953794779223</v>
      </c>
      <c r="F28" s="2">
        <v>9.9999999999999995E-7</v>
      </c>
      <c r="G28" s="3">
        <v>61790.945436479997</v>
      </c>
      <c r="H28" s="16">
        <v>0</v>
      </c>
      <c r="I28">
        <f t="shared" si="1"/>
        <v>0</v>
      </c>
      <c r="K28" s="2">
        <v>9.9999999999999995E-7</v>
      </c>
      <c r="L28" s="3">
        <v>61790.945436479997</v>
      </c>
      <c r="M28" s="16">
        <v>0</v>
      </c>
      <c r="N28">
        <f t="shared" si="2"/>
        <v>0</v>
      </c>
      <c r="P28" s="2">
        <v>9.9999999999999995E-7</v>
      </c>
      <c r="Q28" s="3">
        <v>61790.945436479997</v>
      </c>
      <c r="R28" s="16">
        <v>0</v>
      </c>
      <c r="S28">
        <f t="shared" si="3"/>
        <v>0</v>
      </c>
      <c r="U28" s="2">
        <v>9.9999999999999995E-7</v>
      </c>
      <c r="V28" s="3">
        <v>61790.945436479997</v>
      </c>
      <c r="W28" s="16">
        <v>0</v>
      </c>
      <c r="X28">
        <f t="shared" si="4"/>
        <v>0</v>
      </c>
      <c r="Z28" s="2">
        <v>9.9999999999999995E-7</v>
      </c>
      <c r="AA28" s="3">
        <v>61790.945436479997</v>
      </c>
      <c r="AB28" s="16">
        <v>0</v>
      </c>
      <c r="AC28">
        <f t="shared" si="5"/>
        <v>0</v>
      </c>
      <c r="AE28" s="2">
        <v>9.9999999999999995E-7</v>
      </c>
      <c r="AF28" s="3">
        <v>61790.945436479997</v>
      </c>
      <c r="AG28" s="16">
        <v>0</v>
      </c>
      <c r="AH28">
        <f t="shared" si="6"/>
        <v>0</v>
      </c>
      <c r="AJ28" s="2">
        <v>9.9999999999999995E-7</v>
      </c>
      <c r="AK28" s="3">
        <v>61790.945436479997</v>
      </c>
      <c r="AL28" s="16">
        <v>4.6528456530704602E-4</v>
      </c>
      <c r="AM28">
        <f t="shared" si="7"/>
        <v>28.750373187323994</v>
      </c>
      <c r="AO28" s="2">
        <v>9.9999999999999995E-7</v>
      </c>
      <c r="AP28" s="3">
        <v>61790.945436479997</v>
      </c>
      <c r="AQ28" s="17">
        <v>6.2109822854830997E-6</v>
      </c>
      <c r="AR28">
        <f t="shared" si="8"/>
        <v>0.38378246750923006</v>
      </c>
      <c r="AT28" s="2">
        <v>9.9999999999999995E-7</v>
      </c>
      <c r="AU28" s="3">
        <v>61790.945436479997</v>
      </c>
      <c r="AV28" s="16">
        <v>0</v>
      </c>
      <c r="AW28">
        <f t="shared" si="9"/>
        <v>0</v>
      </c>
    </row>
    <row r="29" spans="1:49" x14ac:dyDescent="0.3">
      <c r="A29" s="2">
        <v>1.5850000000000001E-6</v>
      </c>
      <c r="B29" s="16">
        <v>64100.629442509096</v>
      </c>
      <c r="C29" s="16">
        <v>4.3231726038288898E-3</v>
      </c>
      <c r="D29">
        <f t="shared" si="0"/>
        <v>277.11808509404284</v>
      </c>
      <c r="F29" s="2">
        <v>1.5850000000000001E-6</v>
      </c>
      <c r="G29" s="3">
        <v>64100.629442509096</v>
      </c>
      <c r="H29" s="16">
        <v>0</v>
      </c>
      <c r="I29">
        <f t="shared" si="1"/>
        <v>0</v>
      </c>
      <c r="K29" s="2">
        <v>1.5850000000000001E-6</v>
      </c>
      <c r="L29" s="3">
        <v>64100.629442509096</v>
      </c>
      <c r="M29" s="16">
        <v>0</v>
      </c>
      <c r="N29">
        <f t="shared" si="2"/>
        <v>0</v>
      </c>
      <c r="P29" s="2">
        <v>1.5850000000000001E-6</v>
      </c>
      <c r="Q29" s="3">
        <v>64100.629442509096</v>
      </c>
      <c r="R29" s="16">
        <v>0</v>
      </c>
      <c r="S29">
        <f t="shared" si="3"/>
        <v>0</v>
      </c>
      <c r="U29" s="2">
        <v>1.5850000000000001E-6</v>
      </c>
      <c r="V29" s="3">
        <v>64100.629442509096</v>
      </c>
      <c r="W29" s="16">
        <v>0</v>
      </c>
      <c r="X29">
        <f t="shared" si="4"/>
        <v>0</v>
      </c>
      <c r="Z29" s="2">
        <v>1.5850000000000001E-6</v>
      </c>
      <c r="AA29" s="3">
        <v>64100.629442509096</v>
      </c>
      <c r="AB29" s="16">
        <v>0</v>
      </c>
      <c r="AC29">
        <f t="shared" si="5"/>
        <v>0</v>
      </c>
      <c r="AE29" s="2">
        <v>1.5850000000000001E-6</v>
      </c>
      <c r="AF29" s="3">
        <v>64100.629442509096</v>
      </c>
      <c r="AG29" s="16">
        <v>0</v>
      </c>
      <c r="AH29">
        <f t="shared" si="6"/>
        <v>0</v>
      </c>
      <c r="AJ29" s="2">
        <v>1.5850000000000001E-6</v>
      </c>
      <c r="AK29" s="3">
        <v>64100.629442509096</v>
      </c>
      <c r="AL29" s="16">
        <v>3.6362336483256399E-4</v>
      </c>
      <c r="AM29">
        <f t="shared" si="7"/>
        <v>23.30848656577048</v>
      </c>
      <c r="AO29" s="2">
        <v>1.5850000000000001E-6</v>
      </c>
      <c r="AP29" s="3">
        <v>64100.629442509096</v>
      </c>
      <c r="AQ29" s="17">
        <v>4.8891449751288901E-6</v>
      </c>
      <c r="AR29">
        <f t="shared" si="8"/>
        <v>0.31339727034144232</v>
      </c>
      <c r="AT29" s="2">
        <v>1.5850000000000001E-6</v>
      </c>
      <c r="AU29" s="3">
        <v>64100.629442509096</v>
      </c>
      <c r="AV29" s="16">
        <v>0</v>
      </c>
      <c r="AW29">
        <f t="shared" si="9"/>
        <v>0</v>
      </c>
    </row>
    <row r="30" spans="1:49" x14ac:dyDescent="0.3">
      <c r="A30" s="2">
        <v>2.5119999999999998E-6</v>
      </c>
      <c r="B30" s="16">
        <v>71166.391361638001</v>
      </c>
      <c r="C30" s="16">
        <v>5.4751998874262896E-3</v>
      </c>
      <c r="D30">
        <f t="shared" si="0"/>
        <v>389.65021797177565</v>
      </c>
      <c r="F30" s="2">
        <v>2.5119999999999998E-6</v>
      </c>
      <c r="G30" s="3">
        <v>71166.391361638001</v>
      </c>
      <c r="H30" s="16">
        <v>0</v>
      </c>
      <c r="I30">
        <f t="shared" si="1"/>
        <v>0</v>
      </c>
      <c r="K30" s="2">
        <v>2.5119999999999998E-6</v>
      </c>
      <c r="L30" s="3">
        <v>71166.391361638001</v>
      </c>
      <c r="M30" s="16">
        <v>0</v>
      </c>
      <c r="N30">
        <f t="shared" si="2"/>
        <v>0</v>
      </c>
      <c r="P30" s="2">
        <v>2.5119999999999998E-6</v>
      </c>
      <c r="Q30" s="3">
        <v>71166.391361638001</v>
      </c>
      <c r="R30" s="16">
        <v>0</v>
      </c>
      <c r="S30">
        <f t="shared" si="3"/>
        <v>0</v>
      </c>
      <c r="U30" s="2">
        <v>2.5119999999999998E-6</v>
      </c>
      <c r="V30" s="3">
        <v>71166.391361638001</v>
      </c>
      <c r="W30" s="16">
        <v>0</v>
      </c>
      <c r="X30">
        <f t="shared" si="4"/>
        <v>0</v>
      </c>
      <c r="Z30" s="2">
        <v>2.5119999999999998E-6</v>
      </c>
      <c r="AA30" s="3">
        <v>71166.391361638001</v>
      </c>
      <c r="AB30" s="16">
        <v>0</v>
      </c>
      <c r="AC30">
        <f t="shared" si="5"/>
        <v>0</v>
      </c>
      <c r="AE30" s="2">
        <v>2.5119999999999998E-6</v>
      </c>
      <c r="AF30" s="3">
        <v>71166.391361638001</v>
      </c>
      <c r="AG30" s="16">
        <v>0</v>
      </c>
      <c r="AH30">
        <f t="shared" si="6"/>
        <v>0</v>
      </c>
      <c r="AJ30" s="2">
        <v>2.5119999999999998E-6</v>
      </c>
      <c r="AK30" s="3">
        <v>71166.391361638001</v>
      </c>
      <c r="AL30" s="16">
        <v>2.9112876809666801E-4</v>
      </c>
      <c r="AM30">
        <f t="shared" si="7"/>
        <v>20.718583846999028</v>
      </c>
      <c r="AO30" s="2">
        <v>2.5119999999999998E-6</v>
      </c>
      <c r="AP30" s="3">
        <v>71166.391361638001</v>
      </c>
      <c r="AQ30" s="17">
        <v>3.9508109016613303E-6</v>
      </c>
      <c r="AR30">
        <f t="shared" si="8"/>
        <v>0.28116495482345616</v>
      </c>
      <c r="AT30" s="2">
        <v>2.5119999999999998E-6</v>
      </c>
      <c r="AU30" s="3">
        <v>71166.391361638001</v>
      </c>
      <c r="AV30" s="16">
        <v>0</v>
      </c>
      <c r="AW30">
        <f t="shared" si="9"/>
        <v>0</v>
      </c>
    </row>
    <row r="31" spans="1:49" x14ac:dyDescent="0.3">
      <c r="A31" s="2">
        <v>3.9809999999999997E-6</v>
      </c>
      <c r="B31" s="16">
        <v>62514.483781888302</v>
      </c>
      <c r="C31" s="16">
        <v>1.6804181436890699E-2</v>
      </c>
      <c r="D31">
        <f t="shared" si="0"/>
        <v>1050.504727904412</v>
      </c>
      <c r="F31" s="2">
        <v>3.9809999999999997E-6</v>
      </c>
      <c r="G31" s="3">
        <v>62514.483781888302</v>
      </c>
      <c r="H31" s="16">
        <v>0</v>
      </c>
      <c r="I31">
        <f t="shared" si="1"/>
        <v>0</v>
      </c>
      <c r="K31" s="2">
        <v>3.9809999999999997E-6</v>
      </c>
      <c r="L31" s="3">
        <v>62514.483781888302</v>
      </c>
      <c r="M31" s="16">
        <v>0</v>
      </c>
      <c r="N31">
        <f t="shared" si="2"/>
        <v>0</v>
      </c>
      <c r="P31" s="2">
        <v>3.9809999999999997E-6</v>
      </c>
      <c r="Q31" s="3">
        <v>62514.483781888302</v>
      </c>
      <c r="R31" s="16">
        <v>0</v>
      </c>
      <c r="S31">
        <f t="shared" si="3"/>
        <v>0</v>
      </c>
      <c r="U31" s="2">
        <v>3.9809999999999997E-6</v>
      </c>
      <c r="V31" s="3">
        <v>62514.483781888302</v>
      </c>
      <c r="W31" s="16">
        <v>0</v>
      </c>
      <c r="X31">
        <f t="shared" si="4"/>
        <v>0</v>
      </c>
      <c r="Z31" s="2">
        <v>3.9809999999999997E-6</v>
      </c>
      <c r="AA31" s="3">
        <v>62514.483781888302</v>
      </c>
      <c r="AB31" s="16">
        <v>0</v>
      </c>
      <c r="AC31">
        <f t="shared" si="5"/>
        <v>0</v>
      </c>
      <c r="AE31" s="2">
        <v>3.9809999999999997E-6</v>
      </c>
      <c r="AF31" s="3">
        <v>62514.483781888302</v>
      </c>
      <c r="AG31" s="16">
        <v>0</v>
      </c>
      <c r="AH31">
        <f t="shared" si="6"/>
        <v>0</v>
      </c>
      <c r="AJ31" s="2">
        <v>3.9809999999999997E-6</v>
      </c>
      <c r="AK31" s="3">
        <v>62514.483781888302</v>
      </c>
      <c r="AL31" s="16">
        <v>2.3367364364981999E-4</v>
      </c>
      <c r="AM31">
        <f t="shared" si="7"/>
        <v>14.607987206201418</v>
      </c>
      <c r="AO31" s="2">
        <v>3.9809999999999997E-6</v>
      </c>
      <c r="AP31" s="3">
        <v>62514.483781888302</v>
      </c>
      <c r="AQ31" s="17">
        <v>3.1942284934314999E-6</v>
      </c>
      <c r="AR31">
        <f t="shared" si="8"/>
        <v>0.19968554534826902</v>
      </c>
      <c r="AT31" s="2">
        <v>3.9809999999999997E-6</v>
      </c>
      <c r="AU31" s="3">
        <v>62514.483781888302</v>
      </c>
      <c r="AV31" s="16">
        <v>0</v>
      </c>
      <c r="AW31">
        <f t="shared" si="9"/>
        <v>0</v>
      </c>
    </row>
    <row r="32" spans="1:49" x14ac:dyDescent="0.3">
      <c r="A32" s="2">
        <v>1.0000000000000001E-5</v>
      </c>
      <c r="B32" s="16">
        <v>34222.938021816299</v>
      </c>
      <c r="C32" s="16">
        <v>0.78299401822236303</v>
      </c>
      <c r="D32">
        <f t="shared" si="0"/>
        <v>26796.355757076832</v>
      </c>
      <c r="F32" s="2">
        <v>1.0000000000000001E-5</v>
      </c>
      <c r="G32" s="3">
        <v>34222.938021816299</v>
      </c>
      <c r="H32" s="16">
        <v>0</v>
      </c>
      <c r="I32">
        <f t="shared" si="1"/>
        <v>0</v>
      </c>
      <c r="K32" s="2">
        <v>1.0000000000000001E-5</v>
      </c>
      <c r="L32" s="3">
        <v>34222.938021816299</v>
      </c>
      <c r="M32" s="16">
        <v>0</v>
      </c>
      <c r="N32">
        <f t="shared" si="2"/>
        <v>0</v>
      </c>
      <c r="P32" s="2">
        <v>1.0000000000000001E-5</v>
      </c>
      <c r="Q32" s="3">
        <v>34222.938021816299</v>
      </c>
      <c r="R32" s="16">
        <v>0</v>
      </c>
      <c r="S32">
        <f t="shared" si="3"/>
        <v>0</v>
      </c>
      <c r="U32" s="2">
        <v>1.0000000000000001E-5</v>
      </c>
      <c r="V32" s="3">
        <v>34222.938021816299</v>
      </c>
      <c r="W32" s="16">
        <v>0</v>
      </c>
      <c r="X32">
        <f t="shared" si="4"/>
        <v>0</v>
      </c>
      <c r="Z32" s="2">
        <v>1.0000000000000001E-5</v>
      </c>
      <c r="AA32" s="3">
        <v>34222.938021816299</v>
      </c>
      <c r="AB32" s="16">
        <v>0</v>
      </c>
      <c r="AC32">
        <f t="shared" si="5"/>
        <v>0</v>
      </c>
      <c r="AE32" s="2">
        <v>1.0000000000000001E-5</v>
      </c>
      <c r="AF32" s="3">
        <v>34222.938021816299</v>
      </c>
      <c r="AG32" s="16">
        <v>0</v>
      </c>
      <c r="AH32">
        <f t="shared" si="6"/>
        <v>0</v>
      </c>
      <c r="AJ32" s="2">
        <v>1.0000000000000001E-5</v>
      </c>
      <c r="AK32" s="3">
        <v>34222.938021816299</v>
      </c>
      <c r="AL32" s="16">
        <v>1.6831213976366299E-4</v>
      </c>
      <c r="AM32">
        <f t="shared" si="7"/>
        <v>5.7601359274511212</v>
      </c>
      <c r="AO32" s="2">
        <v>1.0000000000000001E-5</v>
      </c>
      <c r="AP32" s="3">
        <v>34222.938021816299</v>
      </c>
      <c r="AQ32" s="17">
        <v>2.32252227933837E-6</v>
      </c>
      <c r="AR32">
        <f t="shared" si="8"/>
        <v>7.9483536020084553E-2</v>
      </c>
      <c r="AT32" s="2">
        <v>1.0000000000000001E-5</v>
      </c>
      <c r="AU32" s="3">
        <v>34222.938021816299</v>
      </c>
      <c r="AV32" s="16">
        <v>0</v>
      </c>
      <c r="AW32">
        <f t="shared" si="9"/>
        <v>0</v>
      </c>
    </row>
    <row r="33" spans="1:49" x14ac:dyDescent="0.3">
      <c r="A33" s="2">
        <v>1.5849999999999999E-5</v>
      </c>
      <c r="B33" s="16">
        <v>35383.330667230701</v>
      </c>
      <c r="C33" s="16">
        <v>4.2487575619027301E-4</v>
      </c>
      <c r="D33">
        <f t="shared" si="0"/>
        <v>15.033519373770121</v>
      </c>
      <c r="F33" s="2">
        <v>1.5849999999999999E-5</v>
      </c>
      <c r="G33" s="3">
        <v>35383.330667230701</v>
      </c>
      <c r="H33" s="16">
        <v>0</v>
      </c>
      <c r="I33">
        <f t="shared" si="1"/>
        <v>0</v>
      </c>
      <c r="K33" s="2">
        <v>1.5849999999999999E-5</v>
      </c>
      <c r="L33" s="3">
        <v>35383.330667230701</v>
      </c>
      <c r="M33" s="16">
        <v>0</v>
      </c>
      <c r="N33">
        <f t="shared" si="2"/>
        <v>0</v>
      </c>
      <c r="P33" s="2">
        <v>1.5849999999999999E-5</v>
      </c>
      <c r="Q33" s="3">
        <v>35383.330667230701</v>
      </c>
      <c r="R33" s="16">
        <v>0</v>
      </c>
      <c r="S33">
        <f t="shared" si="3"/>
        <v>0</v>
      </c>
      <c r="U33" s="2">
        <v>1.5849999999999999E-5</v>
      </c>
      <c r="V33" s="3">
        <v>35383.330667230701</v>
      </c>
      <c r="W33" s="16">
        <v>0</v>
      </c>
      <c r="X33">
        <f t="shared" si="4"/>
        <v>0</v>
      </c>
      <c r="Z33" s="2">
        <v>1.5849999999999999E-5</v>
      </c>
      <c r="AA33" s="3">
        <v>35383.330667230701</v>
      </c>
      <c r="AB33" s="16">
        <v>0</v>
      </c>
      <c r="AC33">
        <f t="shared" si="5"/>
        <v>0</v>
      </c>
      <c r="AE33" s="2">
        <v>1.5849999999999999E-5</v>
      </c>
      <c r="AF33" s="3">
        <v>35383.330667230701</v>
      </c>
      <c r="AG33" s="16">
        <v>0</v>
      </c>
      <c r="AH33">
        <f t="shared" si="6"/>
        <v>0</v>
      </c>
      <c r="AJ33" s="2">
        <v>1.5849999999999999E-5</v>
      </c>
      <c r="AK33" s="3">
        <v>35383.330667230701</v>
      </c>
      <c r="AL33" s="16">
        <v>1.1869463408905301E-4</v>
      </c>
      <c r="AM33">
        <f t="shared" si="7"/>
        <v>4.1998114863989153</v>
      </c>
      <c r="AO33" s="2">
        <v>1.5849999999999999E-5</v>
      </c>
      <c r="AP33" s="3">
        <v>35383.330667230701</v>
      </c>
      <c r="AQ33" s="17">
        <v>1.7772650372133901E-6</v>
      </c>
      <c r="AR33">
        <f t="shared" si="8"/>
        <v>6.2885556495029457E-2</v>
      </c>
      <c r="AT33" s="2">
        <v>1.5849999999999999E-5</v>
      </c>
      <c r="AU33" s="3">
        <v>35383.330667230701</v>
      </c>
      <c r="AV33" s="16">
        <v>0</v>
      </c>
      <c r="AW33">
        <f t="shared" si="9"/>
        <v>0</v>
      </c>
    </row>
    <row r="34" spans="1:49" x14ac:dyDescent="0.3">
      <c r="A34" s="2">
        <v>2.512E-5</v>
      </c>
      <c r="B34" s="16">
        <v>30959.9068053308</v>
      </c>
      <c r="C34" s="16">
        <v>1.16485044054851E-4</v>
      </c>
      <c r="D34">
        <f t="shared" si="0"/>
        <v>3.6063661081530394</v>
      </c>
      <c r="F34" s="2">
        <v>2.512E-5</v>
      </c>
      <c r="G34" s="3">
        <v>30959.9068053308</v>
      </c>
      <c r="H34" s="16">
        <v>0</v>
      </c>
      <c r="I34">
        <f t="shared" si="1"/>
        <v>0</v>
      </c>
      <c r="K34" s="2">
        <v>2.512E-5</v>
      </c>
      <c r="L34" s="3">
        <v>30959.9068053308</v>
      </c>
      <c r="M34" s="16">
        <v>0</v>
      </c>
      <c r="N34">
        <f t="shared" si="2"/>
        <v>0</v>
      </c>
      <c r="P34" s="2">
        <v>2.512E-5</v>
      </c>
      <c r="Q34" s="3">
        <v>30959.9068053308</v>
      </c>
      <c r="R34" s="16">
        <v>0</v>
      </c>
      <c r="S34">
        <f t="shared" si="3"/>
        <v>0</v>
      </c>
      <c r="U34" s="2">
        <v>2.512E-5</v>
      </c>
      <c r="V34" s="3">
        <v>30959.9068053308</v>
      </c>
      <c r="W34" s="16">
        <v>0</v>
      </c>
      <c r="X34">
        <f t="shared" si="4"/>
        <v>0</v>
      </c>
      <c r="Z34" s="2">
        <v>2.512E-5</v>
      </c>
      <c r="AA34" s="3">
        <v>30959.9068053308</v>
      </c>
      <c r="AB34" s="16">
        <v>0</v>
      </c>
      <c r="AC34">
        <f t="shared" si="5"/>
        <v>0</v>
      </c>
      <c r="AE34" s="2">
        <v>2.512E-5</v>
      </c>
      <c r="AF34" s="3">
        <v>30959.9068053308</v>
      </c>
      <c r="AG34" s="16">
        <v>0</v>
      </c>
      <c r="AH34">
        <f t="shared" si="6"/>
        <v>0</v>
      </c>
      <c r="AJ34" s="2">
        <v>2.512E-5</v>
      </c>
      <c r="AK34" s="3">
        <v>30959.9068053308</v>
      </c>
      <c r="AL34" s="17">
        <v>9.3295237631490596E-5</v>
      </c>
      <c r="AM34">
        <f t="shared" si="7"/>
        <v>2.88841186245214</v>
      </c>
      <c r="AO34" s="2">
        <v>2.512E-5</v>
      </c>
      <c r="AP34" s="3">
        <v>30959.9068053308</v>
      </c>
      <c r="AQ34" s="17">
        <v>1.5820929504677899E-6</v>
      </c>
      <c r="AR34">
        <f t="shared" si="8"/>
        <v>4.8981450303853612E-2</v>
      </c>
      <c r="AT34" s="2">
        <v>2.512E-5</v>
      </c>
      <c r="AU34" s="3">
        <v>30959.9068053308</v>
      </c>
      <c r="AV34" s="16">
        <v>0</v>
      </c>
      <c r="AW34">
        <f t="shared" si="9"/>
        <v>0</v>
      </c>
    </row>
    <row r="35" spans="1:49" x14ac:dyDescent="0.3">
      <c r="A35" s="2">
        <v>3.981E-5</v>
      </c>
      <c r="B35" s="16">
        <v>20750.8320567923</v>
      </c>
      <c r="C35" s="17">
        <v>5.8338570559891403E-5</v>
      </c>
      <c r="D35">
        <f t="shared" si="0"/>
        <v>1.2105738801216341</v>
      </c>
      <c r="F35" s="2">
        <v>3.981E-5</v>
      </c>
      <c r="G35" s="3">
        <v>20750.8320567923</v>
      </c>
      <c r="H35" s="16">
        <v>0</v>
      </c>
      <c r="I35">
        <f t="shared" si="1"/>
        <v>0</v>
      </c>
      <c r="K35" s="2">
        <v>3.981E-5</v>
      </c>
      <c r="L35" s="3">
        <v>20750.8320567923</v>
      </c>
      <c r="M35" s="16">
        <v>0</v>
      </c>
      <c r="N35">
        <f t="shared" si="2"/>
        <v>0</v>
      </c>
      <c r="P35" s="2">
        <v>3.981E-5</v>
      </c>
      <c r="Q35" s="3">
        <v>20750.8320567923</v>
      </c>
      <c r="R35" s="16">
        <v>0</v>
      </c>
      <c r="S35">
        <f t="shared" si="3"/>
        <v>0</v>
      </c>
      <c r="U35" s="2">
        <v>3.981E-5</v>
      </c>
      <c r="V35" s="3">
        <v>20750.8320567923</v>
      </c>
      <c r="W35" s="16">
        <v>0</v>
      </c>
      <c r="X35">
        <f t="shared" si="4"/>
        <v>0</v>
      </c>
      <c r="Z35" s="2">
        <v>3.981E-5</v>
      </c>
      <c r="AA35" s="3">
        <v>20750.8320567923</v>
      </c>
      <c r="AB35" s="16">
        <v>0</v>
      </c>
      <c r="AC35">
        <f t="shared" si="5"/>
        <v>0</v>
      </c>
      <c r="AE35" s="2">
        <v>3.981E-5</v>
      </c>
      <c r="AF35" s="3">
        <v>20750.8320567923</v>
      </c>
      <c r="AG35" s="16">
        <v>0</v>
      </c>
      <c r="AH35">
        <f t="shared" si="6"/>
        <v>0</v>
      </c>
      <c r="AJ35" s="2">
        <v>3.981E-5</v>
      </c>
      <c r="AK35" s="3">
        <v>20750.8320567923</v>
      </c>
      <c r="AL35" s="17">
        <v>7.5282515870772601E-5</v>
      </c>
      <c r="AM35">
        <f t="shared" si="7"/>
        <v>1.5621748436472032</v>
      </c>
      <c r="AO35" s="2">
        <v>3.981E-5</v>
      </c>
      <c r="AP35" s="3">
        <v>20750.8320567923</v>
      </c>
      <c r="AQ35" s="17">
        <v>1.5319672832690701E-6</v>
      </c>
      <c r="AR35">
        <f t="shared" si="8"/>
        <v>3.1789595811616833E-2</v>
      </c>
      <c r="AT35" s="2">
        <v>3.981E-5</v>
      </c>
      <c r="AU35" s="3">
        <v>20750.8320567923</v>
      </c>
      <c r="AV35" s="16">
        <v>0</v>
      </c>
      <c r="AW35">
        <f t="shared" si="9"/>
        <v>0</v>
      </c>
    </row>
    <row r="36" spans="1:49" x14ac:dyDescent="0.3">
      <c r="A36" s="2">
        <v>6.3100000000000002E-5</v>
      </c>
      <c r="B36" s="16">
        <v>12193.0508813534</v>
      </c>
      <c r="C36" s="16">
        <v>5.0221580892536498E-2</v>
      </c>
      <c r="D36">
        <f t="shared" si="0"/>
        <v>612.35429116470323</v>
      </c>
      <c r="F36" s="2">
        <v>6.3100000000000002E-5</v>
      </c>
      <c r="G36" s="3">
        <v>12193.0508813534</v>
      </c>
      <c r="H36" s="16">
        <v>0</v>
      </c>
      <c r="I36">
        <f t="shared" si="1"/>
        <v>0</v>
      </c>
      <c r="K36" s="2">
        <v>6.3100000000000002E-5</v>
      </c>
      <c r="L36" s="3">
        <v>12193.0508813534</v>
      </c>
      <c r="M36" s="16">
        <v>0</v>
      </c>
      <c r="N36">
        <f t="shared" si="2"/>
        <v>0</v>
      </c>
      <c r="P36" s="2">
        <v>6.3100000000000002E-5</v>
      </c>
      <c r="Q36" s="3">
        <v>12193.0508813534</v>
      </c>
      <c r="R36" s="16">
        <v>0</v>
      </c>
      <c r="S36">
        <f t="shared" si="3"/>
        <v>0</v>
      </c>
      <c r="U36" s="2">
        <v>6.3100000000000002E-5</v>
      </c>
      <c r="V36" s="3">
        <v>12193.0508813534</v>
      </c>
      <c r="W36" s="16">
        <v>0</v>
      </c>
      <c r="X36">
        <f t="shared" si="4"/>
        <v>0</v>
      </c>
      <c r="Z36" s="2">
        <v>6.3100000000000002E-5</v>
      </c>
      <c r="AA36" s="3">
        <v>12193.0508813534</v>
      </c>
      <c r="AB36" s="16">
        <v>0</v>
      </c>
      <c r="AC36">
        <f t="shared" si="5"/>
        <v>0</v>
      </c>
      <c r="AE36" s="2">
        <v>6.3100000000000002E-5</v>
      </c>
      <c r="AF36" s="3">
        <v>12193.0508813534</v>
      </c>
      <c r="AG36" s="16">
        <v>0</v>
      </c>
      <c r="AH36">
        <f t="shared" si="6"/>
        <v>0</v>
      </c>
      <c r="AJ36" s="2">
        <v>6.3100000000000002E-5</v>
      </c>
      <c r="AK36" s="3">
        <v>12193.0508813534</v>
      </c>
      <c r="AL36" s="17">
        <v>6.0243460164527298E-5</v>
      </c>
      <c r="AM36">
        <f t="shared" si="7"/>
        <v>0.73455157505486801</v>
      </c>
      <c r="AO36" s="2">
        <v>6.3100000000000002E-5</v>
      </c>
      <c r="AP36" s="3">
        <v>12193.0508813534</v>
      </c>
      <c r="AQ36" s="17">
        <v>1.8085735994582399E-6</v>
      </c>
      <c r="AR36">
        <f t="shared" si="8"/>
        <v>2.2052029920866783E-2</v>
      </c>
      <c r="AT36" s="2">
        <v>6.3100000000000002E-5</v>
      </c>
      <c r="AU36" s="3">
        <v>12193.0508813534</v>
      </c>
      <c r="AV36" s="16">
        <v>0</v>
      </c>
      <c r="AW36">
        <f t="shared" si="9"/>
        <v>0</v>
      </c>
    </row>
    <row r="37" spans="1:49" x14ac:dyDescent="0.3">
      <c r="A37" s="2">
        <v>1E-4</v>
      </c>
      <c r="B37" s="16">
        <v>12599.4402855998</v>
      </c>
      <c r="C37" s="16">
        <v>1.03167198109876E-2</v>
      </c>
      <c r="D37">
        <f t="shared" si="0"/>
        <v>129.98489520180271</v>
      </c>
      <c r="F37" s="2">
        <v>1E-4</v>
      </c>
      <c r="G37" s="3">
        <v>12599.4402855998</v>
      </c>
      <c r="H37" s="16">
        <v>0</v>
      </c>
      <c r="I37">
        <f t="shared" si="1"/>
        <v>0</v>
      </c>
      <c r="K37" s="2">
        <v>1E-4</v>
      </c>
      <c r="L37" s="3">
        <v>12599.4402855998</v>
      </c>
      <c r="M37" s="16">
        <v>0</v>
      </c>
      <c r="N37">
        <f t="shared" si="2"/>
        <v>0</v>
      </c>
      <c r="P37" s="2">
        <v>1E-4</v>
      </c>
      <c r="Q37" s="3">
        <v>12599.4402855998</v>
      </c>
      <c r="R37" s="16">
        <v>0</v>
      </c>
      <c r="S37">
        <f t="shared" si="3"/>
        <v>0</v>
      </c>
      <c r="U37" s="2">
        <v>1E-4</v>
      </c>
      <c r="V37" s="3">
        <v>12599.4402855998</v>
      </c>
      <c r="W37" s="16">
        <v>0</v>
      </c>
      <c r="X37">
        <f t="shared" si="4"/>
        <v>0</v>
      </c>
      <c r="Z37" s="2">
        <v>1E-4</v>
      </c>
      <c r="AA37" s="3">
        <v>12599.4402855998</v>
      </c>
      <c r="AB37" s="16">
        <v>0</v>
      </c>
      <c r="AC37">
        <f t="shared" si="5"/>
        <v>0</v>
      </c>
      <c r="AE37" s="2">
        <v>1E-4</v>
      </c>
      <c r="AF37" s="3">
        <v>12599.4402855998</v>
      </c>
      <c r="AG37" s="16">
        <v>0</v>
      </c>
      <c r="AH37">
        <f t="shared" si="6"/>
        <v>0</v>
      </c>
      <c r="AJ37" s="2">
        <v>1E-4</v>
      </c>
      <c r="AK37" s="3">
        <v>12599.4402855998</v>
      </c>
      <c r="AL37" s="17">
        <v>4.9123921762887098E-5</v>
      </c>
      <c r="AM37">
        <f t="shared" si="7"/>
        <v>0.61893391884597249</v>
      </c>
      <c r="AO37" s="2">
        <v>1E-4</v>
      </c>
      <c r="AP37" s="3">
        <v>12599.4402855998</v>
      </c>
      <c r="AQ37" s="17">
        <v>4.16397695582708E-6</v>
      </c>
      <c r="AR37">
        <f t="shared" si="8"/>
        <v>5.2463779005556932E-2</v>
      </c>
      <c r="AT37" s="2">
        <v>1E-4</v>
      </c>
      <c r="AU37" s="3">
        <v>12599.4402855998</v>
      </c>
      <c r="AV37" s="16">
        <v>0</v>
      </c>
      <c r="AW37">
        <f t="shared" si="9"/>
        <v>0</v>
      </c>
    </row>
    <row r="38" spans="1:49" x14ac:dyDescent="0.3">
      <c r="A38" s="3">
        <v>1.585E-4</v>
      </c>
      <c r="B38" s="16">
        <v>8179.7100211512598</v>
      </c>
      <c r="C38" s="16">
        <v>6.2156157385368201E-3</v>
      </c>
      <c r="D38">
        <f t="shared" si="0"/>
        <v>50.841934344135119</v>
      </c>
      <c r="F38" s="3">
        <v>1.585E-4</v>
      </c>
      <c r="G38" s="3">
        <v>8179.7100211512598</v>
      </c>
      <c r="H38" s="16">
        <v>0</v>
      </c>
      <c r="I38">
        <f t="shared" si="1"/>
        <v>0</v>
      </c>
      <c r="K38" s="3">
        <v>1.585E-4</v>
      </c>
      <c r="L38" s="3">
        <v>8179.7100211512598</v>
      </c>
      <c r="M38" s="16">
        <v>0</v>
      </c>
      <c r="N38">
        <f t="shared" si="2"/>
        <v>0</v>
      </c>
      <c r="P38" s="3">
        <v>1.585E-4</v>
      </c>
      <c r="Q38" s="3">
        <v>8179.7100211512598</v>
      </c>
      <c r="R38" s="16">
        <v>0</v>
      </c>
      <c r="S38">
        <f t="shared" si="3"/>
        <v>0</v>
      </c>
      <c r="U38" s="3">
        <v>1.585E-4</v>
      </c>
      <c r="V38" s="3">
        <v>8179.7100211512598</v>
      </c>
      <c r="W38" s="16">
        <v>0</v>
      </c>
      <c r="X38">
        <f t="shared" si="4"/>
        <v>0</v>
      </c>
      <c r="Z38" s="3">
        <v>1.585E-4</v>
      </c>
      <c r="AA38" s="3">
        <v>8179.7100211512598</v>
      </c>
      <c r="AB38" s="16">
        <v>0</v>
      </c>
      <c r="AC38">
        <f t="shared" si="5"/>
        <v>0</v>
      </c>
      <c r="AE38" s="3">
        <v>1.585E-4</v>
      </c>
      <c r="AF38" s="3">
        <v>8179.7100211512598</v>
      </c>
      <c r="AG38" s="16">
        <v>0</v>
      </c>
      <c r="AH38">
        <f t="shared" si="6"/>
        <v>0</v>
      </c>
      <c r="AJ38" s="3">
        <v>1.585E-4</v>
      </c>
      <c r="AK38" s="3">
        <v>8179.7100211512598</v>
      </c>
      <c r="AL38" s="17">
        <v>4.0644876293265502E-5</v>
      </c>
      <c r="AM38">
        <f t="shared" si="7"/>
        <v>0.33246330192447709</v>
      </c>
      <c r="AO38" s="3">
        <v>1.585E-4</v>
      </c>
      <c r="AP38" s="3">
        <v>8179.7100211512598</v>
      </c>
      <c r="AQ38" s="16">
        <v>1.7906552124928999E-4</v>
      </c>
      <c r="AR38">
        <f t="shared" si="8"/>
        <v>1.4647040386054913</v>
      </c>
      <c r="AT38" s="3">
        <v>1.585E-4</v>
      </c>
      <c r="AU38" s="3">
        <v>8179.7100211512598</v>
      </c>
      <c r="AV38" s="16">
        <v>0</v>
      </c>
      <c r="AW38">
        <f t="shared" si="9"/>
        <v>0</v>
      </c>
    </row>
    <row r="39" spans="1:49" x14ac:dyDescent="0.3">
      <c r="A39" s="3">
        <v>2.5119999999999998E-4</v>
      </c>
      <c r="B39" s="16">
        <v>6716.0393946224804</v>
      </c>
      <c r="C39" s="16">
        <v>9.4404196967212695E-3</v>
      </c>
      <c r="D39">
        <f t="shared" si="0"/>
        <v>63.402230584950054</v>
      </c>
      <c r="F39" s="3">
        <v>2.5119999999999998E-4</v>
      </c>
      <c r="G39" s="3">
        <v>6716.0393946224804</v>
      </c>
      <c r="H39" s="16">
        <v>0</v>
      </c>
      <c r="I39">
        <f t="shared" si="1"/>
        <v>0</v>
      </c>
      <c r="K39" s="3">
        <v>2.5119999999999998E-4</v>
      </c>
      <c r="L39" s="3">
        <v>6716.0393946224804</v>
      </c>
      <c r="M39" s="16">
        <v>0</v>
      </c>
      <c r="N39">
        <f t="shared" si="2"/>
        <v>0</v>
      </c>
      <c r="P39" s="3">
        <v>2.5119999999999998E-4</v>
      </c>
      <c r="Q39" s="3">
        <v>6716.0393946224804</v>
      </c>
      <c r="R39" s="16">
        <v>0</v>
      </c>
      <c r="S39">
        <f t="shared" si="3"/>
        <v>0</v>
      </c>
      <c r="U39" s="3">
        <v>2.5119999999999998E-4</v>
      </c>
      <c r="V39" s="3">
        <v>6716.0393946224804</v>
      </c>
      <c r="W39" s="16">
        <v>0</v>
      </c>
      <c r="X39">
        <f t="shared" si="4"/>
        <v>0</v>
      </c>
      <c r="Z39" s="3">
        <v>2.5119999999999998E-4</v>
      </c>
      <c r="AA39" s="3">
        <v>6716.0393946224804</v>
      </c>
      <c r="AB39" s="16">
        <v>0</v>
      </c>
      <c r="AC39">
        <f t="shared" si="5"/>
        <v>0</v>
      </c>
      <c r="AE39" s="3">
        <v>2.5119999999999998E-4</v>
      </c>
      <c r="AF39" s="3">
        <v>6716.0393946224804</v>
      </c>
      <c r="AG39" s="16">
        <v>0</v>
      </c>
      <c r="AH39">
        <f t="shared" si="6"/>
        <v>0</v>
      </c>
      <c r="AJ39" s="3">
        <v>2.5119999999999998E-4</v>
      </c>
      <c r="AK39" s="3">
        <v>6716.0393946224804</v>
      </c>
      <c r="AL39" s="17">
        <v>3.4208811692435198E-5</v>
      </c>
      <c r="AM39">
        <f t="shared" si="7"/>
        <v>0.2297477269696169</v>
      </c>
      <c r="AO39" s="3">
        <v>2.5119999999999998E-4</v>
      </c>
      <c r="AP39" s="3">
        <v>6716.0393946224804</v>
      </c>
      <c r="AQ39" s="17">
        <v>2.6132646961210798E-6</v>
      </c>
      <c r="AR39">
        <f t="shared" si="8"/>
        <v>1.7550788647725316E-2</v>
      </c>
      <c r="AT39" s="3">
        <v>2.5119999999999998E-4</v>
      </c>
      <c r="AU39" s="3">
        <v>6716.0393946224804</v>
      </c>
      <c r="AV39" s="16">
        <v>0</v>
      </c>
      <c r="AW39">
        <f t="shared" si="9"/>
        <v>0</v>
      </c>
    </row>
    <row r="40" spans="1:49" x14ac:dyDescent="0.3">
      <c r="A40" s="3">
        <v>3.9809999999999997E-4</v>
      </c>
      <c r="B40" s="16">
        <v>6687.3586056735603</v>
      </c>
      <c r="C40" s="16">
        <v>8.12846978913178E-3</v>
      </c>
      <c r="D40">
        <f t="shared" si="0"/>
        <v>54.35799239530796</v>
      </c>
      <c r="F40" s="3">
        <v>3.9809999999999997E-4</v>
      </c>
      <c r="G40" s="3">
        <v>6687.3586056735603</v>
      </c>
      <c r="H40" s="16">
        <v>0</v>
      </c>
      <c r="I40">
        <f t="shared" si="1"/>
        <v>0</v>
      </c>
      <c r="K40" s="3">
        <v>3.9809999999999997E-4</v>
      </c>
      <c r="L40" s="3">
        <v>6687.3586056735603</v>
      </c>
      <c r="M40" s="16">
        <v>0</v>
      </c>
      <c r="N40">
        <f t="shared" si="2"/>
        <v>0</v>
      </c>
      <c r="P40" s="3">
        <v>3.9809999999999997E-4</v>
      </c>
      <c r="Q40" s="3">
        <v>6687.3586056735603</v>
      </c>
      <c r="R40" s="16">
        <v>0</v>
      </c>
      <c r="S40">
        <f t="shared" si="3"/>
        <v>0</v>
      </c>
      <c r="U40" s="3">
        <v>3.9809999999999997E-4</v>
      </c>
      <c r="V40" s="3">
        <v>6687.3586056735603</v>
      </c>
      <c r="W40" s="16">
        <v>0</v>
      </c>
      <c r="X40">
        <f t="shared" si="4"/>
        <v>0</v>
      </c>
      <c r="Z40" s="3">
        <v>3.9809999999999997E-4</v>
      </c>
      <c r="AA40" s="3">
        <v>6687.3586056735603</v>
      </c>
      <c r="AB40" s="16">
        <v>0</v>
      </c>
      <c r="AC40">
        <f t="shared" si="5"/>
        <v>0</v>
      </c>
      <c r="AE40" s="3">
        <v>3.9809999999999997E-4</v>
      </c>
      <c r="AF40" s="3">
        <v>6687.3586056735603</v>
      </c>
      <c r="AG40" s="16">
        <v>0</v>
      </c>
      <c r="AH40">
        <f t="shared" si="6"/>
        <v>0</v>
      </c>
      <c r="AJ40" s="3">
        <v>3.9809999999999997E-4</v>
      </c>
      <c r="AK40" s="3">
        <v>6687.3586056735603</v>
      </c>
      <c r="AL40" s="17">
        <v>2.9836084973281599E-5</v>
      </c>
      <c r="AM40">
        <f t="shared" si="7"/>
        <v>0.19952459960568231</v>
      </c>
      <c r="AO40" s="3">
        <v>3.9809999999999997E-4</v>
      </c>
      <c r="AP40" s="3">
        <v>6687.3586056735603</v>
      </c>
      <c r="AQ40" s="17">
        <v>2.11521088952642E-7</v>
      </c>
      <c r="AR40">
        <f t="shared" si="8"/>
        <v>1.4145173744888931E-3</v>
      </c>
      <c r="AT40" s="3">
        <v>3.9809999999999997E-4</v>
      </c>
      <c r="AU40" s="3">
        <v>6687.3586056735603</v>
      </c>
      <c r="AV40" s="16">
        <v>0</v>
      </c>
      <c r="AW40">
        <f t="shared" si="9"/>
        <v>0</v>
      </c>
    </row>
    <row r="41" spans="1:49" x14ac:dyDescent="0.3">
      <c r="A41" s="3">
        <v>6.3100000000000005E-4</v>
      </c>
      <c r="B41" s="16">
        <v>6087.7048725479699</v>
      </c>
      <c r="C41" s="16">
        <v>5.1867317718028499E-3</v>
      </c>
      <c r="D41">
        <f t="shared" si="0"/>
        <v>31.575292279803573</v>
      </c>
      <c r="F41" s="3">
        <v>6.3100000000000005E-4</v>
      </c>
      <c r="G41" s="3">
        <v>6087.7048725479699</v>
      </c>
      <c r="H41" s="16">
        <v>0</v>
      </c>
      <c r="I41">
        <f t="shared" si="1"/>
        <v>0</v>
      </c>
      <c r="K41" s="3">
        <v>6.3100000000000005E-4</v>
      </c>
      <c r="L41" s="3">
        <v>6087.7048725479699</v>
      </c>
      <c r="M41" s="16">
        <v>0</v>
      </c>
      <c r="N41">
        <f t="shared" si="2"/>
        <v>0</v>
      </c>
      <c r="P41" s="3">
        <v>6.3100000000000005E-4</v>
      </c>
      <c r="Q41" s="3">
        <v>6087.7048725479699</v>
      </c>
      <c r="R41" s="16">
        <v>0</v>
      </c>
      <c r="S41">
        <f t="shared" si="3"/>
        <v>0</v>
      </c>
      <c r="U41" s="3">
        <v>6.3100000000000005E-4</v>
      </c>
      <c r="V41" s="3">
        <v>6087.7048725479699</v>
      </c>
      <c r="W41" s="16">
        <v>0</v>
      </c>
      <c r="X41">
        <f t="shared" si="4"/>
        <v>0</v>
      </c>
      <c r="Z41" s="3">
        <v>6.3100000000000005E-4</v>
      </c>
      <c r="AA41" s="3">
        <v>6087.7048725479699</v>
      </c>
      <c r="AB41" s="16">
        <v>0</v>
      </c>
      <c r="AC41">
        <f t="shared" si="5"/>
        <v>0</v>
      </c>
      <c r="AE41" s="3">
        <v>6.3100000000000005E-4</v>
      </c>
      <c r="AF41" s="3">
        <v>6087.7048725479699</v>
      </c>
      <c r="AG41" s="16">
        <v>0</v>
      </c>
      <c r="AH41">
        <f t="shared" si="6"/>
        <v>0</v>
      </c>
      <c r="AJ41" s="3">
        <v>6.3100000000000005E-4</v>
      </c>
      <c r="AK41" s="3">
        <v>6087.7048725479699</v>
      </c>
      <c r="AL41" s="17">
        <v>2.73542071680648E-5</v>
      </c>
      <c r="AM41">
        <f t="shared" si="7"/>
        <v>0.1665243402617147</v>
      </c>
      <c r="AO41" s="3">
        <v>6.3100000000000005E-4</v>
      </c>
      <c r="AP41" s="3">
        <v>6087.7048725479699</v>
      </c>
      <c r="AQ41" s="17">
        <v>6.8971798127039602E-8</v>
      </c>
      <c r="AR41">
        <f t="shared" si="8"/>
        <v>4.1987995152637392E-4</v>
      </c>
      <c r="AT41" s="3">
        <v>6.3100000000000005E-4</v>
      </c>
      <c r="AU41" s="3">
        <v>6087.7048725479699</v>
      </c>
      <c r="AV41" s="16">
        <v>0</v>
      </c>
      <c r="AW41">
        <f t="shared" si="9"/>
        <v>0</v>
      </c>
    </row>
    <row r="42" spans="1:49" x14ac:dyDescent="0.3">
      <c r="A42" s="3">
        <v>1E-3</v>
      </c>
      <c r="B42" s="16">
        <v>5257.5782863804297</v>
      </c>
      <c r="C42" s="16">
        <v>3.85504679770367E-3</v>
      </c>
      <c r="D42">
        <f t="shared" si="0"/>
        <v>20.268210336587224</v>
      </c>
      <c r="F42" s="3">
        <v>1E-3</v>
      </c>
      <c r="G42" s="3">
        <v>5257.5782863804297</v>
      </c>
      <c r="H42" s="16">
        <v>0</v>
      </c>
      <c r="I42">
        <f t="shared" si="1"/>
        <v>0</v>
      </c>
      <c r="K42" s="3">
        <v>1E-3</v>
      </c>
      <c r="L42" s="3">
        <v>5257.5782863804297</v>
      </c>
      <c r="M42" s="16">
        <v>0</v>
      </c>
      <c r="N42">
        <f t="shared" si="2"/>
        <v>0</v>
      </c>
      <c r="P42" s="3">
        <v>1E-3</v>
      </c>
      <c r="Q42" s="3">
        <v>5257.5782863804297</v>
      </c>
      <c r="R42" s="16">
        <v>0</v>
      </c>
      <c r="S42">
        <f t="shared" si="3"/>
        <v>0</v>
      </c>
      <c r="U42" s="3">
        <v>1E-3</v>
      </c>
      <c r="V42" s="3">
        <v>5257.5782863804297</v>
      </c>
      <c r="W42" s="16">
        <v>0</v>
      </c>
      <c r="X42">
        <f t="shared" si="4"/>
        <v>0</v>
      </c>
      <c r="Z42" s="3">
        <v>1E-3</v>
      </c>
      <c r="AA42" s="3">
        <v>5257.5782863804297</v>
      </c>
      <c r="AB42" s="16">
        <v>0</v>
      </c>
      <c r="AC42">
        <f t="shared" si="5"/>
        <v>0</v>
      </c>
      <c r="AE42" s="3">
        <v>1E-3</v>
      </c>
      <c r="AF42" s="3">
        <v>5257.5782863804297</v>
      </c>
      <c r="AG42" s="16">
        <v>0</v>
      </c>
      <c r="AH42">
        <f t="shared" si="6"/>
        <v>0</v>
      </c>
      <c r="AJ42" s="3">
        <v>1E-3</v>
      </c>
      <c r="AK42" s="3">
        <v>5257.5782863804297</v>
      </c>
      <c r="AL42" s="17">
        <v>2.9038261928997201E-5</v>
      </c>
      <c r="AM42">
        <f t="shared" si="7"/>
        <v>0.15267093539212317</v>
      </c>
      <c r="AO42" s="3">
        <v>1E-3</v>
      </c>
      <c r="AP42" s="3">
        <v>5257.5782863804297</v>
      </c>
      <c r="AQ42" s="17">
        <v>3.69174397077638E-8</v>
      </c>
      <c r="AR42">
        <f t="shared" si="8"/>
        <v>1.9409632939629764E-4</v>
      </c>
      <c r="AT42" s="3">
        <v>1E-3</v>
      </c>
      <c r="AU42" s="3">
        <v>5257.5782863804297</v>
      </c>
      <c r="AV42" s="16">
        <v>0</v>
      </c>
      <c r="AW42">
        <f t="shared" si="9"/>
        <v>0</v>
      </c>
    </row>
    <row r="43" spans="1:49" x14ac:dyDescent="0.3">
      <c r="A43" s="3">
        <v>1.585E-3</v>
      </c>
      <c r="B43" s="16">
        <v>6640.00739728604</v>
      </c>
      <c r="C43" s="16">
        <v>2.0580625838671901E-3</v>
      </c>
      <c r="D43">
        <f t="shared" si="0"/>
        <v>13.665550780955764</v>
      </c>
      <c r="F43" s="3">
        <v>1.585E-3</v>
      </c>
      <c r="G43" s="3">
        <v>6640.00739728604</v>
      </c>
      <c r="H43" s="16">
        <v>0</v>
      </c>
      <c r="I43">
        <f t="shared" si="1"/>
        <v>0</v>
      </c>
      <c r="K43" s="3">
        <v>1.585E-3</v>
      </c>
      <c r="L43" s="3">
        <v>6640.00739728604</v>
      </c>
      <c r="M43" s="16">
        <v>0</v>
      </c>
      <c r="N43">
        <f t="shared" si="2"/>
        <v>0</v>
      </c>
      <c r="P43" s="3">
        <v>1.585E-3</v>
      </c>
      <c r="Q43" s="3">
        <v>6640.00739728604</v>
      </c>
      <c r="R43" s="16">
        <v>0</v>
      </c>
      <c r="S43">
        <f t="shared" si="3"/>
        <v>0</v>
      </c>
      <c r="U43" s="3">
        <v>1.585E-3</v>
      </c>
      <c r="V43" s="3">
        <v>6640.00739728604</v>
      </c>
      <c r="W43" s="16">
        <v>0</v>
      </c>
      <c r="X43">
        <f t="shared" si="4"/>
        <v>0</v>
      </c>
      <c r="Z43" s="3">
        <v>1.585E-3</v>
      </c>
      <c r="AA43" s="3">
        <v>6640.00739728604</v>
      </c>
      <c r="AB43" s="16">
        <v>0</v>
      </c>
      <c r="AC43">
        <f t="shared" si="5"/>
        <v>0</v>
      </c>
      <c r="AE43" s="3">
        <v>1.585E-3</v>
      </c>
      <c r="AF43" s="3">
        <v>6640.00739728604</v>
      </c>
      <c r="AG43" s="16">
        <v>0</v>
      </c>
      <c r="AH43">
        <f t="shared" si="6"/>
        <v>0</v>
      </c>
      <c r="AJ43" s="3">
        <v>1.585E-3</v>
      </c>
      <c r="AK43" s="3">
        <v>6640.00739728604</v>
      </c>
      <c r="AL43" s="17">
        <v>4.1763864924866903E-5</v>
      </c>
      <c r="AM43">
        <f t="shared" si="7"/>
        <v>0.27731237204037124</v>
      </c>
      <c r="AO43" s="3">
        <v>1.585E-3</v>
      </c>
      <c r="AP43" s="3">
        <v>6640.00739728604</v>
      </c>
      <c r="AQ43" s="17">
        <v>4.7230594284368401E-7</v>
      </c>
      <c r="AR43">
        <f t="shared" si="8"/>
        <v>3.1361149542642195E-3</v>
      </c>
      <c r="AT43" s="3">
        <v>1.585E-3</v>
      </c>
      <c r="AU43" s="3">
        <v>6640.00739728604</v>
      </c>
      <c r="AV43" s="16">
        <v>0</v>
      </c>
      <c r="AW43">
        <f t="shared" si="9"/>
        <v>0</v>
      </c>
    </row>
    <row r="44" spans="1:49" x14ac:dyDescent="0.3">
      <c r="A44" s="3">
        <v>2.5119999999999999E-3</v>
      </c>
      <c r="B44" s="16">
        <v>7354.1423772605704</v>
      </c>
      <c r="C44" s="16">
        <v>1.29600376444036E-3</v>
      </c>
      <c r="D44">
        <f t="shared" si="0"/>
        <v>9.5309962051600774</v>
      </c>
      <c r="F44" s="3">
        <v>2.5119999999999999E-3</v>
      </c>
      <c r="G44" s="3">
        <v>7354.1423772605704</v>
      </c>
      <c r="H44" s="16">
        <v>0</v>
      </c>
      <c r="I44">
        <f t="shared" si="1"/>
        <v>0</v>
      </c>
      <c r="K44" s="3">
        <v>2.5119999999999999E-3</v>
      </c>
      <c r="L44" s="3">
        <v>7354.1423772605704</v>
      </c>
      <c r="M44" s="16">
        <v>0</v>
      </c>
      <c r="N44">
        <f t="shared" si="2"/>
        <v>0</v>
      </c>
      <c r="P44" s="3">
        <v>2.5119999999999999E-3</v>
      </c>
      <c r="Q44" s="3">
        <v>7354.1423772605704</v>
      </c>
      <c r="R44" s="16">
        <v>0</v>
      </c>
      <c r="S44">
        <f t="shared" si="3"/>
        <v>0</v>
      </c>
      <c r="U44" s="3">
        <v>2.5119999999999999E-3</v>
      </c>
      <c r="V44" s="3">
        <v>7354.1423772605704</v>
      </c>
      <c r="W44" s="16">
        <v>0</v>
      </c>
      <c r="X44">
        <f t="shared" si="4"/>
        <v>0</v>
      </c>
      <c r="Z44" s="3">
        <v>2.5119999999999999E-3</v>
      </c>
      <c r="AA44" s="3">
        <v>7354.1423772605704</v>
      </c>
      <c r="AB44" s="16">
        <v>0</v>
      </c>
      <c r="AC44">
        <f t="shared" si="5"/>
        <v>0</v>
      </c>
      <c r="AE44" s="3">
        <v>2.5119999999999999E-3</v>
      </c>
      <c r="AF44" s="3">
        <v>7354.1423772605704</v>
      </c>
      <c r="AG44" s="16">
        <v>0</v>
      </c>
      <c r="AH44">
        <f t="shared" si="6"/>
        <v>0</v>
      </c>
      <c r="AJ44" s="3">
        <v>2.5119999999999999E-3</v>
      </c>
      <c r="AK44" s="3">
        <v>7354.1423772605704</v>
      </c>
      <c r="AL44" s="16">
        <v>2.0313873422061099E-4</v>
      </c>
      <c r="AM44">
        <f t="shared" si="7"/>
        <v>1.4939111737948674</v>
      </c>
      <c r="AO44" s="3">
        <v>2.5119999999999999E-3</v>
      </c>
      <c r="AP44" s="3">
        <v>7354.1423772605704</v>
      </c>
      <c r="AQ44" s="17">
        <v>5.1129809668106897E-7</v>
      </c>
      <c r="AR44">
        <f t="shared" si="8"/>
        <v>3.7601590002149213E-3</v>
      </c>
      <c r="AT44" s="3">
        <v>2.5119999999999999E-3</v>
      </c>
      <c r="AU44" s="3">
        <v>7354.1423772605704</v>
      </c>
      <c r="AV44" s="16">
        <v>0</v>
      </c>
      <c r="AW44">
        <f t="shared" si="9"/>
        <v>0</v>
      </c>
    </row>
    <row r="45" spans="1:49" x14ac:dyDescent="0.3">
      <c r="A45" s="3">
        <v>3.9810000000000002E-3</v>
      </c>
      <c r="B45" s="16">
        <v>6341.9117220252401</v>
      </c>
      <c r="C45" s="16">
        <v>4.8983226835710904E-4</v>
      </c>
      <c r="D45">
        <f t="shared" si="0"/>
        <v>3.1064730045201632</v>
      </c>
      <c r="F45" s="3">
        <v>3.9810000000000002E-3</v>
      </c>
      <c r="G45" s="3">
        <v>6341.9117220252401</v>
      </c>
      <c r="H45" s="16">
        <v>0</v>
      </c>
      <c r="I45">
        <f t="shared" si="1"/>
        <v>0</v>
      </c>
      <c r="K45" s="3">
        <v>3.9810000000000002E-3</v>
      </c>
      <c r="L45" s="3">
        <v>6341.9117220252401</v>
      </c>
      <c r="M45" s="16">
        <v>0</v>
      </c>
      <c r="N45">
        <f t="shared" si="2"/>
        <v>0</v>
      </c>
      <c r="P45" s="3">
        <v>3.9810000000000002E-3</v>
      </c>
      <c r="Q45" s="3">
        <v>6341.9117220252401</v>
      </c>
      <c r="R45" s="16">
        <v>0</v>
      </c>
      <c r="S45">
        <f t="shared" si="3"/>
        <v>0</v>
      </c>
      <c r="U45" s="3">
        <v>3.9810000000000002E-3</v>
      </c>
      <c r="V45" s="3">
        <v>6341.9117220252401</v>
      </c>
      <c r="W45" s="16">
        <v>0</v>
      </c>
      <c r="X45">
        <f t="shared" si="4"/>
        <v>0</v>
      </c>
      <c r="Z45" s="3">
        <v>3.9810000000000002E-3</v>
      </c>
      <c r="AA45" s="3">
        <v>6341.9117220252401</v>
      </c>
      <c r="AB45" s="16">
        <v>0</v>
      </c>
      <c r="AC45">
        <f t="shared" si="5"/>
        <v>0</v>
      </c>
      <c r="AE45" s="3">
        <v>3.9810000000000002E-3</v>
      </c>
      <c r="AF45" s="3">
        <v>6341.9117220252401</v>
      </c>
      <c r="AG45" s="16">
        <v>0</v>
      </c>
      <c r="AH45">
        <f t="shared" si="6"/>
        <v>0</v>
      </c>
      <c r="AJ45" s="3">
        <v>3.9810000000000002E-3</v>
      </c>
      <c r="AK45" s="3">
        <v>6341.9117220252401</v>
      </c>
      <c r="AL45" s="16">
        <v>6.3502888145140399E-4</v>
      </c>
      <c r="AM45">
        <f t="shared" si="7"/>
        <v>4.0272971071012353</v>
      </c>
      <c r="AO45" s="3">
        <v>3.9810000000000002E-3</v>
      </c>
      <c r="AP45" s="3">
        <v>6341.9117220252401</v>
      </c>
      <c r="AQ45" s="17">
        <v>1.88130826280794E-6</v>
      </c>
      <c r="AR45">
        <f t="shared" si="8"/>
        <v>1.1931090924644616E-2</v>
      </c>
      <c r="AT45" s="3">
        <v>3.9810000000000002E-3</v>
      </c>
      <c r="AU45" s="3">
        <v>6341.9117220252401</v>
      </c>
      <c r="AV45" s="16">
        <v>0</v>
      </c>
      <c r="AW45">
        <f t="shared" si="9"/>
        <v>0</v>
      </c>
    </row>
    <row r="46" spans="1:49" x14ac:dyDescent="0.3">
      <c r="A46" s="3">
        <v>6.3099999999999996E-3</v>
      </c>
      <c r="B46" s="16">
        <v>7429.6032400341201</v>
      </c>
      <c r="C46" s="16">
        <v>3.6609254960565102E-4</v>
      </c>
      <c r="D46">
        <f t="shared" si="0"/>
        <v>2.7199223927024967</v>
      </c>
      <c r="F46" s="3">
        <v>6.3099999999999996E-3</v>
      </c>
      <c r="G46" s="3">
        <v>7429.6032400341201</v>
      </c>
      <c r="H46" s="16">
        <v>0</v>
      </c>
      <c r="I46">
        <f t="shared" si="1"/>
        <v>0</v>
      </c>
      <c r="K46" s="3">
        <v>6.3099999999999996E-3</v>
      </c>
      <c r="L46" s="3">
        <v>7429.6032400341201</v>
      </c>
      <c r="M46" s="16">
        <v>0</v>
      </c>
      <c r="N46">
        <f t="shared" si="2"/>
        <v>0</v>
      </c>
      <c r="P46" s="3">
        <v>6.3099999999999996E-3</v>
      </c>
      <c r="Q46" s="3">
        <v>7429.6032400341201</v>
      </c>
      <c r="R46" s="16">
        <v>0</v>
      </c>
      <c r="S46">
        <f t="shared" si="3"/>
        <v>0</v>
      </c>
      <c r="U46" s="3">
        <v>6.3099999999999996E-3</v>
      </c>
      <c r="V46" s="3">
        <v>7429.6032400341201</v>
      </c>
      <c r="W46" s="16">
        <v>0</v>
      </c>
      <c r="X46">
        <f t="shared" si="4"/>
        <v>0</v>
      </c>
      <c r="Z46" s="3">
        <v>6.3099999999999996E-3</v>
      </c>
      <c r="AA46" s="3">
        <v>7429.6032400341201</v>
      </c>
      <c r="AB46" s="16">
        <v>0</v>
      </c>
      <c r="AC46">
        <f t="shared" si="5"/>
        <v>0</v>
      </c>
      <c r="AE46" s="3">
        <v>6.3099999999999996E-3</v>
      </c>
      <c r="AF46" s="3">
        <v>7429.6032400341201</v>
      </c>
      <c r="AG46" s="16">
        <v>0</v>
      </c>
      <c r="AH46">
        <f t="shared" si="6"/>
        <v>0</v>
      </c>
      <c r="AJ46" s="3">
        <v>6.3099999999999996E-3</v>
      </c>
      <c r="AK46" s="3">
        <v>7429.6032400341201</v>
      </c>
      <c r="AL46" s="17">
        <v>1.4034390818708099E-5</v>
      </c>
      <c r="AM46">
        <f t="shared" si="7"/>
        <v>0.1042699554985788</v>
      </c>
      <c r="AO46" s="3">
        <v>6.3099999999999996E-3</v>
      </c>
      <c r="AP46" s="3">
        <v>7429.6032400341201</v>
      </c>
      <c r="AQ46" s="17">
        <v>9.6976615314429201E-7</v>
      </c>
      <c r="AR46">
        <f t="shared" si="8"/>
        <v>7.2049777534762566E-3</v>
      </c>
      <c r="AT46" s="3">
        <v>6.3099999999999996E-3</v>
      </c>
      <c r="AU46" s="3">
        <v>7429.6032400341201</v>
      </c>
      <c r="AV46" s="16">
        <v>0</v>
      </c>
      <c r="AW46">
        <f t="shared" si="9"/>
        <v>0</v>
      </c>
    </row>
    <row r="47" spans="1:49" x14ac:dyDescent="0.3">
      <c r="A47" s="3">
        <v>0.01</v>
      </c>
      <c r="B47" s="16">
        <v>4572.43149111616</v>
      </c>
      <c r="C47" s="16">
        <v>2.5985188589876701E-4</v>
      </c>
      <c r="D47">
        <f t="shared" si="0"/>
        <v>1.1881549461094456</v>
      </c>
      <c r="F47" s="3">
        <v>0.01</v>
      </c>
      <c r="G47" s="3">
        <v>4572.43149111616</v>
      </c>
      <c r="H47" s="16">
        <v>0</v>
      </c>
      <c r="I47">
        <f t="shared" si="1"/>
        <v>0</v>
      </c>
      <c r="K47" s="3">
        <v>0.01</v>
      </c>
      <c r="L47" s="3">
        <v>4572.43149111616</v>
      </c>
      <c r="M47" s="16">
        <v>0</v>
      </c>
      <c r="N47">
        <f t="shared" si="2"/>
        <v>0</v>
      </c>
      <c r="P47" s="3">
        <v>0.01</v>
      </c>
      <c r="Q47" s="3">
        <v>4572.43149111616</v>
      </c>
      <c r="R47" s="16">
        <v>0</v>
      </c>
      <c r="S47">
        <f t="shared" si="3"/>
        <v>0</v>
      </c>
      <c r="U47" s="3">
        <v>0.01</v>
      </c>
      <c r="V47" s="3">
        <v>4572.43149111616</v>
      </c>
      <c r="W47" s="16">
        <v>0</v>
      </c>
      <c r="X47">
        <f t="shared" si="4"/>
        <v>0</v>
      </c>
      <c r="Z47" s="3">
        <v>0.01</v>
      </c>
      <c r="AA47" s="3">
        <v>4572.43149111616</v>
      </c>
      <c r="AB47" s="16">
        <v>0</v>
      </c>
      <c r="AC47">
        <f t="shared" si="5"/>
        <v>0</v>
      </c>
      <c r="AE47" s="3">
        <v>0.01</v>
      </c>
      <c r="AF47" s="3">
        <v>4572.43149111616</v>
      </c>
      <c r="AG47" s="16">
        <v>0</v>
      </c>
      <c r="AH47">
        <f t="shared" si="6"/>
        <v>0</v>
      </c>
      <c r="AJ47" s="3">
        <v>0.01</v>
      </c>
      <c r="AK47" s="3">
        <v>4572.43149111616</v>
      </c>
      <c r="AL47" s="16">
        <v>1.14692359758951E-4</v>
      </c>
      <c r="AM47">
        <f t="shared" si="7"/>
        <v>0.52442295755225143</v>
      </c>
      <c r="AO47" s="3">
        <v>0.01</v>
      </c>
      <c r="AP47" s="3">
        <v>4572.43149111616</v>
      </c>
      <c r="AQ47" s="17">
        <v>8.5621578725161796E-7</v>
      </c>
      <c r="AR47">
        <f t="shared" si="8"/>
        <v>3.9149880288201124E-3</v>
      </c>
      <c r="AT47" s="3">
        <v>0.01</v>
      </c>
      <c r="AU47" s="3">
        <v>4572.43149111616</v>
      </c>
      <c r="AV47" s="16">
        <v>0</v>
      </c>
      <c r="AW47">
        <f t="shared" si="9"/>
        <v>0</v>
      </c>
    </row>
    <row r="48" spans="1:49" x14ac:dyDescent="0.3">
      <c r="A48" s="3">
        <v>1.585E-2</v>
      </c>
      <c r="B48" s="16">
        <v>7401.6706524144902</v>
      </c>
      <c r="C48" s="16">
        <v>1.8134931906797899E-4</v>
      </c>
      <c r="D48">
        <f t="shared" si="0"/>
        <v>1.3422879327808115</v>
      </c>
      <c r="F48" s="3">
        <v>1.585E-2</v>
      </c>
      <c r="G48" s="3">
        <v>7401.6706524144902</v>
      </c>
      <c r="H48" s="16">
        <v>0</v>
      </c>
      <c r="I48">
        <f t="shared" si="1"/>
        <v>0</v>
      </c>
      <c r="K48" s="3">
        <v>1.585E-2</v>
      </c>
      <c r="L48" s="3">
        <v>7401.6706524144902</v>
      </c>
      <c r="M48" s="16">
        <v>0</v>
      </c>
      <c r="N48">
        <f t="shared" si="2"/>
        <v>0</v>
      </c>
      <c r="P48" s="3">
        <v>1.585E-2</v>
      </c>
      <c r="Q48" s="3">
        <v>7401.6706524144902</v>
      </c>
      <c r="R48" s="16">
        <v>0</v>
      </c>
      <c r="S48">
        <f t="shared" si="3"/>
        <v>0</v>
      </c>
      <c r="U48" s="3">
        <v>1.585E-2</v>
      </c>
      <c r="V48" s="3">
        <v>7401.6706524144902</v>
      </c>
      <c r="W48" s="16">
        <v>0</v>
      </c>
      <c r="X48">
        <f t="shared" si="4"/>
        <v>0</v>
      </c>
      <c r="Z48" s="3">
        <v>1.585E-2</v>
      </c>
      <c r="AA48" s="3">
        <v>7401.6706524144902</v>
      </c>
      <c r="AB48" s="16">
        <v>0</v>
      </c>
      <c r="AC48">
        <f t="shared" si="5"/>
        <v>0</v>
      </c>
      <c r="AE48" s="3">
        <v>1.585E-2</v>
      </c>
      <c r="AF48" s="3">
        <v>7401.6706524144902</v>
      </c>
      <c r="AG48" s="16">
        <v>0</v>
      </c>
      <c r="AH48">
        <f t="shared" si="6"/>
        <v>0</v>
      </c>
      <c r="AJ48" s="3">
        <v>1.585E-2</v>
      </c>
      <c r="AK48" s="3">
        <v>7401.6706524144902</v>
      </c>
      <c r="AL48" s="17">
        <v>3.9365378976675203E-7</v>
      </c>
      <c r="AM48">
        <f t="shared" si="7"/>
        <v>2.9136957029283119E-3</v>
      </c>
      <c r="AO48" s="3">
        <v>1.585E-2</v>
      </c>
      <c r="AP48" s="3">
        <v>7401.6706524144902</v>
      </c>
      <c r="AQ48" s="17">
        <v>2.71548439317012E-7</v>
      </c>
      <c r="AR48">
        <f t="shared" si="8"/>
        <v>2.0099121140016848E-3</v>
      </c>
      <c r="AT48" s="3">
        <v>1.585E-2</v>
      </c>
      <c r="AU48" s="3">
        <v>7401.6706524144902</v>
      </c>
      <c r="AV48" s="16">
        <v>0</v>
      </c>
      <c r="AW48">
        <f t="shared" si="9"/>
        <v>0</v>
      </c>
    </row>
    <row r="49" spans="1:49" x14ac:dyDescent="0.3">
      <c r="A49" s="3">
        <v>2.512E-2</v>
      </c>
      <c r="B49" s="16">
        <v>8205.0249923383708</v>
      </c>
      <c r="C49" s="16">
        <v>1.3073602795775E-4</v>
      </c>
      <c r="D49">
        <f t="shared" si="0"/>
        <v>1.0726923767923866</v>
      </c>
      <c r="F49" s="3">
        <v>2.512E-2</v>
      </c>
      <c r="G49" s="3">
        <v>8205.0249923383708</v>
      </c>
      <c r="H49" s="16">
        <v>0</v>
      </c>
      <c r="I49">
        <f t="shared" si="1"/>
        <v>0</v>
      </c>
      <c r="K49" s="3">
        <v>2.512E-2</v>
      </c>
      <c r="L49" s="3">
        <v>8205.0249923383708</v>
      </c>
      <c r="M49" s="16">
        <v>0</v>
      </c>
      <c r="N49">
        <f t="shared" si="2"/>
        <v>0</v>
      </c>
      <c r="P49" s="3">
        <v>2.512E-2</v>
      </c>
      <c r="Q49" s="3">
        <v>8205.0249923383708</v>
      </c>
      <c r="R49" s="16">
        <v>0</v>
      </c>
      <c r="S49">
        <f t="shared" si="3"/>
        <v>0</v>
      </c>
      <c r="U49" s="3">
        <v>2.512E-2</v>
      </c>
      <c r="V49" s="3">
        <v>8205.0249923383708</v>
      </c>
      <c r="W49" s="16">
        <v>0</v>
      </c>
      <c r="X49">
        <f t="shared" si="4"/>
        <v>0</v>
      </c>
      <c r="Z49" s="3">
        <v>2.512E-2</v>
      </c>
      <c r="AA49" s="3">
        <v>8205.0249923383708</v>
      </c>
      <c r="AB49" s="16">
        <v>0</v>
      </c>
      <c r="AC49">
        <f t="shared" si="5"/>
        <v>0</v>
      </c>
      <c r="AE49" s="3">
        <v>2.512E-2</v>
      </c>
      <c r="AF49" s="3">
        <v>8205.0249923383708</v>
      </c>
      <c r="AG49" s="16">
        <v>0</v>
      </c>
      <c r="AH49">
        <f t="shared" si="6"/>
        <v>0</v>
      </c>
      <c r="AJ49" s="3">
        <v>2.512E-2</v>
      </c>
      <c r="AK49" s="3">
        <v>8205.0249923383708</v>
      </c>
      <c r="AL49" s="17">
        <v>1.42288684652016E-7</v>
      </c>
      <c r="AM49">
        <f t="shared" si="7"/>
        <v>1.1674822136967444E-3</v>
      </c>
      <c r="AO49" s="3">
        <v>2.512E-2</v>
      </c>
      <c r="AP49" s="3">
        <v>8205.0249923383708</v>
      </c>
      <c r="AQ49" s="17">
        <v>1.6803902798988E-7</v>
      </c>
      <c r="AR49">
        <f t="shared" si="8"/>
        <v>1.3787644243452124E-3</v>
      </c>
      <c r="AT49" s="3">
        <v>2.512E-2</v>
      </c>
      <c r="AU49" s="3">
        <v>8205.0249923383708</v>
      </c>
      <c r="AV49" s="16">
        <v>0</v>
      </c>
      <c r="AW49">
        <f t="shared" si="9"/>
        <v>0</v>
      </c>
    </row>
    <row r="50" spans="1:49" x14ac:dyDescent="0.3">
      <c r="A50" s="3">
        <v>3.9809999999999998E-2</v>
      </c>
      <c r="B50" s="16">
        <v>10176.5763535104</v>
      </c>
      <c r="C50" s="16">
        <v>1.01351269592612E-4</v>
      </c>
      <c r="D50">
        <f t="shared" si="0"/>
        <v>1.031408933534433</v>
      </c>
      <c r="F50" s="3">
        <v>3.9809999999999998E-2</v>
      </c>
      <c r="G50" s="3">
        <v>10176.5763535104</v>
      </c>
      <c r="H50" s="16">
        <v>0</v>
      </c>
      <c r="I50">
        <f t="shared" si="1"/>
        <v>0</v>
      </c>
      <c r="K50" s="3">
        <v>3.9809999999999998E-2</v>
      </c>
      <c r="L50" s="3">
        <v>10176.5763535104</v>
      </c>
      <c r="M50" s="16">
        <v>0</v>
      </c>
      <c r="N50">
        <f t="shared" si="2"/>
        <v>0</v>
      </c>
      <c r="P50" s="3">
        <v>3.9809999999999998E-2</v>
      </c>
      <c r="Q50" s="3">
        <v>10176.5763535104</v>
      </c>
      <c r="R50" s="16">
        <v>0</v>
      </c>
      <c r="S50">
        <f t="shared" si="3"/>
        <v>0</v>
      </c>
      <c r="U50" s="3">
        <v>3.9809999999999998E-2</v>
      </c>
      <c r="V50" s="3">
        <v>10176.5763535104</v>
      </c>
      <c r="W50" s="16">
        <v>0</v>
      </c>
      <c r="X50">
        <f t="shared" si="4"/>
        <v>0</v>
      </c>
      <c r="Z50" s="3">
        <v>3.9809999999999998E-2</v>
      </c>
      <c r="AA50" s="3">
        <v>10176.5763535104</v>
      </c>
      <c r="AB50" s="16">
        <v>0</v>
      </c>
      <c r="AC50">
        <f t="shared" si="5"/>
        <v>0</v>
      </c>
      <c r="AE50" s="3">
        <v>3.9809999999999998E-2</v>
      </c>
      <c r="AF50" s="3">
        <v>10176.5763535104</v>
      </c>
      <c r="AG50" s="16">
        <v>0</v>
      </c>
      <c r="AH50">
        <f t="shared" si="6"/>
        <v>0</v>
      </c>
      <c r="AJ50" s="3">
        <v>3.9809999999999998E-2</v>
      </c>
      <c r="AK50" s="3">
        <v>10176.5763535104</v>
      </c>
      <c r="AL50" s="16">
        <v>6.1728955608334401E-4</v>
      </c>
      <c r="AM50">
        <f t="shared" si="7"/>
        <v>6.28189429970669</v>
      </c>
      <c r="AO50" s="3">
        <v>3.9809999999999998E-2</v>
      </c>
      <c r="AP50" s="3">
        <v>10176.5763535104</v>
      </c>
      <c r="AQ50" s="17">
        <v>1.12594733968245E-7</v>
      </c>
      <c r="AR50">
        <f t="shared" si="8"/>
        <v>1.1458289072310362E-3</v>
      </c>
      <c r="AT50" s="3">
        <v>3.9809999999999998E-2</v>
      </c>
      <c r="AU50" s="3">
        <v>10176.5763535104</v>
      </c>
      <c r="AV50" s="16">
        <v>0</v>
      </c>
      <c r="AW50">
        <f t="shared" si="9"/>
        <v>0</v>
      </c>
    </row>
    <row r="51" spans="1:49" x14ac:dyDescent="0.3">
      <c r="A51" s="3">
        <v>6.3100000000000003E-2</v>
      </c>
      <c r="B51" s="16">
        <v>10589.315539437101</v>
      </c>
      <c r="C51" s="17">
        <v>7.9411571901906301E-5</v>
      </c>
      <c r="D51">
        <f t="shared" si="0"/>
        <v>0.84091419235198306</v>
      </c>
      <c r="F51" s="3">
        <v>6.3100000000000003E-2</v>
      </c>
      <c r="G51" s="3">
        <v>10589.315539437101</v>
      </c>
      <c r="H51" s="16">
        <v>0</v>
      </c>
      <c r="I51">
        <f t="shared" si="1"/>
        <v>0</v>
      </c>
      <c r="K51" s="3">
        <v>6.3100000000000003E-2</v>
      </c>
      <c r="L51" s="3">
        <v>10589.315539437101</v>
      </c>
      <c r="M51" s="16">
        <v>0</v>
      </c>
      <c r="N51">
        <f t="shared" si="2"/>
        <v>0</v>
      </c>
      <c r="P51" s="3">
        <v>6.3100000000000003E-2</v>
      </c>
      <c r="Q51" s="3">
        <v>10589.315539437101</v>
      </c>
      <c r="R51" s="16">
        <v>0</v>
      </c>
      <c r="S51">
        <f t="shared" si="3"/>
        <v>0</v>
      </c>
      <c r="U51" s="3">
        <v>6.3100000000000003E-2</v>
      </c>
      <c r="V51" s="3">
        <v>10589.315539437101</v>
      </c>
      <c r="W51" s="16">
        <v>0</v>
      </c>
      <c r="X51">
        <f t="shared" si="4"/>
        <v>0</v>
      </c>
      <c r="Z51" s="3">
        <v>6.3100000000000003E-2</v>
      </c>
      <c r="AA51" s="3">
        <v>10589.315539437101</v>
      </c>
      <c r="AB51" s="16">
        <v>0</v>
      </c>
      <c r="AC51">
        <f t="shared" si="5"/>
        <v>0</v>
      </c>
      <c r="AE51" s="3">
        <v>6.3100000000000003E-2</v>
      </c>
      <c r="AF51" s="3">
        <v>10589.315539437101</v>
      </c>
      <c r="AG51" s="16">
        <v>0</v>
      </c>
      <c r="AH51">
        <f t="shared" si="6"/>
        <v>0</v>
      </c>
      <c r="AJ51" s="3">
        <v>6.3100000000000003E-2</v>
      </c>
      <c r="AK51" s="3">
        <v>10589.315539437101</v>
      </c>
      <c r="AL51" s="17">
        <v>1.9526760313745399E-5</v>
      </c>
      <c r="AM51">
        <f t="shared" si="7"/>
        <v>0.20677502642520784</v>
      </c>
      <c r="AO51" s="3">
        <v>6.3100000000000003E-2</v>
      </c>
      <c r="AP51" s="3">
        <v>10589.315539437101</v>
      </c>
      <c r="AQ51" s="17">
        <v>5.8978851055320202E-8</v>
      </c>
      <c r="AR51">
        <f t="shared" si="8"/>
        <v>6.2454566397824847E-4</v>
      </c>
      <c r="AT51" s="3">
        <v>6.3100000000000003E-2</v>
      </c>
      <c r="AU51" s="3">
        <v>10589.315539437101</v>
      </c>
      <c r="AV51" s="16">
        <v>0</v>
      </c>
      <c r="AW51">
        <f t="shared" si="9"/>
        <v>0</v>
      </c>
    </row>
    <row r="52" spans="1:49" x14ac:dyDescent="0.3">
      <c r="A52" s="3">
        <v>0.1</v>
      </c>
      <c r="B52" s="16">
        <v>12943.0135425471</v>
      </c>
      <c r="C52" s="17">
        <v>6.3445107489335493E-5</v>
      </c>
      <c r="D52">
        <f t="shared" si="0"/>
        <v>0.82117088544282568</v>
      </c>
      <c r="F52" s="3">
        <v>0.1</v>
      </c>
      <c r="G52" s="3">
        <v>12943.0135425471</v>
      </c>
      <c r="H52" s="16">
        <v>0</v>
      </c>
      <c r="I52">
        <f t="shared" si="1"/>
        <v>0</v>
      </c>
      <c r="K52" s="3">
        <v>0.1</v>
      </c>
      <c r="L52" s="3">
        <v>12943.0135425471</v>
      </c>
      <c r="M52" s="16">
        <v>0</v>
      </c>
      <c r="N52">
        <f t="shared" si="2"/>
        <v>0</v>
      </c>
      <c r="P52" s="3">
        <v>0.1</v>
      </c>
      <c r="Q52" s="3">
        <v>12943.0135425471</v>
      </c>
      <c r="R52" s="16">
        <v>0</v>
      </c>
      <c r="S52">
        <f t="shared" si="3"/>
        <v>0</v>
      </c>
      <c r="U52" s="3">
        <v>0.1</v>
      </c>
      <c r="V52" s="3">
        <v>12943.0135425471</v>
      </c>
      <c r="W52" s="16">
        <v>0</v>
      </c>
      <c r="X52">
        <f t="shared" si="4"/>
        <v>0</v>
      </c>
      <c r="Z52" s="3">
        <v>0.1</v>
      </c>
      <c r="AA52" s="3">
        <v>12943.0135425471</v>
      </c>
      <c r="AB52" s="16">
        <v>0</v>
      </c>
      <c r="AC52">
        <f t="shared" si="5"/>
        <v>0</v>
      </c>
      <c r="AE52" s="3">
        <v>0.1</v>
      </c>
      <c r="AF52" s="3">
        <v>12943.0135425471</v>
      </c>
      <c r="AG52" s="16">
        <v>0</v>
      </c>
      <c r="AH52">
        <f t="shared" si="6"/>
        <v>0</v>
      </c>
      <c r="AJ52" s="3">
        <v>0.1</v>
      </c>
      <c r="AK52" s="3">
        <v>12943.0135425471</v>
      </c>
      <c r="AL52" s="17">
        <v>1.58948930954499E-7</v>
      </c>
      <c r="AM52">
        <f t="shared" si="7"/>
        <v>2.0572781659174643E-3</v>
      </c>
      <c r="AO52" s="3">
        <v>0.1</v>
      </c>
      <c r="AP52" s="3">
        <v>12943.0135425471</v>
      </c>
      <c r="AQ52" s="17">
        <v>5.23056169134805E-8</v>
      </c>
      <c r="AR52">
        <f t="shared" si="8"/>
        <v>6.7699230806245875E-4</v>
      </c>
      <c r="AT52" s="3">
        <v>0.1</v>
      </c>
      <c r="AU52" s="3">
        <v>12943.0135425471</v>
      </c>
      <c r="AV52" s="16">
        <v>0</v>
      </c>
      <c r="AW52">
        <f t="shared" si="9"/>
        <v>0</v>
      </c>
    </row>
    <row r="53" spans="1:49" x14ac:dyDescent="0.3">
      <c r="A53" s="3">
        <v>0.1585</v>
      </c>
      <c r="B53" s="16">
        <v>13600.255993248</v>
      </c>
      <c r="C53" s="17">
        <v>5.3998821650934099E-5</v>
      </c>
      <c r="D53">
        <f t="shared" si="0"/>
        <v>0.73439779778644632</v>
      </c>
      <c r="F53" s="3">
        <v>0.1585</v>
      </c>
      <c r="G53" s="3">
        <v>13600.255993248</v>
      </c>
      <c r="H53" s="16">
        <v>0</v>
      </c>
      <c r="I53">
        <f t="shared" si="1"/>
        <v>0</v>
      </c>
      <c r="K53" s="3">
        <v>0.1585</v>
      </c>
      <c r="L53" s="3">
        <v>13600.255993248</v>
      </c>
      <c r="M53" s="16">
        <v>0</v>
      </c>
      <c r="N53">
        <f t="shared" si="2"/>
        <v>0</v>
      </c>
      <c r="P53" s="3">
        <v>0.1585</v>
      </c>
      <c r="Q53" s="3">
        <v>13600.255993248</v>
      </c>
      <c r="R53" s="16">
        <v>0</v>
      </c>
      <c r="S53">
        <f t="shared" si="3"/>
        <v>0</v>
      </c>
      <c r="U53" s="3">
        <v>0.1585</v>
      </c>
      <c r="V53" s="3">
        <v>13600.255993248</v>
      </c>
      <c r="W53" s="16">
        <v>0</v>
      </c>
      <c r="X53">
        <f t="shared" si="4"/>
        <v>0</v>
      </c>
      <c r="Z53" s="3">
        <v>0.1585</v>
      </c>
      <c r="AA53" s="3">
        <v>13600.255993248</v>
      </c>
      <c r="AB53" s="16">
        <v>0</v>
      </c>
      <c r="AC53">
        <f t="shared" si="5"/>
        <v>0</v>
      </c>
      <c r="AE53" s="3">
        <v>0.1585</v>
      </c>
      <c r="AF53" s="3">
        <v>13600.255993248</v>
      </c>
      <c r="AG53" s="16">
        <v>0</v>
      </c>
      <c r="AH53">
        <f t="shared" si="6"/>
        <v>0</v>
      </c>
      <c r="AJ53" s="3">
        <v>0.1585</v>
      </c>
      <c r="AK53" s="3">
        <v>13600.255993248</v>
      </c>
      <c r="AL53" s="16">
        <v>2.1729148410046199E-4</v>
      </c>
      <c r="AM53">
        <f t="shared" si="7"/>
        <v>2.9552198089190607</v>
      </c>
      <c r="AO53" s="3">
        <v>0.1585</v>
      </c>
      <c r="AP53" s="3">
        <v>13600.255993248</v>
      </c>
      <c r="AQ53" s="17">
        <v>1.5253999884533401E-8</v>
      </c>
      <c r="AR53">
        <f t="shared" si="8"/>
        <v>2.0745830335062968E-4</v>
      </c>
      <c r="AT53" s="3">
        <v>0.1585</v>
      </c>
      <c r="AU53" s="3">
        <v>13600.255993248</v>
      </c>
      <c r="AV53" s="16">
        <v>0</v>
      </c>
      <c r="AW53">
        <f t="shared" si="9"/>
        <v>0</v>
      </c>
    </row>
    <row r="54" spans="1:49" x14ac:dyDescent="0.3">
      <c r="A54" s="3">
        <v>0.25119999999999998</v>
      </c>
      <c r="B54" s="16">
        <v>15890.1763820371</v>
      </c>
      <c r="C54" s="17">
        <v>4.4493166410972603E-5</v>
      </c>
      <c r="D54">
        <f t="shared" si="0"/>
        <v>0.70700426206568323</v>
      </c>
      <c r="F54" s="3">
        <v>0.25119999999999998</v>
      </c>
      <c r="G54" s="3">
        <v>15890.1763820371</v>
      </c>
      <c r="H54" s="16">
        <v>0</v>
      </c>
      <c r="I54">
        <f t="shared" si="1"/>
        <v>0</v>
      </c>
      <c r="K54" s="3">
        <v>0.25119999999999998</v>
      </c>
      <c r="L54" s="3">
        <v>15890.1763820371</v>
      </c>
      <c r="M54" s="16">
        <v>0</v>
      </c>
      <c r="N54">
        <f t="shared" si="2"/>
        <v>0</v>
      </c>
      <c r="P54" s="3">
        <v>0.25119999999999998</v>
      </c>
      <c r="Q54" s="3">
        <v>15890.1763820371</v>
      </c>
      <c r="R54" s="16">
        <v>0</v>
      </c>
      <c r="S54">
        <f t="shared" si="3"/>
        <v>0</v>
      </c>
      <c r="U54" s="3">
        <v>0.25119999999999998</v>
      </c>
      <c r="V54" s="3">
        <v>15890.1763820371</v>
      </c>
      <c r="W54" s="16">
        <v>0</v>
      </c>
      <c r="X54">
        <f t="shared" si="4"/>
        <v>0</v>
      </c>
      <c r="Z54" s="3">
        <v>0.25119999999999998</v>
      </c>
      <c r="AA54" s="3">
        <v>15890.1763820371</v>
      </c>
      <c r="AB54" s="16">
        <v>0</v>
      </c>
      <c r="AC54">
        <f t="shared" si="5"/>
        <v>0</v>
      </c>
      <c r="AE54" s="3">
        <v>0.25119999999999998</v>
      </c>
      <c r="AF54" s="3">
        <v>15890.1763820371</v>
      </c>
      <c r="AG54" s="16">
        <v>0</v>
      </c>
      <c r="AH54">
        <f t="shared" si="6"/>
        <v>0</v>
      </c>
      <c r="AJ54" s="3">
        <v>0.25119999999999998</v>
      </c>
      <c r="AK54" s="3">
        <v>15890.1763820371</v>
      </c>
      <c r="AL54" s="17">
        <v>8.0463889208780195E-5</v>
      </c>
      <c r="AM54">
        <f t="shared" si="7"/>
        <v>1.278585391912209</v>
      </c>
      <c r="AO54" s="3">
        <v>0.25119999999999998</v>
      </c>
      <c r="AP54" s="3">
        <v>15890.1763820371</v>
      </c>
      <c r="AQ54" s="17">
        <v>9.8902445796121103E-9</v>
      </c>
      <c r="AR54">
        <f t="shared" si="8"/>
        <v>1.5715773083152279E-4</v>
      </c>
      <c r="AT54" s="3">
        <v>0.25119999999999998</v>
      </c>
      <c r="AU54" s="3">
        <v>15890.1763820371</v>
      </c>
      <c r="AV54" s="16">
        <v>0</v>
      </c>
      <c r="AW54">
        <f t="shared" si="9"/>
        <v>0</v>
      </c>
    </row>
    <row r="55" spans="1:49" x14ac:dyDescent="0.3">
      <c r="A55" s="3">
        <v>0.39810000000000001</v>
      </c>
      <c r="B55" s="16">
        <v>23001.777646343799</v>
      </c>
      <c r="C55" s="17">
        <v>3.5586157573588801E-5</v>
      </c>
      <c r="D55">
        <f t="shared" si="0"/>
        <v>0.81854488379544299</v>
      </c>
      <c r="F55" s="3">
        <v>0.39810000000000001</v>
      </c>
      <c r="G55" s="3">
        <v>23001.777646343799</v>
      </c>
      <c r="H55" s="16">
        <v>0</v>
      </c>
      <c r="I55">
        <f t="shared" si="1"/>
        <v>0</v>
      </c>
      <c r="K55" s="3">
        <v>0.39810000000000001</v>
      </c>
      <c r="L55" s="3">
        <v>23001.777646343799</v>
      </c>
      <c r="M55" s="16">
        <v>0</v>
      </c>
      <c r="N55">
        <f t="shared" si="2"/>
        <v>0</v>
      </c>
      <c r="P55" s="3">
        <v>0.39810000000000001</v>
      </c>
      <c r="Q55" s="3">
        <v>23001.777646343799</v>
      </c>
      <c r="R55" s="16">
        <v>0</v>
      </c>
      <c r="S55">
        <f t="shared" si="3"/>
        <v>0</v>
      </c>
      <c r="U55" s="3">
        <v>0.39810000000000001</v>
      </c>
      <c r="V55" s="3">
        <v>23001.777646343799</v>
      </c>
      <c r="W55" s="16">
        <v>0</v>
      </c>
      <c r="X55">
        <f t="shared" si="4"/>
        <v>0</v>
      </c>
      <c r="Z55" s="3">
        <v>0.39810000000000001</v>
      </c>
      <c r="AA55" s="3">
        <v>23001.777646343799</v>
      </c>
      <c r="AB55" s="16">
        <v>0</v>
      </c>
      <c r="AC55">
        <f t="shared" si="5"/>
        <v>0</v>
      </c>
      <c r="AE55" s="3">
        <v>0.39810000000000001</v>
      </c>
      <c r="AF55" s="3">
        <v>23001.777646343799</v>
      </c>
      <c r="AG55" s="16">
        <v>0</v>
      </c>
      <c r="AH55">
        <f t="shared" si="6"/>
        <v>0</v>
      </c>
      <c r="AJ55" s="3">
        <v>0.39810000000000001</v>
      </c>
      <c r="AK55" s="3">
        <v>23001.777646343799</v>
      </c>
      <c r="AL55" s="17">
        <v>4.58118830384419E-5</v>
      </c>
      <c r="AM55">
        <f t="shared" si="7"/>
        <v>1.0537547472105495</v>
      </c>
      <c r="AO55" s="3">
        <v>0.39810000000000001</v>
      </c>
      <c r="AP55" s="3">
        <v>23001.777646343799</v>
      </c>
      <c r="AQ55" s="17">
        <v>7.8741165329607194E-9</v>
      </c>
      <c r="AR55">
        <f t="shared" si="8"/>
        <v>1.8111867765256202E-4</v>
      </c>
      <c r="AT55" s="3">
        <v>0.39810000000000001</v>
      </c>
      <c r="AU55" s="3">
        <v>23001.777646343799</v>
      </c>
      <c r="AV55" s="16">
        <v>0</v>
      </c>
      <c r="AW55">
        <f t="shared" si="9"/>
        <v>0</v>
      </c>
    </row>
    <row r="56" spans="1:49" x14ac:dyDescent="0.3">
      <c r="A56" s="3">
        <v>0.63100000000000001</v>
      </c>
      <c r="B56" s="16">
        <v>26979.418075170099</v>
      </c>
      <c r="C56" s="17">
        <v>2.3015502111107601E-5</v>
      </c>
      <c r="D56">
        <f t="shared" si="0"/>
        <v>0.62094485366553198</v>
      </c>
      <c r="F56" s="3">
        <v>0.63100000000000001</v>
      </c>
      <c r="G56" s="3">
        <v>26979.418075170099</v>
      </c>
      <c r="H56" s="16">
        <v>0</v>
      </c>
      <c r="I56">
        <f t="shared" si="1"/>
        <v>0</v>
      </c>
      <c r="K56" s="3">
        <v>0.63100000000000001</v>
      </c>
      <c r="L56" s="3">
        <v>26979.418075170099</v>
      </c>
      <c r="M56" s="16">
        <v>0</v>
      </c>
      <c r="N56">
        <f t="shared" si="2"/>
        <v>0</v>
      </c>
      <c r="P56" s="3">
        <v>0.63100000000000001</v>
      </c>
      <c r="Q56" s="3">
        <v>26979.418075170099</v>
      </c>
      <c r="R56" s="16">
        <v>0</v>
      </c>
      <c r="S56">
        <f t="shared" si="3"/>
        <v>0</v>
      </c>
      <c r="U56" s="3">
        <v>0.63100000000000001</v>
      </c>
      <c r="V56" s="3">
        <v>26979.418075170099</v>
      </c>
      <c r="W56" s="16">
        <v>0</v>
      </c>
      <c r="X56">
        <f t="shared" si="4"/>
        <v>0</v>
      </c>
      <c r="Z56" s="3">
        <v>0.63100000000000001</v>
      </c>
      <c r="AA56" s="3">
        <v>26979.418075170099</v>
      </c>
      <c r="AB56" s="16">
        <v>0</v>
      </c>
      <c r="AC56">
        <f t="shared" si="5"/>
        <v>0</v>
      </c>
      <c r="AE56" s="3">
        <v>0.63100000000000001</v>
      </c>
      <c r="AF56" s="3">
        <v>26979.418075170099</v>
      </c>
      <c r="AG56" s="16">
        <v>0</v>
      </c>
      <c r="AH56">
        <f t="shared" si="6"/>
        <v>0</v>
      </c>
      <c r="AJ56" s="3">
        <v>0.63100000000000001</v>
      </c>
      <c r="AK56" s="3">
        <v>26979.418075170099</v>
      </c>
      <c r="AL56" s="17">
        <v>2.8509091236998701E-6</v>
      </c>
      <c r="AM56">
        <f t="shared" si="7"/>
        <v>7.6915869142615625E-2</v>
      </c>
      <c r="AO56" s="3">
        <v>0.63100000000000001</v>
      </c>
      <c r="AP56" s="3">
        <v>26979.418075170099</v>
      </c>
      <c r="AQ56" s="17">
        <v>6.5429391018138696E-9</v>
      </c>
      <c r="AR56">
        <f t="shared" si="8"/>
        <v>1.7652468946821432E-4</v>
      </c>
      <c r="AT56" s="3">
        <v>0.63100000000000001</v>
      </c>
      <c r="AU56" s="3">
        <v>26979.418075170099</v>
      </c>
      <c r="AV56" s="16">
        <v>0</v>
      </c>
      <c r="AW56">
        <f t="shared" si="9"/>
        <v>0</v>
      </c>
    </row>
    <row r="57" spans="1:49" x14ac:dyDescent="0.3">
      <c r="A57" s="3">
        <v>1</v>
      </c>
      <c r="B57" s="16">
        <v>44319.437170345002</v>
      </c>
      <c r="C57" s="17">
        <v>1.60379129036544E-5</v>
      </c>
      <c r="D57">
        <f t="shared" si="0"/>
        <v>0.71079127327697655</v>
      </c>
      <c r="F57" s="3">
        <v>1</v>
      </c>
      <c r="G57" s="3">
        <v>44319.437170345002</v>
      </c>
      <c r="H57" s="16">
        <v>0</v>
      </c>
      <c r="I57">
        <f t="shared" si="1"/>
        <v>0</v>
      </c>
      <c r="K57" s="3">
        <v>1</v>
      </c>
      <c r="L57" s="3">
        <v>44319.437170345002</v>
      </c>
      <c r="M57" s="16">
        <v>0</v>
      </c>
      <c r="N57">
        <f t="shared" si="2"/>
        <v>0</v>
      </c>
      <c r="P57" s="3">
        <v>1</v>
      </c>
      <c r="Q57" s="3">
        <v>44319.437170345002</v>
      </c>
      <c r="R57" s="17">
        <v>1.26704942589602E-7</v>
      </c>
      <c r="S57">
        <f t="shared" si="3"/>
        <v>5.6154917422720366E-3</v>
      </c>
      <c r="U57" s="3">
        <v>1</v>
      </c>
      <c r="V57" s="3">
        <v>44319.437170345002</v>
      </c>
      <c r="W57" s="17">
        <v>1.37916679593555E-9</v>
      </c>
      <c r="X57">
        <f t="shared" si="4"/>
        <v>6.1123896159891633E-5</v>
      </c>
      <c r="Z57" s="3">
        <v>1</v>
      </c>
      <c r="AA57" s="3">
        <v>44319.437170345002</v>
      </c>
      <c r="AB57" s="16">
        <v>0</v>
      </c>
      <c r="AC57">
        <f t="shared" si="5"/>
        <v>0</v>
      </c>
      <c r="AE57" s="3">
        <v>1</v>
      </c>
      <c r="AF57" s="3">
        <v>44319.437170345002</v>
      </c>
      <c r="AG57" s="16">
        <v>0</v>
      </c>
      <c r="AH57">
        <f t="shared" si="6"/>
        <v>0</v>
      </c>
      <c r="AJ57" s="3">
        <v>1</v>
      </c>
      <c r="AK57" s="3">
        <v>44319.437170345002</v>
      </c>
      <c r="AL57" s="17">
        <v>1.4719177292952499E-6</v>
      </c>
      <c r="AM57">
        <f t="shared" si="7"/>
        <v>6.5234565323417718E-2</v>
      </c>
      <c r="AO57" s="3">
        <v>1</v>
      </c>
      <c r="AP57" s="3">
        <v>44319.437170345002</v>
      </c>
      <c r="AQ57" s="17">
        <v>5.7628335455304701E-9</v>
      </c>
      <c r="AR57">
        <f t="shared" si="8"/>
        <v>2.5540553924429418E-4</v>
      </c>
      <c r="AT57" s="3">
        <v>1</v>
      </c>
      <c r="AU57" s="3">
        <v>44319.437170345002</v>
      </c>
      <c r="AV57" s="16">
        <v>0</v>
      </c>
      <c r="AW57">
        <f t="shared" si="9"/>
        <v>0</v>
      </c>
    </row>
    <row r="58" spans="1:49" x14ac:dyDescent="0.3">
      <c r="A58" s="3">
        <v>1.5</v>
      </c>
      <c r="B58" s="16">
        <v>46917.910887734703</v>
      </c>
      <c r="C58" s="17">
        <v>1.3523333023960201E-5</v>
      </c>
      <c r="D58">
        <f t="shared" si="0"/>
        <v>0.63448653372332453</v>
      </c>
      <c r="F58" s="3">
        <v>1.5</v>
      </c>
      <c r="G58" s="3">
        <v>46917.910887734703</v>
      </c>
      <c r="H58" s="16">
        <v>0</v>
      </c>
      <c r="I58">
        <f t="shared" si="1"/>
        <v>0</v>
      </c>
      <c r="K58" s="3">
        <v>1.5</v>
      </c>
      <c r="L58" s="3">
        <v>46917.910887734703</v>
      </c>
      <c r="M58" s="16">
        <v>0</v>
      </c>
      <c r="N58">
        <f t="shared" si="2"/>
        <v>0</v>
      </c>
      <c r="P58" s="3">
        <v>1.5</v>
      </c>
      <c r="Q58" s="3">
        <v>46917.910887734703</v>
      </c>
      <c r="R58" s="17">
        <v>2.00812955796884E-7</v>
      </c>
      <c r="S58">
        <f t="shared" si="3"/>
        <v>9.421724365180812E-3</v>
      </c>
      <c r="U58" s="3">
        <v>1.5</v>
      </c>
      <c r="V58" s="3">
        <v>46917.910887734703</v>
      </c>
      <c r="W58" s="17">
        <v>3.5042529030973901E-8</v>
      </c>
      <c r="X58">
        <f t="shared" si="4"/>
        <v>1.6441222543560898E-3</v>
      </c>
      <c r="Z58" s="3">
        <v>1.5</v>
      </c>
      <c r="AA58" s="3">
        <v>46917.910887734703</v>
      </c>
      <c r="AB58" s="16">
        <v>0</v>
      </c>
      <c r="AC58">
        <f t="shared" si="5"/>
        <v>0</v>
      </c>
      <c r="AE58" s="3">
        <v>1.5</v>
      </c>
      <c r="AF58" s="3">
        <v>46917.910887734703</v>
      </c>
      <c r="AG58" s="16">
        <v>0</v>
      </c>
      <c r="AH58">
        <f t="shared" si="6"/>
        <v>0</v>
      </c>
      <c r="AJ58" s="3">
        <v>1.5</v>
      </c>
      <c r="AK58" s="3">
        <v>46917.910887734703</v>
      </c>
      <c r="AL58" s="17">
        <v>1.0716617065829E-6</v>
      </c>
      <c r="AM58">
        <f t="shared" si="7"/>
        <v>5.0280128451254194E-2</v>
      </c>
      <c r="AO58" s="3">
        <v>1.5</v>
      </c>
      <c r="AP58" s="3">
        <v>46917.910887734703</v>
      </c>
      <c r="AQ58" s="17">
        <v>5.4434473943874504E-9</v>
      </c>
      <c r="AR58">
        <f t="shared" si="8"/>
        <v>2.5539517977194207E-4</v>
      </c>
      <c r="AT58" s="3">
        <v>1.5</v>
      </c>
      <c r="AU58" s="3">
        <v>46917.910887734703</v>
      </c>
      <c r="AV58" s="17">
        <v>4.7875514749826798E-9</v>
      </c>
      <c r="AW58">
        <f t="shared" si="9"/>
        <v>2.246219134736802E-4</v>
      </c>
    </row>
    <row r="59" spans="1:49" x14ac:dyDescent="0.3">
      <c r="A59" s="3">
        <v>2</v>
      </c>
      <c r="B59" s="16">
        <v>41484.296046385898</v>
      </c>
      <c r="C59" s="17">
        <v>1.11919438817031E-5</v>
      </c>
      <c r="D59">
        <f t="shared" si="0"/>
        <v>0.46428991332310876</v>
      </c>
      <c r="F59" s="3">
        <v>2</v>
      </c>
      <c r="G59" s="3">
        <v>41484.296046385898</v>
      </c>
      <c r="H59" s="16">
        <v>0</v>
      </c>
      <c r="I59">
        <f t="shared" si="1"/>
        <v>0</v>
      </c>
      <c r="K59" s="3">
        <v>2</v>
      </c>
      <c r="L59" s="3">
        <v>41484.296046385898</v>
      </c>
      <c r="M59" s="16">
        <v>0</v>
      </c>
      <c r="N59">
        <f t="shared" si="2"/>
        <v>0</v>
      </c>
      <c r="P59" s="3">
        <v>2</v>
      </c>
      <c r="Q59" s="3">
        <v>41484.296046385898</v>
      </c>
      <c r="R59" s="17">
        <v>1.7396116357185499E-6</v>
      </c>
      <c r="S59">
        <f t="shared" si="3"/>
        <v>7.2166564101885947E-2</v>
      </c>
      <c r="U59" s="3">
        <v>2</v>
      </c>
      <c r="V59" s="3">
        <v>41484.296046385898</v>
      </c>
      <c r="W59" s="17">
        <v>1.9341312351260601E-7</v>
      </c>
      <c r="X59">
        <f t="shared" si="4"/>
        <v>8.023607275053149E-3</v>
      </c>
      <c r="Z59" s="3">
        <v>2</v>
      </c>
      <c r="AA59" s="3">
        <v>41484.296046385898</v>
      </c>
      <c r="AB59" s="16">
        <v>0</v>
      </c>
      <c r="AC59">
        <f t="shared" si="5"/>
        <v>0</v>
      </c>
      <c r="AE59" s="3">
        <v>2</v>
      </c>
      <c r="AF59" s="3">
        <v>41484.296046385898</v>
      </c>
      <c r="AG59" s="16">
        <v>0</v>
      </c>
      <c r="AH59">
        <f t="shared" si="6"/>
        <v>0</v>
      </c>
      <c r="AJ59" s="3">
        <v>2</v>
      </c>
      <c r="AK59" s="3">
        <v>41484.296046385898</v>
      </c>
      <c r="AL59" s="17">
        <v>9.7221113950031806E-7</v>
      </c>
      <c r="AM59">
        <f t="shared" si="7"/>
        <v>4.0331494730625375E-2</v>
      </c>
      <c r="AO59" s="3">
        <v>2</v>
      </c>
      <c r="AP59" s="3">
        <v>41484.296046385898</v>
      </c>
      <c r="AQ59" s="17">
        <v>3.2629310162176402E-9</v>
      </c>
      <c r="AR59">
        <f t="shared" si="8"/>
        <v>1.3536039625570737E-4</v>
      </c>
      <c r="AT59" s="3">
        <v>2</v>
      </c>
      <c r="AU59" s="3">
        <v>41484.296046385898</v>
      </c>
      <c r="AV59" s="17">
        <v>1.33064518708333E-6</v>
      </c>
      <c r="AW59">
        <f t="shared" si="9"/>
        <v>5.5200878873663407E-2</v>
      </c>
    </row>
    <row r="60" spans="1:49" x14ac:dyDescent="0.3">
      <c r="A60" s="3">
        <v>2.5</v>
      </c>
      <c r="B60" s="16">
        <v>46697.152967587201</v>
      </c>
      <c r="C60" s="17">
        <v>7.7009686753528693E-6</v>
      </c>
      <c r="D60">
        <f t="shared" si="0"/>
        <v>0.3596133122315503</v>
      </c>
      <c r="F60" s="3">
        <v>2.5</v>
      </c>
      <c r="G60" s="3">
        <v>46697.152967587201</v>
      </c>
      <c r="H60" s="16">
        <v>0</v>
      </c>
      <c r="I60">
        <f t="shared" si="1"/>
        <v>0</v>
      </c>
      <c r="K60" s="3">
        <v>2.5</v>
      </c>
      <c r="L60" s="3">
        <v>46697.152967587201</v>
      </c>
      <c r="M60" s="16">
        <v>0</v>
      </c>
      <c r="N60">
        <f t="shared" si="2"/>
        <v>0</v>
      </c>
      <c r="P60" s="3">
        <v>2.5</v>
      </c>
      <c r="Q60" s="3">
        <v>46697.152967587201</v>
      </c>
      <c r="R60" s="17">
        <v>4.9786485979925499E-6</v>
      </c>
      <c r="S60">
        <f t="shared" si="3"/>
        <v>0.23248871515232167</v>
      </c>
      <c r="U60" s="3">
        <v>2.5</v>
      </c>
      <c r="V60" s="3">
        <v>46697.152967587201</v>
      </c>
      <c r="W60" s="17">
        <v>1.17392583167348E-6</v>
      </c>
      <c r="X60">
        <f t="shared" si="4"/>
        <v>5.4818994134258517E-2</v>
      </c>
      <c r="Z60" s="3">
        <v>2.5</v>
      </c>
      <c r="AA60" s="3">
        <v>46697.152967587201</v>
      </c>
      <c r="AB60" s="17">
        <v>3.0335348091523098E-12</v>
      </c>
      <c r="AC60">
        <f t="shared" si="5"/>
        <v>1.4165743901548587E-7</v>
      </c>
      <c r="AE60" s="3">
        <v>2.5</v>
      </c>
      <c r="AF60" s="3">
        <v>46697.152967587201</v>
      </c>
      <c r="AG60" s="16">
        <v>0</v>
      </c>
      <c r="AH60">
        <f t="shared" si="6"/>
        <v>0</v>
      </c>
      <c r="AJ60" s="3">
        <v>2.5</v>
      </c>
      <c r="AK60" s="3">
        <v>46697.152967587201</v>
      </c>
      <c r="AL60" s="17">
        <v>9.1833228038231801E-7</v>
      </c>
      <c r="AM60">
        <f t="shared" si="7"/>
        <v>4.2883502972086283E-2</v>
      </c>
      <c r="AO60" s="3">
        <v>2.5</v>
      </c>
      <c r="AP60" s="3">
        <v>46697.152967587201</v>
      </c>
      <c r="AQ60" s="17">
        <v>2.3520599397262499E-9</v>
      </c>
      <c r="AR60">
        <f t="shared" si="8"/>
        <v>1.0983450279433063E-4</v>
      </c>
      <c r="AT60" s="3">
        <v>2.5</v>
      </c>
      <c r="AU60" s="3">
        <v>46697.152967587201</v>
      </c>
      <c r="AV60" s="17">
        <v>1.44062055212078E-5</v>
      </c>
      <c r="AW60">
        <f t="shared" si="9"/>
        <v>0.67272878290633997</v>
      </c>
    </row>
    <row r="61" spans="1:49" x14ac:dyDescent="0.3">
      <c r="A61" s="3">
        <v>3</v>
      </c>
      <c r="B61" s="16">
        <v>34809.416272907998</v>
      </c>
      <c r="C61" s="17">
        <v>5.1418413093675397E-6</v>
      </c>
      <c r="D61">
        <f t="shared" si="0"/>
        <v>0.17898449454700902</v>
      </c>
      <c r="F61" s="3">
        <v>3</v>
      </c>
      <c r="G61" s="3">
        <v>34809.416272907998</v>
      </c>
      <c r="H61" s="17">
        <v>2.1107348395569699E-14</v>
      </c>
      <c r="I61">
        <f t="shared" si="1"/>
        <v>7.3473447671868236E-10</v>
      </c>
      <c r="K61" s="3">
        <v>3</v>
      </c>
      <c r="L61" s="3">
        <v>34809.416272907998</v>
      </c>
      <c r="M61" s="16">
        <v>0</v>
      </c>
      <c r="N61">
        <f t="shared" si="2"/>
        <v>0</v>
      </c>
      <c r="P61" s="3">
        <v>3</v>
      </c>
      <c r="Q61" s="3">
        <v>34809.416272907998</v>
      </c>
      <c r="R61" s="17">
        <v>1.37281843057214E-5</v>
      </c>
      <c r="S61">
        <f t="shared" si="3"/>
        <v>0.47787008216905869</v>
      </c>
      <c r="U61" s="3">
        <v>3</v>
      </c>
      <c r="V61" s="3">
        <v>34809.416272907998</v>
      </c>
      <c r="W61" s="17">
        <v>3.3086314712708598E-6</v>
      </c>
      <c r="X61">
        <f t="shared" si="4"/>
        <v>0.1151715301771114</v>
      </c>
      <c r="Z61" s="3">
        <v>3</v>
      </c>
      <c r="AA61" s="3">
        <v>34809.416272907998</v>
      </c>
      <c r="AB61" s="17">
        <v>4.8260292055667999E-11</v>
      </c>
      <c r="AC61">
        <f t="shared" si="5"/>
        <v>1.6799125956178623E-6</v>
      </c>
      <c r="AE61" s="3">
        <v>3</v>
      </c>
      <c r="AF61" s="3">
        <v>34809.416272907998</v>
      </c>
      <c r="AG61" s="16">
        <v>0</v>
      </c>
      <c r="AH61">
        <f t="shared" si="6"/>
        <v>0</v>
      </c>
      <c r="AJ61" s="3">
        <v>3</v>
      </c>
      <c r="AK61" s="3">
        <v>34809.416272907998</v>
      </c>
      <c r="AL61" s="17">
        <v>8.6274543177938399E-7</v>
      </c>
      <c r="AM61">
        <f t="shared" si="7"/>
        <v>3.0031664872358328E-2</v>
      </c>
      <c r="AO61" s="3">
        <v>3</v>
      </c>
      <c r="AP61" s="3">
        <v>34809.416272907998</v>
      </c>
      <c r="AQ61" s="17">
        <v>1.6557014834720201E-9</v>
      </c>
      <c r="AR61">
        <f t="shared" si="8"/>
        <v>5.7634002161848849E-5</v>
      </c>
      <c r="AT61" s="3">
        <v>3</v>
      </c>
      <c r="AU61" s="3">
        <v>34809.416272907998</v>
      </c>
      <c r="AV61" s="17">
        <v>2.2416973030184001E-5</v>
      </c>
      <c r="AW61">
        <f t="shared" si="9"/>
        <v>0.78032174578622671</v>
      </c>
    </row>
    <row r="62" spans="1:49" x14ac:dyDescent="0.3">
      <c r="A62" s="3">
        <v>3.5</v>
      </c>
      <c r="B62" s="16">
        <v>36768.2237304636</v>
      </c>
      <c r="C62" s="17">
        <v>3.8842580741206501E-6</v>
      </c>
      <c r="D62">
        <f t="shared" si="0"/>
        <v>0.14281726989612772</v>
      </c>
      <c r="F62" s="3">
        <v>3.5</v>
      </c>
      <c r="G62" s="3">
        <v>36768.2237304636</v>
      </c>
      <c r="H62" s="17">
        <v>4.8598706361940797E-13</v>
      </c>
      <c r="I62">
        <f t="shared" si="1"/>
        <v>1.7868881085269438E-8</v>
      </c>
      <c r="K62" s="3">
        <v>3.5</v>
      </c>
      <c r="L62" s="3">
        <v>36768.2237304636</v>
      </c>
      <c r="M62" s="17">
        <v>3.37529985597469E-10</v>
      </c>
      <c r="N62">
        <f t="shared" si="2"/>
        <v>1.2410378026187896E-5</v>
      </c>
      <c r="P62" s="3">
        <v>3.5</v>
      </c>
      <c r="Q62" s="3">
        <v>36768.2237304636</v>
      </c>
      <c r="R62" s="17">
        <v>2.46092944570132E-5</v>
      </c>
      <c r="S62">
        <f t="shared" si="3"/>
        <v>0.90484004444431909</v>
      </c>
      <c r="U62" s="3">
        <v>3.5</v>
      </c>
      <c r="V62" s="3">
        <v>36768.2237304636</v>
      </c>
      <c r="W62" s="17">
        <v>5.0247540751835903E-6</v>
      </c>
      <c r="X62">
        <f t="shared" si="4"/>
        <v>0.18475128202690896</v>
      </c>
      <c r="Z62" s="3">
        <v>3.5</v>
      </c>
      <c r="AA62" s="3">
        <v>36768.2237304636</v>
      </c>
      <c r="AB62" s="17">
        <v>4.6310946331083299E-10</v>
      </c>
      <c r="AC62">
        <f t="shared" si="5"/>
        <v>1.7027712358707631E-5</v>
      </c>
      <c r="AE62" s="3">
        <v>3.5</v>
      </c>
      <c r="AF62" s="3">
        <v>36768.2237304636</v>
      </c>
      <c r="AG62" s="16">
        <v>0</v>
      </c>
      <c r="AH62">
        <f t="shared" si="6"/>
        <v>0</v>
      </c>
      <c r="AJ62" s="3">
        <v>3.5</v>
      </c>
      <c r="AK62" s="3">
        <v>36768.2237304636</v>
      </c>
      <c r="AL62" s="17">
        <v>8.2073183103448503E-7</v>
      </c>
      <c r="AM62">
        <f t="shared" si="7"/>
        <v>3.0176851586188994E-2</v>
      </c>
      <c r="AO62" s="3">
        <v>3.5</v>
      </c>
      <c r="AP62" s="3">
        <v>36768.2237304636</v>
      </c>
      <c r="AQ62" s="17">
        <v>1.07188029410667E-9</v>
      </c>
      <c r="AR62">
        <f t="shared" si="8"/>
        <v>3.9411134465989165E-5</v>
      </c>
      <c r="AT62" s="3">
        <v>3.5</v>
      </c>
      <c r="AU62" s="3">
        <v>36768.2237304636</v>
      </c>
      <c r="AV62" s="17">
        <v>3.8422999980114297E-5</v>
      </c>
      <c r="AW62">
        <f t="shared" si="9"/>
        <v>1.4127454596644409</v>
      </c>
    </row>
    <row r="63" spans="1:49" x14ac:dyDescent="0.3">
      <c r="A63" s="3">
        <v>4</v>
      </c>
      <c r="B63" s="16">
        <v>31201.504851264799</v>
      </c>
      <c r="C63" s="17">
        <v>2.6860550898105602E-6</v>
      </c>
      <c r="D63">
        <f t="shared" si="0"/>
        <v>8.3808960915488701E-2</v>
      </c>
      <c r="F63" s="3">
        <v>4</v>
      </c>
      <c r="G63" s="3">
        <v>31201.504851264799</v>
      </c>
      <c r="H63" s="17">
        <v>4.3336535253882502E-10</v>
      </c>
      <c r="I63">
        <f t="shared" si="1"/>
        <v>1.3521651149610229E-5</v>
      </c>
      <c r="K63" s="3">
        <v>4</v>
      </c>
      <c r="L63" s="3">
        <v>31201.504851264799</v>
      </c>
      <c r="M63" s="17">
        <v>2.1433205088848501E-9</v>
      </c>
      <c r="N63">
        <f t="shared" si="2"/>
        <v>6.6874825255785987E-5</v>
      </c>
      <c r="P63" s="3">
        <v>4</v>
      </c>
      <c r="Q63" s="3">
        <v>31201.504851264799</v>
      </c>
      <c r="R63" s="17">
        <v>3.4861796942933402E-5</v>
      </c>
      <c r="S63">
        <f t="shared" si="3"/>
        <v>1.087740526438745</v>
      </c>
      <c r="U63" s="3">
        <v>4</v>
      </c>
      <c r="V63" s="3">
        <v>31201.504851264799</v>
      </c>
      <c r="W63" s="17">
        <v>6.5158303194567404E-6</v>
      </c>
      <c r="X63">
        <f t="shared" si="4"/>
        <v>0.20330371132254776</v>
      </c>
      <c r="Z63" s="3">
        <v>4</v>
      </c>
      <c r="AA63" s="3">
        <v>31201.504851264799</v>
      </c>
      <c r="AB63" s="17">
        <v>2.4558743895755902E-9</v>
      </c>
      <c r="AC63">
        <f t="shared" si="5"/>
        <v>7.6626976680439752E-5</v>
      </c>
      <c r="AE63" s="3">
        <v>4</v>
      </c>
      <c r="AF63" s="3">
        <v>31201.504851264799</v>
      </c>
      <c r="AG63" s="17">
        <v>6.7755716719074998E-11</v>
      </c>
      <c r="AH63">
        <f t="shared" si="6"/>
        <v>2.114080323911142E-6</v>
      </c>
      <c r="AJ63" s="3">
        <v>4</v>
      </c>
      <c r="AK63" s="3">
        <v>31201.504851264799</v>
      </c>
      <c r="AL63" s="17">
        <v>8.0102011307636399E-7</v>
      </c>
      <c r="AM63">
        <f t="shared" si="7"/>
        <v>2.4993032944112849E-2</v>
      </c>
      <c r="AO63" s="3">
        <v>4</v>
      </c>
      <c r="AP63" s="3">
        <v>31201.504851264799</v>
      </c>
      <c r="AQ63" s="17">
        <v>7.4968939571524903E-10</v>
      </c>
      <c r="AR63">
        <f t="shared" si="8"/>
        <v>2.3391437317351118E-5</v>
      </c>
      <c r="AT63" s="3">
        <v>4</v>
      </c>
      <c r="AU63" s="3">
        <v>31201.504851264799</v>
      </c>
      <c r="AV63" s="17">
        <v>4.4430700180664797E-5</v>
      </c>
      <c r="AW63">
        <f t="shared" si="9"/>
        <v>1.3863047072321044</v>
      </c>
    </row>
    <row r="64" spans="1:49" x14ac:dyDescent="0.3">
      <c r="A64" s="3">
        <v>4.5</v>
      </c>
      <c r="B64" s="16">
        <v>28619.381429506098</v>
      </c>
      <c r="C64" s="17">
        <v>1.9899477084819101E-6</v>
      </c>
      <c r="D64">
        <f t="shared" si="0"/>
        <v>5.6951072493815397E-2</v>
      </c>
      <c r="F64" s="3">
        <v>4.5</v>
      </c>
      <c r="G64" s="3">
        <v>28619.381429506098</v>
      </c>
      <c r="H64" s="17">
        <v>6.60637987290826E-8</v>
      </c>
      <c r="I64">
        <f t="shared" si="1"/>
        <v>1.8907050545097352E-3</v>
      </c>
      <c r="K64" s="3">
        <v>4.5</v>
      </c>
      <c r="L64" s="3">
        <v>28619.381429506098</v>
      </c>
      <c r="M64" s="17">
        <v>4.5244510581743001E-9</v>
      </c>
      <c r="N64">
        <f t="shared" si="2"/>
        <v>1.2948699059302278E-4</v>
      </c>
      <c r="P64" s="3">
        <v>4.5</v>
      </c>
      <c r="Q64" s="3">
        <v>28619.381429506098</v>
      </c>
      <c r="R64" s="17">
        <v>4.5035881571201501E-5</v>
      </c>
      <c r="S64">
        <f t="shared" si="3"/>
        <v>1.2888990727002803</v>
      </c>
      <c r="U64" s="3">
        <v>4.5</v>
      </c>
      <c r="V64" s="3">
        <v>28619.381429506098</v>
      </c>
      <c r="W64" s="17">
        <v>9.5011476643322094E-6</v>
      </c>
      <c r="X64">
        <f t="shared" si="4"/>
        <v>0.27191696902358448</v>
      </c>
      <c r="Z64" s="3">
        <v>4.5</v>
      </c>
      <c r="AA64" s="3">
        <v>28619.381429506098</v>
      </c>
      <c r="AB64" s="17">
        <v>1.0430075424389399E-8</v>
      </c>
      <c r="AC64">
        <f t="shared" si="5"/>
        <v>2.9850230690911793E-4</v>
      </c>
      <c r="AE64" s="3">
        <v>4.5</v>
      </c>
      <c r="AF64" s="3">
        <v>28619.381429506098</v>
      </c>
      <c r="AG64" s="17">
        <v>7.1572919268445797E-9</v>
      </c>
      <c r="AH64">
        <f t="shared" si="6"/>
        <v>2.0483726765668968E-4</v>
      </c>
      <c r="AJ64" s="3">
        <v>4.5</v>
      </c>
      <c r="AK64" s="3">
        <v>28619.381429506098</v>
      </c>
      <c r="AL64" s="17">
        <v>7.8415586108882297E-7</v>
      </c>
      <c r="AM64">
        <f t="shared" si="7"/>
        <v>2.2442055688683824E-2</v>
      </c>
      <c r="AO64" s="3">
        <v>4.5</v>
      </c>
      <c r="AP64" s="3">
        <v>28619.381429506098</v>
      </c>
      <c r="AQ64" s="17">
        <v>6.2986885331544698E-10</v>
      </c>
      <c r="AR64">
        <f t="shared" si="8"/>
        <v>1.8026456963600402E-5</v>
      </c>
      <c r="AT64" s="3">
        <v>4.5</v>
      </c>
      <c r="AU64" s="3">
        <v>28619.381429506098</v>
      </c>
      <c r="AV64" s="17">
        <v>7.5023477693861995E-5</v>
      </c>
      <c r="AW64">
        <f t="shared" si="9"/>
        <v>2.1471255242886791</v>
      </c>
    </row>
    <row r="65" spans="1:49" x14ac:dyDescent="0.3">
      <c r="A65" s="3">
        <v>5</v>
      </c>
      <c r="B65" s="16">
        <v>24056.672333528899</v>
      </c>
      <c r="C65" s="17">
        <v>1.5018119931832699E-6</v>
      </c>
      <c r="D65">
        <f t="shared" si="0"/>
        <v>3.6128599026573859E-2</v>
      </c>
      <c r="F65" s="3">
        <v>5</v>
      </c>
      <c r="G65" s="3">
        <v>24056.672333528899</v>
      </c>
      <c r="H65" s="17">
        <v>6.5262039323071004E-7</v>
      </c>
      <c r="I65">
        <f t="shared" si="1"/>
        <v>1.5699874958129974E-2</v>
      </c>
      <c r="K65" s="3">
        <v>5</v>
      </c>
      <c r="L65" s="3">
        <v>24056.672333528899</v>
      </c>
      <c r="M65" s="17">
        <v>2.0739812001364599E-8</v>
      </c>
      <c r="N65">
        <f t="shared" si="2"/>
        <v>4.9893086157581836E-4</v>
      </c>
      <c r="P65" s="3">
        <v>5</v>
      </c>
      <c r="Q65" s="3">
        <v>24056.672333528899</v>
      </c>
      <c r="R65" s="17">
        <v>5.1292867729337199E-5</v>
      </c>
      <c r="S65">
        <f t="shared" si="3"/>
        <v>1.2339357120117034</v>
      </c>
      <c r="U65" s="3">
        <v>5</v>
      </c>
      <c r="V65" s="3">
        <v>24056.672333528899</v>
      </c>
      <c r="W65" s="17">
        <v>1.18269144390051E-5</v>
      </c>
      <c r="X65">
        <f t="shared" si="4"/>
        <v>0.28451620537582745</v>
      </c>
      <c r="Z65" s="3">
        <v>5</v>
      </c>
      <c r="AA65" s="3">
        <v>24056.672333528899</v>
      </c>
      <c r="AB65" s="17">
        <v>2.8405366728440899E-8</v>
      </c>
      <c r="AC65">
        <f t="shared" si="5"/>
        <v>6.8333859989982645E-4</v>
      </c>
      <c r="AE65" s="3">
        <v>5</v>
      </c>
      <c r="AF65" s="3">
        <v>24056.672333528899</v>
      </c>
      <c r="AG65" s="17">
        <v>6.2696326029854694E-8</v>
      </c>
      <c r="AH65">
        <f t="shared" si="6"/>
        <v>1.5082649718163132E-3</v>
      </c>
      <c r="AJ65" s="3">
        <v>5</v>
      </c>
      <c r="AK65" s="3">
        <v>24056.672333528899</v>
      </c>
      <c r="AL65" s="17">
        <v>7.8821400221247303E-7</v>
      </c>
      <c r="AM65">
        <f t="shared" si="7"/>
        <v>1.8961805979924886E-2</v>
      </c>
      <c r="AO65" s="3">
        <v>5</v>
      </c>
      <c r="AP65" s="3">
        <v>24056.672333528899</v>
      </c>
      <c r="AQ65" s="17">
        <v>5.66274977303178E-10</v>
      </c>
      <c r="AR65">
        <f t="shared" si="8"/>
        <v>1.3622691579659067E-5</v>
      </c>
      <c r="AT65" s="3">
        <v>5</v>
      </c>
      <c r="AU65" s="3">
        <v>24056.672333528899</v>
      </c>
      <c r="AV65" s="17">
        <v>6.0312018723274702E-5</v>
      </c>
      <c r="AW65">
        <f t="shared" si="9"/>
        <v>1.4509064721994795</v>
      </c>
    </row>
    <row r="66" spans="1:49" x14ac:dyDescent="0.3">
      <c r="A66" s="3">
        <v>5.5</v>
      </c>
      <c r="B66" s="16">
        <v>19705.348289487301</v>
      </c>
      <c r="C66" s="17">
        <v>1.23789470141803E-6</v>
      </c>
      <c r="D66">
        <f t="shared" si="0"/>
        <v>2.4393146237153173E-2</v>
      </c>
      <c r="F66" s="3">
        <v>5.5</v>
      </c>
      <c r="G66" s="3">
        <v>19705.348289487301</v>
      </c>
      <c r="H66" s="17">
        <v>3.6478543938507602E-6</v>
      </c>
      <c r="I66">
        <f t="shared" si="1"/>
        <v>7.1882241340165812E-2</v>
      </c>
      <c r="K66" s="3">
        <v>5.5</v>
      </c>
      <c r="L66" s="3">
        <v>19705.348289487301</v>
      </c>
      <c r="M66" s="17">
        <v>2.26171869575489E-7</v>
      </c>
      <c r="N66">
        <f t="shared" si="2"/>
        <v>4.4567954632695073E-3</v>
      </c>
      <c r="P66" s="3">
        <v>5.5</v>
      </c>
      <c r="Q66" s="3">
        <v>19705.348289487301</v>
      </c>
      <c r="R66" s="17">
        <v>5.6249635215436501E-5</v>
      </c>
      <c r="S66">
        <f t="shared" si="3"/>
        <v>1.1084186530767863</v>
      </c>
      <c r="U66" s="3">
        <v>5.5</v>
      </c>
      <c r="V66" s="3">
        <v>19705.348289487301</v>
      </c>
      <c r="W66" s="17">
        <v>1.3561782770424399E-5</v>
      </c>
      <c r="X66">
        <f t="shared" si="4"/>
        <v>0.26723965291758078</v>
      </c>
      <c r="Z66" s="3">
        <v>5.5</v>
      </c>
      <c r="AA66" s="3">
        <v>19705.348289487301</v>
      </c>
      <c r="AB66" s="17">
        <v>6.3545228068305806E-8</v>
      </c>
      <c r="AC66">
        <f t="shared" si="5"/>
        <v>1.2521808512208704E-3</v>
      </c>
      <c r="AE66" s="3">
        <v>5.5</v>
      </c>
      <c r="AF66" s="3">
        <v>19705.348289487301</v>
      </c>
      <c r="AG66" s="17">
        <v>3.5549463212804198E-7</v>
      </c>
      <c r="AH66">
        <f t="shared" si="6"/>
        <v>7.0051455411262297E-3</v>
      </c>
      <c r="AJ66" s="3">
        <v>5.5</v>
      </c>
      <c r="AK66" s="3">
        <v>19705.348289487301</v>
      </c>
      <c r="AL66" s="17">
        <v>7.9593497086477605E-7</v>
      </c>
      <c r="AM66">
        <f t="shared" si="7"/>
        <v>1.5684175816673338E-2</v>
      </c>
      <c r="AO66" s="3">
        <v>5.5</v>
      </c>
      <c r="AP66" s="3">
        <v>19705.348289487301</v>
      </c>
      <c r="AQ66" s="17">
        <v>5.42078977859146E-10</v>
      </c>
      <c r="AR66">
        <f t="shared" si="8"/>
        <v>1.0681855059123747E-5</v>
      </c>
      <c r="AT66" s="3">
        <v>5.5</v>
      </c>
      <c r="AU66" s="3">
        <v>19705.348289487301</v>
      </c>
      <c r="AV66" s="17">
        <v>5.7322737994475898E-5</v>
      </c>
      <c r="AW66">
        <f t="shared" si="9"/>
        <v>1.1295645170881743</v>
      </c>
    </row>
    <row r="67" spans="1:49" x14ac:dyDescent="0.3">
      <c r="A67" s="3">
        <v>6</v>
      </c>
      <c r="B67" s="16">
        <v>20521.393497261299</v>
      </c>
      <c r="C67" s="17">
        <v>1.0098128832143901E-6</v>
      </c>
      <c r="D67">
        <f t="shared" si="0"/>
        <v>2.0722767535046469E-2</v>
      </c>
      <c r="F67" s="3">
        <v>6</v>
      </c>
      <c r="G67" s="3">
        <v>20521.393497261299</v>
      </c>
      <c r="H67" s="17">
        <v>1.04659905075159E-5</v>
      </c>
      <c r="I67">
        <f t="shared" si="1"/>
        <v>0.21477670954333528</v>
      </c>
      <c r="K67" s="3">
        <v>6</v>
      </c>
      <c r="L67" s="3">
        <v>20521.393497261299</v>
      </c>
      <c r="M67" s="17">
        <v>2.6832971506496601E-6</v>
      </c>
      <c r="N67">
        <f t="shared" si="2"/>
        <v>5.5064996698561706E-2</v>
      </c>
      <c r="P67" s="3">
        <v>6</v>
      </c>
      <c r="Q67" s="3">
        <v>20521.393497261299</v>
      </c>
      <c r="R67" s="17">
        <v>6.4711175016917596E-5</v>
      </c>
      <c r="S67">
        <f t="shared" si="3"/>
        <v>1.3279634861923106</v>
      </c>
      <c r="U67" s="3">
        <v>6</v>
      </c>
      <c r="V67" s="3">
        <v>20521.393497261299</v>
      </c>
      <c r="W67" s="17">
        <v>1.46402974406662E-5</v>
      </c>
      <c r="X67">
        <f t="shared" si="4"/>
        <v>0.30043930469685859</v>
      </c>
      <c r="Z67" s="3">
        <v>6</v>
      </c>
      <c r="AA67" s="3">
        <v>20521.393497261299</v>
      </c>
      <c r="AB67" s="17">
        <v>1.3525791349922E-7</v>
      </c>
      <c r="AC67">
        <f t="shared" si="5"/>
        <v>2.7756808665360243E-3</v>
      </c>
      <c r="AE67" s="3">
        <v>6</v>
      </c>
      <c r="AF67" s="3">
        <v>20521.393497261299</v>
      </c>
      <c r="AG67" s="17">
        <v>7.4977049685186995E-7</v>
      </c>
      <c r="AH67">
        <f t="shared" si="6"/>
        <v>1.5386335398534337E-2</v>
      </c>
      <c r="AJ67" s="3">
        <v>6</v>
      </c>
      <c r="AK67" s="3">
        <v>20521.393497261299</v>
      </c>
      <c r="AL67" s="17">
        <v>8.0365593951707896E-7</v>
      </c>
      <c r="AM67">
        <f t="shared" si="7"/>
        <v>1.6492139771241202E-2</v>
      </c>
      <c r="AO67" s="3">
        <v>6</v>
      </c>
      <c r="AP67" s="3">
        <v>20521.393497261299</v>
      </c>
      <c r="AQ67" s="17">
        <v>5.3351402230373696E-10</v>
      </c>
      <c r="AR67">
        <f t="shared" si="8"/>
        <v>1.0948451188001627E-5</v>
      </c>
      <c r="AT67" s="3">
        <v>6</v>
      </c>
      <c r="AU67" s="3">
        <v>20521.393497261299</v>
      </c>
      <c r="AV67" s="17">
        <v>7.1078648560819497E-5</v>
      </c>
      <c r="AW67">
        <f t="shared" si="9"/>
        <v>1.4586329163701224</v>
      </c>
    </row>
    <row r="68" spans="1:49" x14ac:dyDescent="0.3">
      <c r="A68" s="3">
        <v>6.5</v>
      </c>
      <c r="B68" s="16">
        <v>14877.424490232601</v>
      </c>
      <c r="C68" s="17">
        <v>7.4174138440825602E-7</v>
      </c>
      <c r="D68">
        <f t="shared" ref="D68:D115" si="10">B68*C68</f>
        <v>1.1035201437814422E-2</v>
      </c>
      <c r="F68" s="3">
        <v>6.5</v>
      </c>
      <c r="G68" s="3">
        <v>14877.424490232601</v>
      </c>
      <c r="H68" s="17">
        <v>2.79826424296229E-5</v>
      </c>
      <c r="I68">
        <f t="shared" ref="I68:I115" si="11">G68*H68</f>
        <v>0.41630964978389362</v>
      </c>
      <c r="K68" s="3">
        <v>6.5</v>
      </c>
      <c r="L68" s="3">
        <v>14877.424490232601</v>
      </c>
      <c r="M68" s="17">
        <v>1.2084534853424499E-5</v>
      </c>
      <c r="N68">
        <f t="shared" ref="N68:N115" si="12">L68*M68</f>
        <v>0.17978675478140707</v>
      </c>
      <c r="P68" s="3">
        <v>6.5</v>
      </c>
      <c r="Q68" s="3">
        <v>14877.424490232601</v>
      </c>
      <c r="R68" s="17">
        <v>7.3358641029283296E-5</v>
      </c>
      <c r="S68">
        <f t="shared" ref="S68:S115" si="13">Q68*R68</f>
        <v>1.0913876426192415</v>
      </c>
      <c r="U68" s="3">
        <v>6.5</v>
      </c>
      <c r="V68" s="3">
        <v>14877.424490232601</v>
      </c>
      <c r="W68" s="17">
        <v>1.51905661795519E-5</v>
      </c>
      <c r="X68">
        <f t="shared" ref="X68:X115" si="14">V68*W68</f>
        <v>0.22599650130016452</v>
      </c>
      <c r="Z68" s="3">
        <v>6.5</v>
      </c>
      <c r="AA68" s="3">
        <v>14877.424490232601</v>
      </c>
      <c r="AB68" s="17">
        <v>2.3819455605505E-7</v>
      </c>
      <c r="AC68">
        <f t="shared" ref="AC68:AC115" si="15">AA68*AB68</f>
        <v>3.5437215216934828E-3</v>
      </c>
      <c r="AE68" s="3">
        <v>6.5</v>
      </c>
      <c r="AF68" s="3">
        <v>14877.424490232601</v>
      </c>
      <c r="AG68" s="17">
        <v>2.4561447310664699E-6</v>
      </c>
      <c r="AH68">
        <f t="shared" ref="AH68:AH115" si="16">AF68*AG68</f>
        <v>3.6541107773524067E-2</v>
      </c>
      <c r="AJ68" s="3">
        <v>6.5</v>
      </c>
      <c r="AK68" s="3">
        <v>14877.424490232601</v>
      </c>
      <c r="AL68" s="17">
        <v>8.1149349479603203E-7</v>
      </c>
      <c r="AM68">
        <f t="shared" ref="AM68:AM115" si="17">AK68*AL68</f>
        <v>1.2072933193142928E-2</v>
      </c>
      <c r="AO68" s="3">
        <v>6.5</v>
      </c>
      <c r="AP68" s="3">
        <v>14877.424490232601</v>
      </c>
      <c r="AQ68" s="17">
        <v>5.3832767436374004E-10</v>
      </c>
      <c r="AR68">
        <f t="shared" ref="AR68:AR115" si="18">AP68*AQ68</f>
        <v>8.0089293263490669E-6</v>
      </c>
      <c r="AT68" s="3">
        <v>6.5</v>
      </c>
      <c r="AU68" s="3">
        <v>14877.424490232601</v>
      </c>
      <c r="AV68" s="17">
        <v>7.4256925669145802E-5</v>
      </c>
      <c r="AW68">
        <f t="shared" ref="AW68:AW115" si="19">AU68*AV68</f>
        <v>1.1047518045195317</v>
      </c>
    </row>
    <row r="69" spans="1:49" x14ac:dyDescent="0.3">
      <c r="A69" s="3">
        <v>7</v>
      </c>
      <c r="B69" s="16">
        <v>16488.101615074</v>
      </c>
      <c r="C69" s="17">
        <v>5.4973341056183502E-7</v>
      </c>
      <c r="D69">
        <f t="shared" si="10"/>
        <v>9.0640603345447292E-3</v>
      </c>
      <c r="F69" s="3">
        <v>7</v>
      </c>
      <c r="G69" s="3">
        <v>16488.101615074</v>
      </c>
      <c r="H69" s="17">
        <v>4.2077613234253E-5</v>
      </c>
      <c r="I69">
        <f t="shared" si="11"/>
        <v>0.69377996272614595</v>
      </c>
      <c r="K69" s="3">
        <v>7</v>
      </c>
      <c r="L69" s="3">
        <v>16488.101615074</v>
      </c>
      <c r="M69" s="17">
        <v>4.2132796066136299E-5</v>
      </c>
      <c r="N69">
        <f t="shared" si="12"/>
        <v>0.6946898228656454</v>
      </c>
      <c r="P69" s="3">
        <v>7</v>
      </c>
      <c r="Q69" s="3">
        <v>16488.101615074</v>
      </c>
      <c r="R69" s="17">
        <v>7.6647131834044305E-5</v>
      </c>
      <c r="S69">
        <f t="shared" si="13"/>
        <v>1.2637656981836958</v>
      </c>
      <c r="U69" s="3">
        <v>7</v>
      </c>
      <c r="V69" s="3">
        <v>16488.101615074</v>
      </c>
      <c r="W69" s="17">
        <v>1.55081438448059E-5</v>
      </c>
      <c r="X69">
        <f t="shared" si="14"/>
        <v>0.25569985157434405</v>
      </c>
      <c r="Z69" s="3">
        <v>7</v>
      </c>
      <c r="AA69" s="3">
        <v>16488.101615074</v>
      </c>
      <c r="AB69" s="17">
        <v>4.0011504374748702E-7</v>
      </c>
      <c r="AC69">
        <f t="shared" si="15"/>
        <v>6.597137499028345E-3</v>
      </c>
      <c r="AE69" s="3">
        <v>7</v>
      </c>
      <c r="AF69" s="3">
        <v>16488.101615074</v>
      </c>
      <c r="AG69" s="17">
        <v>5.0415602374522298E-6</v>
      </c>
      <c r="AH69">
        <f t="shared" si="16"/>
        <v>8.3125757493628966E-2</v>
      </c>
      <c r="AJ69" s="3">
        <v>7</v>
      </c>
      <c r="AK69" s="3">
        <v>16488.101615074</v>
      </c>
      <c r="AL69" s="17">
        <v>8.1784005070416204E-7</v>
      </c>
      <c r="AM69">
        <f t="shared" si="17"/>
        <v>1.3484629860887496E-2</v>
      </c>
      <c r="AO69" s="3">
        <v>7</v>
      </c>
      <c r="AP69" s="3">
        <v>16488.101615074</v>
      </c>
      <c r="AQ69" s="17">
        <v>5.4640372902263902E-10</v>
      </c>
      <c r="AR69">
        <f t="shared" si="18"/>
        <v>9.0091602069806311E-6</v>
      </c>
      <c r="AT69" s="3">
        <v>7</v>
      </c>
      <c r="AU69" s="3">
        <v>16488.101615074</v>
      </c>
      <c r="AV69" s="17">
        <v>7.3751494436474801E-5</v>
      </c>
      <c r="AW69">
        <f t="shared" si="19"/>
        <v>1.2160221345321613</v>
      </c>
    </row>
    <row r="70" spans="1:49" x14ac:dyDescent="0.3">
      <c r="A70" s="3">
        <v>7.5</v>
      </c>
      <c r="B70" s="16">
        <v>11205.4098469975</v>
      </c>
      <c r="C70" s="17">
        <v>2.96814684828754E-7</v>
      </c>
      <c r="D70">
        <f t="shared" si="10"/>
        <v>3.3259301921135793E-3</v>
      </c>
      <c r="F70" s="3">
        <v>7.5</v>
      </c>
      <c r="G70" s="3">
        <v>11205.4098469975</v>
      </c>
      <c r="H70" s="17">
        <v>5.5167161558099298E-5</v>
      </c>
      <c r="I70">
        <f t="shared" si="11"/>
        <v>0.61817065535402782</v>
      </c>
      <c r="K70" s="3">
        <v>7.5</v>
      </c>
      <c r="L70" s="3">
        <v>11205.4098469975</v>
      </c>
      <c r="M70" s="17">
        <v>8.8597514157633806E-5</v>
      </c>
      <c r="N70">
        <f t="shared" si="12"/>
        <v>0.99277145756145024</v>
      </c>
      <c r="P70" s="3">
        <v>7.5</v>
      </c>
      <c r="Q70" s="3">
        <v>11205.4098469975</v>
      </c>
      <c r="R70" s="17">
        <v>7.7785455574153897E-5</v>
      </c>
      <c r="S70">
        <f t="shared" si="13"/>
        <v>0.8716179098438106</v>
      </c>
      <c r="U70" s="3">
        <v>7.5</v>
      </c>
      <c r="V70" s="3">
        <v>11205.4098469975</v>
      </c>
      <c r="W70" s="17">
        <v>1.56206648395869E-5</v>
      </c>
      <c r="X70">
        <f t="shared" si="14"/>
        <v>0.17503595161015467</v>
      </c>
      <c r="Z70" s="3">
        <v>7.5</v>
      </c>
      <c r="AA70" s="3">
        <v>11205.4098469975</v>
      </c>
      <c r="AB70" s="17">
        <v>5.2662456903902296E-7</v>
      </c>
      <c r="AC70">
        <f t="shared" si="15"/>
        <v>5.9010441315806824E-3</v>
      </c>
      <c r="AE70" s="3">
        <v>7.5</v>
      </c>
      <c r="AF70" s="3">
        <v>11205.4098469975</v>
      </c>
      <c r="AG70" s="17">
        <v>8.5318711710730093E-6</v>
      </c>
      <c r="AH70">
        <f t="shared" si="16"/>
        <v>9.5603113233655584E-2</v>
      </c>
      <c r="AJ70" s="3">
        <v>7.5</v>
      </c>
      <c r="AK70" s="3">
        <v>11205.4098469975</v>
      </c>
      <c r="AL70" s="17">
        <v>8.2428390887060498E-7</v>
      </c>
      <c r="AM70">
        <f t="shared" si="17"/>
        <v>9.2364390291802666E-3</v>
      </c>
      <c r="AO70" s="3">
        <v>7.5</v>
      </c>
      <c r="AP70" s="3">
        <v>11205.4098469975</v>
      </c>
      <c r="AQ70" s="17">
        <v>5.63899396819194E-10</v>
      </c>
      <c r="AR70">
        <f t="shared" si="18"/>
        <v>6.3187238538337474E-6</v>
      </c>
      <c r="AT70" s="3">
        <v>7.5</v>
      </c>
      <c r="AU70" s="3">
        <v>11205.4098469975</v>
      </c>
      <c r="AV70" s="17">
        <v>7.4305488906579095E-5</v>
      </c>
      <c r="AW70">
        <f t="shared" si="19"/>
        <v>0.83262345707974483</v>
      </c>
    </row>
    <row r="71" spans="1:49" x14ac:dyDescent="0.3">
      <c r="A71" s="3">
        <v>8</v>
      </c>
      <c r="B71" s="16">
        <v>12669.438049231499</v>
      </c>
      <c r="C71" s="17">
        <v>1.6866724187226099E-7</v>
      </c>
      <c r="D71">
        <f t="shared" si="10"/>
        <v>2.1369191718353556E-3</v>
      </c>
      <c r="F71" s="3">
        <v>8</v>
      </c>
      <c r="G71" s="3">
        <v>12669.438049231499</v>
      </c>
      <c r="H71" s="17">
        <v>6.4934000174043097E-5</v>
      </c>
      <c r="I71">
        <f t="shared" si="11"/>
        <v>0.82267729249382637</v>
      </c>
      <c r="K71" s="3">
        <v>8</v>
      </c>
      <c r="L71" s="3">
        <v>12669.438049231499</v>
      </c>
      <c r="M71" s="16">
        <v>1.4003454278218799E-4</v>
      </c>
      <c r="N71">
        <f t="shared" si="12"/>
        <v>1.7741589645313889</v>
      </c>
      <c r="P71" s="3">
        <v>8</v>
      </c>
      <c r="Q71" s="3">
        <v>12669.438049231499</v>
      </c>
      <c r="R71" s="17">
        <v>7.8670818483127998E-5</v>
      </c>
      <c r="S71">
        <f t="shared" si="13"/>
        <v>0.99671506105432661</v>
      </c>
      <c r="U71" s="3">
        <v>8</v>
      </c>
      <c r="V71" s="3">
        <v>12669.438049231499</v>
      </c>
      <c r="W71" s="17">
        <v>1.5666987556673901E-5</v>
      </c>
      <c r="X71">
        <f t="shared" si="14"/>
        <v>0.19849192826736076</v>
      </c>
      <c r="Z71" s="3">
        <v>8</v>
      </c>
      <c r="AA71" s="3">
        <v>12669.438049231499</v>
      </c>
      <c r="AB71" s="17">
        <v>6.7912967384980195E-7</v>
      </c>
      <c r="AC71">
        <f t="shared" si="15"/>
        <v>8.6041913302348592E-3</v>
      </c>
      <c r="AE71" s="3">
        <v>8</v>
      </c>
      <c r="AF71" s="3">
        <v>12669.438049231499</v>
      </c>
      <c r="AG71" s="17">
        <v>1.26685359812902E-5</v>
      </c>
      <c r="AH71">
        <f t="shared" si="16"/>
        <v>0.16050323178941636</v>
      </c>
      <c r="AJ71" s="3">
        <v>8</v>
      </c>
      <c r="AK71" s="3">
        <v>12669.438049231499</v>
      </c>
      <c r="AL71" s="17">
        <v>8.3072776703704803E-7</v>
      </c>
      <c r="AM71">
        <f t="shared" si="17"/>
        <v>1.0524853980252297E-2</v>
      </c>
      <c r="AO71" s="3">
        <v>8</v>
      </c>
      <c r="AP71" s="3">
        <v>12669.438049231499</v>
      </c>
      <c r="AQ71" s="17">
        <v>5.8971648870955004E-10</v>
      </c>
      <c r="AR71">
        <f t="shared" si="18"/>
        <v>7.4713765203159709E-6</v>
      </c>
      <c r="AT71" s="3">
        <v>8</v>
      </c>
      <c r="AU71" s="3">
        <v>12669.438049231499</v>
      </c>
      <c r="AV71" s="17">
        <v>7.65377541497049E-5</v>
      </c>
      <c r="AW71">
        <f t="shared" si="19"/>
        <v>0.96969033462699739</v>
      </c>
    </row>
    <row r="72" spans="1:49" x14ac:dyDescent="0.3">
      <c r="A72" s="3">
        <v>8.5</v>
      </c>
      <c r="B72" s="16">
        <v>10134.045592282901</v>
      </c>
      <c r="C72" s="17">
        <v>1.53995072455766E-7</v>
      </c>
      <c r="D72">
        <f t="shared" si="10"/>
        <v>1.5605930852536413E-3</v>
      </c>
      <c r="F72" s="3">
        <v>8.5</v>
      </c>
      <c r="G72" s="3">
        <v>10134.045592282901</v>
      </c>
      <c r="H72" s="17">
        <v>7.9340048505383801E-5</v>
      </c>
      <c r="I72">
        <f t="shared" si="11"/>
        <v>0.80403566884749622</v>
      </c>
      <c r="K72" s="3">
        <v>8.5</v>
      </c>
      <c r="L72" s="3">
        <v>10134.045592282901</v>
      </c>
      <c r="M72" s="16">
        <v>1.9138435766447899E-4</v>
      </c>
      <c r="N72">
        <f t="shared" si="12"/>
        <v>1.9394978062216075</v>
      </c>
      <c r="P72" s="3">
        <v>8.5</v>
      </c>
      <c r="Q72" s="3">
        <v>10134.045592282901</v>
      </c>
      <c r="R72" s="17">
        <v>7.9303220560966595E-5</v>
      </c>
      <c r="S72">
        <f t="shared" si="13"/>
        <v>0.80366245277970216</v>
      </c>
      <c r="U72" s="3">
        <v>8.5</v>
      </c>
      <c r="V72" s="3">
        <v>10134.045592282901</v>
      </c>
      <c r="W72" s="17">
        <v>1.5711808179981399E-5</v>
      </c>
      <c r="X72">
        <f t="shared" si="14"/>
        <v>0.15922418043313491</v>
      </c>
      <c r="Z72" s="3">
        <v>8.5</v>
      </c>
      <c r="AA72" s="3">
        <v>10134.045592282901</v>
      </c>
      <c r="AB72" s="17">
        <v>7.9312121522783499E-7</v>
      </c>
      <c r="AC72">
        <f t="shared" si="15"/>
        <v>8.0375265553256983E-3</v>
      </c>
      <c r="AE72" s="3">
        <v>8.5</v>
      </c>
      <c r="AF72" s="3">
        <v>10134.045592282901</v>
      </c>
      <c r="AG72" s="17">
        <v>1.6934471566826699E-5</v>
      </c>
      <c r="AH72">
        <f t="shared" si="16"/>
        <v>0.17161470693944023</v>
      </c>
      <c r="AJ72" s="3">
        <v>8.5</v>
      </c>
      <c r="AK72" s="3">
        <v>10134.045592282901</v>
      </c>
      <c r="AL72" s="17">
        <v>8.3837533790898302E-7</v>
      </c>
      <c r="AM72">
        <f t="shared" si="17"/>
        <v>8.4961338978152175E-3</v>
      </c>
      <c r="AO72" s="3">
        <v>8.5</v>
      </c>
      <c r="AP72" s="3">
        <v>10134.045592282901</v>
      </c>
      <c r="AQ72" s="17">
        <v>6.2671764810090804E-10</v>
      </c>
      <c r="AR72">
        <f t="shared" si="18"/>
        <v>6.3511852193429129E-6</v>
      </c>
      <c r="AT72" s="3">
        <v>8.5</v>
      </c>
      <c r="AU72" s="3">
        <v>10134.045592282901</v>
      </c>
      <c r="AV72" s="17">
        <v>7.5439253718963896E-5</v>
      </c>
      <c r="AW72">
        <f t="shared" si="19"/>
        <v>0.76450483663577751</v>
      </c>
    </row>
    <row r="73" spans="1:49" x14ac:dyDescent="0.3">
      <c r="A73" s="3">
        <v>9</v>
      </c>
      <c r="B73" s="16">
        <v>9838.8457323377297</v>
      </c>
      <c r="C73" s="17">
        <v>1.7706996140009501E-7</v>
      </c>
      <c r="D73">
        <f t="shared" si="10"/>
        <v>1.7421640340465313E-3</v>
      </c>
      <c r="F73" s="3">
        <v>9</v>
      </c>
      <c r="G73" s="3">
        <v>9838.8457323377297</v>
      </c>
      <c r="H73" s="17">
        <v>9.2841362528907394E-5</v>
      </c>
      <c r="I73">
        <f t="shared" si="11"/>
        <v>0.91345184350196051</v>
      </c>
      <c r="K73" s="3">
        <v>9</v>
      </c>
      <c r="L73" s="3">
        <v>9838.8457323377297</v>
      </c>
      <c r="M73" s="16">
        <v>2.6097683258475998E-4</v>
      </c>
      <c r="N73">
        <f t="shared" si="12"/>
        <v>2.567710795515584</v>
      </c>
      <c r="P73" s="3">
        <v>9</v>
      </c>
      <c r="Q73" s="3">
        <v>9838.8457323377297</v>
      </c>
      <c r="R73" s="17">
        <v>7.9429700976534401E-5</v>
      </c>
      <c r="S73">
        <f t="shared" si="13"/>
        <v>0.78149657447383747</v>
      </c>
      <c r="U73" s="3">
        <v>9</v>
      </c>
      <c r="V73" s="3">
        <v>9838.8457323377297</v>
      </c>
      <c r="W73" s="17">
        <v>1.5758143779519399E-5</v>
      </c>
      <c r="X73">
        <f t="shared" si="14"/>
        <v>0.15504194567468876</v>
      </c>
      <c r="Z73" s="3">
        <v>9</v>
      </c>
      <c r="AA73" s="3">
        <v>9838.8457323377297</v>
      </c>
      <c r="AB73" s="17">
        <v>1.03036691756926E-6</v>
      </c>
      <c r="AC73">
        <f t="shared" si="15"/>
        <v>1.0137621149668295E-2</v>
      </c>
      <c r="AE73" s="3">
        <v>9</v>
      </c>
      <c r="AF73" s="3">
        <v>9838.8457323377297</v>
      </c>
      <c r="AG73" s="17">
        <v>2.4012046515557698E-5</v>
      </c>
      <c r="AH73">
        <f t="shared" si="16"/>
        <v>0.23625082138428991</v>
      </c>
      <c r="AJ73" s="3">
        <v>9</v>
      </c>
      <c r="AK73" s="3">
        <v>9838.8457323377297</v>
      </c>
      <c r="AL73" s="17">
        <v>8.4432953728650096E-7</v>
      </c>
      <c r="AM73">
        <f t="shared" si="17"/>
        <v>8.3072280646179792E-3</v>
      </c>
      <c r="AO73" s="3">
        <v>9</v>
      </c>
      <c r="AP73" s="3">
        <v>9838.8457323377297</v>
      </c>
      <c r="AQ73" s="17">
        <v>6.8020648679668099E-10</v>
      </c>
      <c r="AR73">
        <f t="shared" si="18"/>
        <v>6.6924466897279646E-6</v>
      </c>
      <c r="AT73" s="3">
        <v>9</v>
      </c>
      <c r="AU73" s="3">
        <v>9838.8457323377297</v>
      </c>
      <c r="AV73" s="17">
        <v>7.7240202701009202E-5</v>
      </c>
      <c r="AW73">
        <f t="shared" si="19"/>
        <v>0.75995443870972557</v>
      </c>
    </row>
    <row r="74" spans="1:49" x14ac:dyDescent="0.3">
      <c r="A74" s="3">
        <v>9.5</v>
      </c>
      <c r="B74" s="16">
        <v>11921.7673319393</v>
      </c>
      <c r="C74" s="17">
        <v>2.0559391734356199E-7</v>
      </c>
      <c r="D74">
        <f t="shared" si="10"/>
        <v>2.451042847431906E-3</v>
      </c>
      <c r="F74" s="3">
        <v>9.5</v>
      </c>
      <c r="G74" s="3">
        <v>11921.7673319393</v>
      </c>
      <c r="H74" s="16">
        <v>1.04141270854302E-4</v>
      </c>
      <c r="I74">
        <f t="shared" si="11"/>
        <v>1.24154800077746</v>
      </c>
      <c r="K74" s="3">
        <v>9.5</v>
      </c>
      <c r="L74" s="3">
        <v>11921.7673319393</v>
      </c>
      <c r="M74" s="16">
        <v>3.1834460442841202E-4</v>
      </c>
      <c r="N74">
        <f t="shared" si="12"/>
        <v>3.7952303053737815</v>
      </c>
      <c r="P74" s="3">
        <v>9.5</v>
      </c>
      <c r="Q74" s="3">
        <v>11921.7673319393</v>
      </c>
      <c r="R74" s="17">
        <v>7.9303220560966595E-5</v>
      </c>
      <c r="S74">
        <f t="shared" si="13"/>
        <v>0.94543454420130857</v>
      </c>
      <c r="U74" s="3">
        <v>9.5</v>
      </c>
      <c r="V74" s="3">
        <v>11921.7673319393</v>
      </c>
      <c r="W74" s="17">
        <v>1.5805499669171699E-5</v>
      </c>
      <c r="X74">
        <f t="shared" si="14"/>
        <v>0.18842948962090858</v>
      </c>
      <c r="Z74" s="3">
        <v>9.5</v>
      </c>
      <c r="AA74" s="3">
        <v>11921.7673319393</v>
      </c>
      <c r="AB74" s="17">
        <v>1.1094488183497299E-6</v>
      </c>
      <c r="AC74">
        <f t="shared" si="15"/>
        <v>1.3226590679060469E-2</v>
      </c>
      <c r="AE74" s="3">
        <v>9.5</v>
      </c>
      <c r="AF74" s="3">
        <v>11921.7673319393</v>
      </c>
      <c r="AG74" s="17">
        <v>2.6371238165134701E-5</v>
      </c>
      <c r="AH74">
        <f t="shared" si="16"/>
        <v>0.31439176565989374</v>
      </c>
      <c r="AJ74" s="3">
        <v>9.5</v>
      </c>
      <c r="AK74" s="3">
        <v>11921.7673319393</v>
      </c>
      <c r="AL74" s="17">
        <v>8.5165147454365601E-7</v>
      </c>
      <c r="AM74">
        <f t="shared" si="17"/>
        <v>1.0153190727412493E-2</v>
      </c>
      <c r="AO74" s="3">
        <v>9.5</v>
      </c>
      <c r="AP74" s="3">
        <v>11921.7673319393</v>
      </c>
      <c r="AQ74" s="17">
        <v>7.1876700606349897E-10</v>
      </c>
      <c r="AR74">
        <f t="shared" si="18"/>
        <v>8.5689730121636387E-6</v>
      </c>
      <c r="AT74" s="3">
        <v>9.5</v>
      </c>
      <c r="AU74" s="3">
        <v>11921.7673319393</v>
      </c>
      <c r="AV74" s="17">
        <v>8.0705376473556696E-5</v>
      </c>
      <c r="AW74">
        <f t="shared" si="19"/>
        <v>0.96215072075431074</v>
      </c>
    </row>
    <row r="75" spans="1:49" x14ac:dyDescent="0.3">
      <c r="A75" s="3">
        <v>10</v>
      </c>
      <c r="B75" s="16">
        <v>8345.7823561527803</v>
      </c>
      <c r="C75" s="17">
        <v>2.35944583646188E-7</v>
      </c>
      <c r="D75">
        <f t="shared" si="10"/>
        <v>1.9691421432241696E-3</v>
      </c>
      <c r="F75" s="3">
        <v>10</v>
      </c>
      <c r="G75" s="3">
        <v>8345.7823561527803</v>
      </c>
      <c r="H75" s="16">
        <v>1.1458777609731299E-4</v>
      </c>
      <c r="I75">
        <f t="shared" si="11"/>
        <v>0.95632463998374007</v>
      </c>
      <c r="K75" s="3">
        <v>10</v>
      </c>
      <c r="L75" s="3">
        <v>8345.7823561527803</v>
      </c>
      <c r="M75" s="16">
        <v>3.5704153809111003E-4</v>
      </c>
      <c r="N75">
        <f t="shared" si="12"/>
        <v>2.9797909690144371</v>
      </c>
      <c r="P75" s="3">
        <v>10</v>
      </c>
      <c r="Q75" s="3">
        <v>8345.7823561527803</v>
      </c>
      <c r="R75" s="17">
        <v>7.7975176197505504E-5</v>
      </c>
      <c r="S75">
        <f t="shared" si="13"/>
        <v>0.65076384972704571</v>
      </c>
      <c r="U75" s="3">
        <v>10</v>
      </c>
      <c r="V75" s="3">
        <v>8345.7823561527803</v>
      </c>
      <c r="W75" s="17">
        <v>1.5851350888554399E-5</v>
      </c>
      <c r="X75">
        <f t="shared" si="14"/>
        <v>0.13229192456688399</v>
      </c>
      <c r="Z75" s="3">
        <v>10</v>
      </c>
      <c r="AA75" s="3">
        <v>8345.7823561527803</v>
      </c>
      <c r="AB75" s="17">
        <v>1.2831471410271301E-6</v>
      </c>
      <c r="AC75">
        <f t="shared" si="15"/>
        <v>1.0708866769932105E-2</v>
      </c>
      <c r="AE75" s="3">
        <v>10</v>
      </c>
      <c r="AF75" s="3">
        <v>8345.7823561527803</v>
      </c>
      <c r="AG75" s="17">
        <v>3.5678733988123399E-5</v>
      </c>
      <c r="AH75">
        <f t="shared" si="16"/>
        <v>0.29776694860794878</v>
      </c>
      <c r="AJ75" s="3">
        <v>10</v>
      </c>
      <c r="AK75" s="3">
        <v>8345.7823561527803</v>
      </c>
      <c r="AL75" s="17">
        <v>8.5897341180081095E-7</v>
      </c>
      <c r="AM75">
        <f t="shared" si="17"/>
        <v>7.1688051446115644E-3</v>
      </c>
      <c r="AO75" s="3">
        <v>10</v>
      </c>
      <c r="AP75" s="3">
        <v>8345.7823561527803</v>
      </c>
      <c r="AQ75" s="17">
        <v>7.5886609004906199E-10</v>
      </c>
      <c r="AR75">
        <f t="shared" si="18"/>
        <v>6.3333312250141083E-6</v>
      </c>
      <c r="AT75" s="3">
        <v>10</v>
      </c>
      <c r="AU75" s="3">
        <v>8345.7823561527803</v>
      </c>
      <c r="AV75" s="17">
        <v>8.3269515410034305E-5</v>
      </c>
      <c r="AW75">
        <f t="shared" si="19"/>
        <v>0.69494925251445638</v>
      </c>
    </row>
    <row r="76" spans="1:49" x14ac:dyDescent="0.3">
      <c r="A76" s="3">
        <v>10.5</v>
      </c>
      <c r="B76" s="16">
        <v>7423.9067602318</v>
      </c>
      <c r="C76" s="17">
        <v>2.6172398248190699E-7</v>
      </c>
      <c r="D76">
        <f t="shared" si="10"/>
        <v>1.9430144428622185E-3</v>
      </c>
      <c r="F76" s="3">
        <v>10.5</v>
      </c>
      <c r="G76" s="3">
        <v>7423.9067602318</v>
      </c>
      <c r="H76" s="16">
        <v>1.2530346984025999E-4</v>
      </c>
      <c r="I76">
        <f t="shared" si="11"/>
        <v>0.9302412768276076</v>
      </c>
      <c r="K76" s="3">
        <v>10.5</v>
      </c>
      <c r="L76" s="3">
        <v>7423.9067602318</v>
      </c>
      <c r="M76" s="16">
        <v>3.82207023759591E-4</v>
      </c>
      <c r="N76">
        <f t="shared" si="12"/>
        <v>2.837469307496904</v>
      </c>
      <c r="P76" s="3">
        <v>10.5</v>
      </c>
      <c r="Q76" s="3">
        <v>7423.9067602318</v>
      </c>
      <c r="R76" s="17">
        <v>7.7532494743018406E-5</v>
      </c>
      <c r="S76">
        <f t="shared" si="13"/>
        <v>0.57559401186033088</v>
      </c>
      <c r="U76" s="3">
        <v>10.5</v>
      </c>
      <c r="V76" s="3">
        <v>7423.9067602318</v>
      </c>
      <c r="W76" s="17">
        <v>1.5844564413399599E-5</v>
      </c>
      <c r="X76">
        <f t="shared" si="14"/>
        <v>0.11762856886156549</v>
      </c>
      <c r="Z76" s="3">
        <v>10.5</v>
      </c>
      <c r="AA76" s="3">
        <v>7423.9067602318</v>
      </c>
      <c r="AB76" s="17">
        <v>1.3410465819196E-6</v>
      </c>
      <c r="AC76">
        <f t="shared" si="15"/>
        <v>9.9558047852986668E-3</v>
      </c>
      <c r="AE76" s="3">
        <v>10.5</v>
      </c>
      <c r="AF76" s="3">
        <v>7423.9067602318</v>
      </c>
      <c r="AG76" s="17">
        <v>3.8781232595786402E-5</v>
      </c>
      <c r="AH76">
        <f t="shared" si="16"/>
        <v>0.28790825483798049</v>
      </c>
      <c r="AJ76" s="3">
        <v>10.5</v>
      </c>
      <c r="AK76" s="3">
        <v>7423.9067602318</v>
      </c>
      <c r="AL76" s="17">
        <v>8.6546669766606903E-7</v>
      </c>
      <c r="AM76">
        <f t="shared" si="17"/>
        <v>6.4251440675586217E-3</v>
      </c>
      <c r="AO76" s="3">
        <v>10.5</v>
      </c>
      <c r="AP76" s="3">
        <v>7423.9067602318</v>
      </c>
      <c r="AQ76" s="17">
        <v>7.9510724748287503E-10</v>
      </c>
      <c r="AR76">
        <f t="shared" si="18"/>
        <v>5.902802069697415E-6</v>
      </c>
      <c r="AT76" s="3">
        <v>10.5</v>
      </c>
      <c r="AU76" s="3">
        <v>7423.9067602318</v>
      </c>
      <c r="AV76" s="17">
        <v>8.6252792441897705E-5</v>
      </c>
      <c r="AW76">
        <f t="shared" si="19"/>
        <v>0.64033268889827466</v>
      </c>
    </row>
    <row r="77" spans="1:49" x14ac:dyDescent="0.3">
      <c r="A77" s="3">
        <v>11</v>
      </c>
      <c r="B77" s="16">
        <v>8039.5354496730997</v>
      </c>
      <c r="C77" s="17">
        <v>2.8830470990301901E-7</v>
      </c>
      <c r="D77">
        <f t="shared" si="10"/>
        <v>2.3178359355730403E-3</v>
      </c>
      <c r="F77" s="3">
        <v>11</v>
      </c>
      <c r="G77" s="3">
        <v>8039.5354496730997</v>
      </c>
      <c r="H77" s="16">
        <v>1.37329912433336E-4</v>
      </c>
      <c r="I77">
        <f t="shared" si="11"/>
        <v>1.1040686993083073</v>
      </c>
      <c r="K77" s="3">
        <v>11</v>
      </c>
      <c r="L77" s="3">
        <v>8039.5354496730997</v>
      </c>
      <c r="M77" s="16">
        <v>4.2565483105301701E-4</v>
      </c>
      <c r="N77">
        <f t="shared" si="12"/>
        <v>3.4220671035753445</v>
      </c>
      <c r="P77" s="3">
        <v>11</v>
      </c>
      <c r="Q77" s="3">
        <v>8039.5354496730997</v>
      </c>
      <c r="R77" s="17">
        <v>7.6520651418476594E-5</v>
      </c>
      <c r="S77">
        <f t="shared" si="13"/>
        <v>0.61519048971092072</v>
      </c>
      <c r="U77" s="3">
        <v>11</v>
      </c>
      <c r="V77" s="3">
        <v>8039.5354496730997</v>
      </c>
      <c r="W77" s="17">
        <v>1.5756721556935701E-5</v>
      </c>
      <c r="X77">
        <f t="shared" si="14"/>
        <v>0.12667672152761289</v>
      </c>
      <c r="Z77" s="3">
        <v>11</v>
      </c>
      <c r="AA77" s="3">
        <v>8039.5354496730997</v>
      </c>
      <c r="AB77" s="17">
        <v>1.56209076847061E-6</v>
      </c>
      <c r="AC77">
        <f t="shared" si="15"/>
        <v>1.2558484108726564E-2</v>
      </c>
      <c r="AE77" s="3">
        <v>11</v>
      </c>
      <c r="AF77" s="3">
        <v>8039.5354496730997</v>
      </c>
      <c r="AG77" s="17">
        <v>4.98338838855855E-5</v>
      </c>
      <c r="AH77">
        <f t="shared" si="16"/>
        <v>0.40064127609305766</v>
      </c>
      <c r="AJ77" s="3">
        <v>11</v>
      </c>
      <c r="AK77" s="3">
        <v>8039.5354496730997</v>
      </c>
      <c r="AL77" s="17">
        <v>8.7214631699320898E-7</v>
      </c>
      <c r="AM77">
        <f t="shared" si="17"/>
        <v>7.0116512327687364E-3</v>
      </c>
      <c r="AO77" s="3">
        <v>11</v>
      </c>
      <c r="AP77" s="3">
        <v>8039.5354496730997</v>
      </c>
      <c r="AQ77" s="17">
        <v>8.3926777235217496E-10</v>
      </c>
      <c r="AR77">
        <f t="shared" si="18"/>
        <v>6.7473230075934837E-6</v>
      </c>
      <c r="AT77" s="3">
        <v>11</v>
      </c>
      <c r="AU77" s="3">
        <v>8039.5354496730997</v>
      </c>
      <c r="AV77" s="17">
        <v>8.8470264575774604E-5</v>
      </c>
      <c r="AW77">
        <f t="shared" si="19"/>
        <v>0.71125982829889822</v>
      </c>
    </row>
    <row r="78" spans="1:49" x14ac:dyDescent="0.3">
      <c r="A78" s="3">
        <v>11.5</v>
      </c>
      <c r="B78" s="16">
        <v>4909.49201139257</v>
      </c>
      <c r="C78" s="17">
        <v>3.10318550843283E-7</v>
      </c>
      <c r="D78">
        <f t="shared" si="10"/>
        <v>1.523506446352017E-3</v>
      </c>
      <c r="F78" s="3">
        <v>11.5</v>
      </c>
      <c r="G78" s="3">
        <v>4909.49201139257</v>
      </c>
      <c r="H78" s="16">
        <v>1.5407573759223701E-4</v>
      </c>
      <c r="I78">
        <f t="shared" si="11"/>
        <v>0.75643360285850547</v>
      </c>
      <c r="K78" s="3">
        <v>11.5</v>
      </c>
      <c r="L78" s="3">
        <v>4909.49201139257</v>
      </c>
      <c r="M78" s="16">
        <v>4.60474364476864E-4</v>
      </c>
      <c r="N78">
        <f t="shared" si="12"/>
        <v>2.2606952138502345</v>
      </c>
      <c r="P78" s="3">
        <v>11.5</v>
      </c>
      <c r="Q78" s="3">
        <v>4909.49201139257</v>
      </c>
      <c r="R78" s="17">
        <v>7.3674842068202696E-5</v>
      </c>
      <c r="S78">
        <f t="shared" si="13"/>
        <v>0.36170604857445038</v>
      </c>
      <c r="U78" s="3">
        <v>11.5</v>
      </c>
      <c r="V78" s="3">
        <v>4909.49201139257</v>
      </c>
      <c r="W78" s="17">
        <v>1.5527980758060101E-5</v>
      </c>
      <c r="X78">
        <f t="shared" si="14"/>
        <v>7.6234497484753611E-2</v>
      </c>
      <c r="Z78" s="3">
        <v>11.5</v>
      </c>
      <c r="AA78" s="3">
        <v>4909.49201139257</v>
      </c>
      <c r="AB78" s="17">
        <v>1.6357721639876099E-6</v>
      </c>
      <c r="AC78">
        <f t="shared" si="15"/>
        <v>8.0308103715555079E-3</v>
      </c>
      <c r="AE78" s="3">
        <v>11.5</v>
      </c>
      <c r="AF78" s="3">
        <v>4909.49201139257</v>
      </c>
      <c r="AG78" s="17">
        <v>5.3518100982185197E-5</v>
      </c>
      <c r="AH78">
        <f t="shared" si="16"/>
        <v>0.26274668923693906</v>
      </c>
      <c r="AJ78" s="3">
        <v>11.5</v>
      </c>
      <c r="AK78" s="3">
        <v>4909.49201139257</v>
      </c>
      <c r="AL78" s="17">
        <v>8.7814510933053804E-7</v>
      </c>
      <c r="AM78">
        <f t="shared" si="17"/>
        <v>4.3112463991017312E-3</v>
      </c>
      <c r="AO78" s="3">
        <v>11.5</v>
      </c>
      <c r="AP78" s="3">
        <v>4909.49201139257</v>
      </c>
      <c r="AQ78" s="17">
        <v>8.87410879023187E-10</v>
      </c>
      <c r="AR78">
        <f t="shared" si="18"/>
        <v>4.3567366213871948E-6</v>
      </c>
      <c r="AT78" s="3">
        <v>11.5</v>
      </c>
      <c r="AU78" s="3">
        <v>4909.49201139257</v>
      </c>
      <c r="AV78" s="17">
        <v>8.8363051890056495E-5</v>
      </c>
      <c r="AW78">
        <f t="shared" si="19"/>
        <v>0.4338176973564995</v>
      </c>
    </row>
    <row r="79" spans="1:49" x14ac:dyDescent="0.3">
      <c r="A79" s="3">
        <v>12</v>
      </c>
      <c r="B79" s="16">
        <v>3219.1377404320801</v>
      </c>
      <c r="C79" s="17">
        <v>3.2328979565118398E-7</v>
      </c>
      <c r="D79">
        <f t="shared" si="10"/>
        <v>1.0407143822773013E-3</v>
      </c>
      <c r="F79" s="3">
        <v>12</v>
      </c>
      <c r="G79" s="3">
        <v>3219.1377404320801</v>
      </c>
      <c r="H79" s="16">
        <v>1.6880994524604299E-4</v>
      </c>
      <c r="I79">
        <f t="shared" si="11"/>
        <v>0.54342246570180996</v>
      </c>
      <c r="K79" s="3">
        <v>12</v>
      </c>
      <c r="L79" s="3">
        <v>3219.1377404320801</v>
      </c>
      <c r="M79" s="16">
        <v>4.8031267278163302E-4</v>
      </c>
      <c r="N79">
        <f t="shared" si="12"/>
        <v>1.5461926521591591</v>
      </c>
      <c r="P79" s="3">
        <v>12</v>
      </c>
      <c r="Q79" s="3">
        <v>3219.1377404320801</v>
      </c>
      <c r="R79" s="17">
        <v>7.2726238951444699E-5</v>
      </c>
      <c r="S79">
        <f t="shared" si="13"/>
        <v>0.23411578052827722</v>
      </c>
      <c r="U79" s="3">
        <v>12</v>
      </c>
      <c r="V79" s="3">
        <v>3219.1377404320801</v>
      </c>
      <c r="W79" s="17">
        <v>1.5048248591046599E-5</v>
      </c>
      <c r="X79">
        <f t="shared" si="14"/>
        <v>4.8442384966841986E-2</v>
      </c>
      <c r="Z79" s="3">
        <v>12</v>
      </c>
      <c r="AA79" s="3">
        <v>3219.1377404320801</v>
      </c>
      <c r="AB79" s="17">
        <v>1.7644806201075399E-6</v>
      </c>
      <c r="AC79">
        <f t="shared" si="15"/>
        <v>5.6801061564491816E-3</v>
      </c>
      <c r="AE79" s="3">
        <v>12</v>
      </c>
      <c r="AF79" s="3">
        <v>3219.1377404320801</v>
      </c>
      <c r="AG79" s="17">
        <v>6.4764658434963296E-5</v>
      </c>
      <c r="AH79">
        <f t="shared" si="16"/>
        <v>0.20848635621418321</v>
      </c>
      <c r="AJ79" s="3">
        <v>12</v>
      </c>
      <c r="AK79" s="3">
        <v>3219.1377404320801</v>
      </c>
      <c r="AL79" s="17">
        <v>8.9555377786122105E-7</v>
      </c>
      <c r="AM79">
        <f t="shared" si="17"/>
        <v>2.8829109648995841E-3</v>
      </c>
      <c r="AO79" s="3">
        <v>12</v>
      </c>
      <c r="AP79" s="3">
        <v>3219.1377404320801</v>
      </c>
      <c r="AQ79" s="17">
        <v>9.3064583117393599E-10</v>
      </c>
      <c r="AR79">
        <f t="shared" si="18"/>
        <v>2.9958771181077995E-6</v>
      </c>
      <c r="AT79" s="3">
        <v>12</v>
      </c>
      <c r="AU79" s="3">
        <v>3219.1377404320801</v>
      </c>
      <c r="AV79" s="17">
        <v>8.6129516531490094E-5</v>
      </c>
      <c r="AW79">
        <f t="shared" si="19"/>
        <v>0.27726277723168852</v>
      </c>
    </row>
    <row r="80" spans="1:49" x14ac:dyDescent="0.3">
      <c r="A80" s="3">
        <v>12.5</v>
      </c>
      <c r="B80" s="16">
        <v>3533.8920725967</v>
      </c>
      <c r="C80" s="17">
        <v>3.2712756546088598E-7</v>
      </c>
      <c r="D80">
        <f t="shared" si="10"/>
        <v>1.1560335103100829E-3</v>
      </c>
      <c r="F80" s="3">
        <v>12.5</v>
      </c>
      <c r="G80" s="3">
        <v>3533.8920725967</v>
      </c>
      <c r="H80" s="16">
        <v>1.78191456318553E-4</v>
      </c>
      <c r="I80">
        <f t="shared" si="11"/>
        <v>0.62970937488859557</v>
      </c>
      <c r="K80" s="3">
        <v>12.5</v>
      </c>
      <c r="L80" s="3">
        <v>3533.8920725967</v>
      </c>
      <c r="M80" s="16">
        <v>5.0183012743098296E-4</v>
      </c>
      <c r="N80">
        <f t="shared" si="12"/>
        <v>1.7734135091185426</v>
      </c>
      <c r="P80" s="3">
        <v>12.5</v>
      </c>
      <c r="Q80" s="3">
        <v>3533.8920725967</v>
      </c>
      <c r="R80" s="17">
        <v>6.9817189393386905E-5</v>
      </c>
      <c r="S80">
        <f t="shared" si="13"/>
        <v>0.2467264121282724</v>
      </c>
      <c r="U80" s="3">
        <v>12.5</v>
      </c>
      <c r="V80" s="3">
        <v>3533.8920725967</v>
      </c>
      <c r="W80" s="17">
        <v>1.45265350929127E-5</v>
      </c>
      <c r="X80">
        <f t="shared" si="14"/>
        <v>5.1335207207141957E-2</v>
      </c>
      <c r="Z80" s="3">
        <v>12.5</v>
      </c>
      <c r="AA80" s="3">
        <v>3533.8920725967</v>
      </c>
      <c r="AB80" s="17">
        <v>1.80738343881418E-6</v>
      </c>
      <c r="AC80">
        <f t="shared" si="15"/>
        <v>6.3870980065679935E-3</v>
      </c>
      <c r="AE80" s="3">
        <v>12.5</v>
      </c>
      <c r="AF80" s="3">
        <v>3533.8920725967</v>
      </c>
      <c r="AG80" s="17">
        <v>6.8513510919222605E-5</v>
      </c>
      <c r="AH80">
        <f t="shared" si="16"/>
        <v>0.2421193531032082</v>
      </c>
      <c r="AJ80" s="3">
        <v>12.5</v>
      </c>
      <c r="AK80" s="3">
        <v>3533.8920725967</v>
      </c>
      <c r="AL80" s="17">
        <v>9.22944097040347E-7</v>
      </c>
      <c r="AM80">
        <f t="shared" si="17"/>
        <v>3.2615848279808016E-3</v>
      </c>
      <c r="AO80" s="3">
        <v>12.5</v>
      </c>
      <c r="AP80" s="3">
        <v>3533.8920725967</v>
      </c>
      <c r="AQ80" s="17">
        <v>9.661612954850469E-10</v>
      </c>
      <c r="AR80">
        <f t="shared" si="18"/>
        <v>3.4143097429643653E-6</v>
      </c>
      <c r="AT80" s="3">
        <v>12.5</v>
      </c>
      <c r="AU80" s="3">
        <v>3533.8920725967</v>
      </c>
      <c r="AV80" s="17">
        <v>8.0649341968825998E-5</v>
      </c>
      <c r="AW80">
        <f t="shared" si="19"/>
        <v>0.28500607024377456</v>
      </c>
    </row>
    <row r="81" spans="1:49" x14ac:dyDescent="0.3">
      <c r="A81" s="3">
        <v>13</v>
      </c>
      <c r="B81" s="16">
        <v>2199.45992667871</v>
      </c>
      <c r="C81" s="17">
        <v>3.2012542333914698E-7</v>
      </c>
      <c r="D81">
        <f t="shared" si="10"/>
        <v>7.0410304014551124E-4</v>
      </c>
      <c r="F81" s="3">
        <v>13</v>
      </c>
      <c r="G81" s="3">
        <v>2199.45992667871</v>
      </c>
      <c r="H81" s="16">
        <v>1.91974491214776E-4</v>
      </c>
      <c r="I81">
        <f t="shared" si="11"/>
        <v>0.42224020037143384</v>
      </c>
      <c r="K81" s="3">
        <v>13</v>
      </c>
      <c r="L81" s="3">
        <v>2199.45992667871</v>
      </c>
      <c r="M81" s="16">
        <v>5.1872387602209602E-4</v>
      </c>
      <c r="N81">
        <f t="shared" si="12"/>
        <v>1.1409123783220556</v>
      </c>
      <c r="P81" s="3">
        <v>13</v>
      </c>
      <c r="Q81" s="3">
        <v>2199.45992667871</v>
      </c>
      <c r="R81" s="17">
        <v>6.5272748062038306E-5</v>
      </c>
      <c r="S81">
        <f t="shared" si="13"/>
        <v>0.14356479366664868</v>
      </c>
      <c r="U81" s="3">
        <v>13</v>
      </c>
      <c r="V81" s="3">
        <v>2199.45992667871</v>
      </c>
      <c r="W81" s="17">
        <v>1.37001464770874E-5</v>
      </c>
      <c r="X81">
        <f t="shared" si="14"/>
        <v>3.0132923165982237E-2</v>
      </c>
      <c r="Z81" s="3">
        <v>13</v>
      </c>
      <c r="AA81" s="3">
        <v>2199.45992667871</v>
      </c>
      <c r="AB81" s="17">
        <v>1.8645405791823899E-6</v>
      </c>
      <c r="AC81">
        <f t="shared" si="15"/>
        <v>4.1009822855779792E-3</v>
      </c>
      <c r="AE81" s="3">
        <v>13</v>
      </c>
      <c r="AF81" s="3">
        <v>2199.45992667871</v>
      </c>
      <c r="AG81" s="17">
        <v>7.6269757438379905E-5</v>
      </c>
      <c r="AH81">
        <f t="shared" si="16"/>
        <v>0.16775227510322205</v>
      </c>
      <c r="AJ81" s="3">
        <v>13</v>
      </c>
      <c r="AK81" s="3">
        <v>2199.45992667871</v>
      </c>
      <c r="AL81" s="17">
        <v>9.4674567791145898E-7</v>
      </c>
      <c r="AM81">
        <f t="shared" si="17"/>
        <v>2.0823291793225229E-3</v>
      </c>
      <c r="AO81" s="3">
        <v>13</v>
      </c>
      <c r="AP81" s="3">
        <v>2199.45992667871</v>
      </c>
      <c r="AQ81" s="17">
        <v>1.0033373686683199E-9</v>
      </c>
      <c r="AR81">
        <f t="shared" si="18"/>
        <v>2.2068003353252325E-6</v>
      </c>
      <c r="AT81" s="3">
        <v>13</v>
      </c>
      <c r="AU81" s="3">
        <v>2199.45992667871</v>
      </c>
      <c r="AV81" s="17">
        <v>7.2351752508301398E-5</v>
      </c>
      <c r="AW81">
        <f t="shared" si="19"/>
        <v>0.15913478026698477</v>
      </c>
    </row>
    <row r="82" spans="1:49" x14ac:dyDescent="0.3">
      <c r="A82" s="3">
        <v>13.5</v>
      </c>
      <c r="B82" s="16">
        <v>1528.67348260995</v>
      </c>
      <c r="C82" s="17">
        <v>2.91751551607882E-7</v>
      </c>
      <c r="D82">
        <f t="shared" si="10"/>
        <v>4.4599286045327757E-4</v>
      </c>
      <c r="F82" s="3">
        <v>13.5</v>
      </c>
      <c r="G82" s="3">
        <v>1528.67348260995</v>
      </c>
      <c r="H82" s="16">
        <v>1.9814482497444599E-4</v>
      </c>
      <c r="I82">
        <f t="shared" si="11"/>
        <v>0.30289873965482539</v>
      </c>
      <c r="K82" s="3">
        <v>13.5</v>
      </c>
      <c r="L82" s="3">
        <v>1528.67348260995</v>
      </c>
      <c r="M82" s="16">
        <v>5.2417588301212001E-4</v>
      </c>
      <c r="N82">
        <f t="shared" si="12"/>
        <v>0.80129377258428325</v>
      </c>
      <c r="P82" s="3">
        <v>13.5</v>
      </c>
      <c r="Q82" s="3">
        <v>1528.67348260995</v>
      </c>
      <c r="R82" s="17">
        <v>6.0584119056942603E-5</v>
      </c>
      <c r="S82">
        <f t="shared" si="13"/>
        <v>9.2613336269632293E-2</v>
      </c>
      <c r="U82" s="3">
        <v>13.5</v>
      </c>
      <c r="V82" s="3">
        <v>1528.67348260995</v>
      </c>
      <c r="W82" s="17">
        <v>1.25733829056941E-5</v>
      </c>
      <c r="X82">
        <f t="shared" si="14"/>
        <v>1.9220597034635814E-2</v>
      </c>
      <c r="Z82" s="3">
        <v>13.5</v>
      </c>
      <c r="AA82" s="3">
        <v>1528.67348260995</v>
      </c>
      <c r="AB82" s="17">
        <v>1.8952115762066201E-6</v>
      </c>
      <c r="AC82">
        <f t="shared" si="15"/>
        <v>2.8971596804824667E-3</v>
      </c>
      <c r="AE82" s="3">
        <v>13.5</v>
      </c>
      <c r="AF82" s="3">
        <v>1528.67348260995</v>
      </c>
      <c r="AG82" s="17">
        <v>7.8855172944765594E-5</v>
      </c>
      <c r="AH82">
        <f t="shared" si="16"/>
        <v>0.12054381184728473</v>
      </c>
      <c r="AJ82" s="3">
        <v>13.5</v>
      </c>
      <c r="AK82" s="3">
        <v>1528.67348260995</v>
      </c>
      <c r="AL82" s="17">
        <v>9.798248028140769E-7</v>
      </c>
      <c r="AM82">
        <f t="shared" si="17"/>
        <v>1.4978321936654024E-3</v>
      </c>
      <c r="AO82" s="3">
        <v>13.5</v>
      </c>
      <c r="AP82" s="3">
        <v>1528.67348260995</v>
      </c>
      <c r="AQ82" s="17">
        <v>1.0368681281495499E-9</v>
      </c>
      <c r="AR82">
        <f t="shared" si="18"/>
        <v>1.5850328124656325E-6</v>
      </c>
      <c r="AT82" s="3">
        <v>13.5</v>
      </c>
      <c r="AU82" s="3">
        <v>1528.67348260995</v>
      </c>
      <c r="AV82" s="17">
        <v>6.6297504444671194E-5</v>
      </c>
      <c r="AW82">
        <f t="shared" si="19"/>
        <v>0.10134723700778416</v>
      </c>
    </row>
    <row r="83" spans="1:49" x14ac:dyDescent="0.3">
      <c r="A83" s="3">
        <v>14</v>
      </c>
      <c r="B83" s="16">
        <v>1726.6734723909301</v>
      </c>
      <c r="C83" s="17">
        <v>2.5572240177484E-7</v>
      </c>
      <c r="D83">
        <f t="shared" si="10"/>
        <v>4.4154908744071153E-4</v>
      </c>
      <c r="F83" s="3">
        <v>14</v>
      </c>
      <c r="G83" s="3">
        <v>1726.6734723909301</v>
      </c>
      <c r="H83" s="16">
        <v>1.9823466892531701E-4</v>
      </c>
      <c r="I83">
        <f t="shared" si="11"/>
        <v>0.34228654414154353</v>
      </c>
      <c r="K83" s="3">
        <v>14</v>
      </c>
      <c r="L83" s="3">
        <v>1726.6734723909301</v>
      </c>
      <c r="M83" s="16">
        <v>5.1866125246374502E-4</v>
      </c>
      <c r="N83">
        <f t="shared" si="12"/>
        <v>0.89555862578620349</v>
      </c>
      <c r="P83" s="3">
        <v>14</v>
      </c>
      <c r="Q83" s="3">
        <v>1726.6734723909301</v>
      </c>
      <c r="R83" s="17">
        <v>5.0630110351762201E-5</v>
      </c>
      <c r="S83">
        <f t="shared" si="13"/>
        <v>8.742166844861321E-2</v>
      </c>
      <c r="U83" s="3">
        <v>14</v>
      </c>
      <c r="V83" s="3">
        <v>1726.6734723909301</v>
      </c>
      <c r="W83" s="17">
        <v>1.1426553628717999E-5</v>
      </c>
      <c r="X83">
        <f t="shared" si="14"/>
        <v>1.972992703155969E-2</v>
      </c>
      <c r="Z83" s="3">
        <v>14</v>
      </c>
      <c r="AA83" s="3">
        <v>1726.6734723909301</v>
      </c>
      <c r="AB83" s="17">
        <v>1.8891010443547201E-6</v>
      </c>
      <c r="AC83">
        <f t="shared" si="15"/>
        <v>3.261860659953297E-3</v>
      </c>
      <c r="AE83" s="3">
        <v>14</v>
      </c>
      <c r="AF83" s="3">
        <v>1726.6734723909301</v>
      </c>
      <c r="AG83" s="17">
        <v>8.2733296204344305E-5</v>
      </c>
      <c r="AH83">
        <f t="shared" si="16"/>
        <v>0.14285338783950255</v>
      </c>
      <c r="AJ83" s="3">
        <v>14</v>
      </c>
      <c r="AK83" s="3">
        <v>1726.6734723909301</v>
      </c>
      <c r="AL83" s="17">
        <v>1.0212257817925E-6</v>
      </c>
      <c r="AM83">
        <f t="shared" si="17"/>
        <v>1.7633234667427983E-3</v>
      </c>
      <c r="AO83" s="3">
        <v>14</v>
      </c>
      <c r="AP83" s="3">
        <v>1726.6734723909301</v>
      </c>
      <c r="AQ83" s="17">
        <v>1.0627559820117701E-9</v>
      </c>
      <c r="AR83">
        <f t="shared" si="18"/>
        <v>1.835032561764496E-6</v>
      </c>
      <c r="AT83" s="3">
        <v>14</v>
      </c>
      <c r="AU83" s="3">
        <v>1726.6734723909301</v>
      </c>
      <c r="AV83" s="17">
        <v>6.1588644839625402E-5</v>
      </c>
      <c r="AW83">
        <f t="shared" si="19"/>
        <v>0.10634347924508773</v>
      </c>
    </row>
    <row r="84" spans="1:49" x14ac:dyDescent="0.3">
      <c r="A84" s="3">
        <v>14.5</v>
      </c>
      <c r="B84" s="16">
        <v>685.13778349903305</v>
      </c>
      <c r="C84" s="17">
        <v>2.19909573438837E-7</v>
      </c>
      <c r="D84">
        <f t="shared" si="10"/>
        <v>1.506683577161026E-4</v>
      </c>
      <c r="F84" s="3">
        <v>14.5</v>
      </c>
      <c r="G84" s="3">
        <v>685.13778349903305</v>
      </c>
      <c r="H84" s="16">
        <v>1.94544486013263E-4</v>
      </c>
      <c r="I84">
        <f t="shared" si="11"/>
        <v>0.13328977793908564</v>
      </c>
      <c r="K84" s="3">
        <v>14.5</v>
      </c>
      <c r="L84" s="3">
        <v>685.13778349903305</v>
      </c>
      <c r="M84" s="16">
        <v>5.0229020183966701E-4</v>
      </c>
      <c r="N84">
        <f t="shared" si="12"/>
        <v>0.34413799556171137</v>
      </c>
      <c r="P84" s="3">
        <v>14.5</v>
      </c>
      <c r="Q84" s="3">
        <v>685.13778349903305</v>
      </c>
      <c r="R84" s="17">
        <v>4.3994104548308703E-5</v>
      </c>
      <c r="S84">
        <f t="shared" si="13"/>
        <v>3.0142023277252954E-2</v>
      </c>
      <c r="U84" s="3">
        <v>14.5</v>
      </c>
      <c r="V84" s="3">
        <v>685.13778349903305</v>
      </c>
      <c r="W84" s="17">
        <v>1.0158183580111401E-5</v>
      </c>
      <c r="X84">
        <f t="shared" si="14"/>
        <v>6.9597553824537976E-3</v>
      </c>
      <c r="Z84" s="3">
        <v>14.5</v>
      </c>
      <c r="AA84" s="3">
        <v>685.13778349903305</v>
      </c>
      <c r="AB84" s="17">
        <v>1.8180553535977801E-6</v>
      </c>
      <c r="AC84">
        <f t="shared" si="15"/>
        <v>1.2456184152425339E-3</v>
      </c>
      <c r="AE84" s="3">
        <v>14.5</v>
      </c>
      <c r="AF84" s="3">
        <v>685.13778349903305</v>
      </c>
      <c r="AG84" s="17">
        <v>8.2733296204344305E-5</v>
      </c>
      <c r="AH84">
        <f t="shared" si="16"/>
        <v>5.6683707183013424E-2</v>
      </c>
      <c r="AJ84" s="3">
        <v>14.5</v>
      </c>
      <c r="AK84" s="3">
        <v>685.13778349903305</v>
      </c>
      <c r="AL84" s="17">
        <v>1.0637400987278599E-6</v>
      </c>
      <c r="AM84">
        <f t="shared" si="17"/>
        <v>7.2880853346144858E-4</v>
      </c>
      <c r="AO84" s="3">
        <v>14.5</v>
      </c>
      <c r="AP84" s="3">
        <v>685.13778349903305</v>
      </c>
      <c r="AQ84" s="17">
        <v>1.0721357723947E-9</v>
      </c>
      <c r="AR84">
        <f t="shared" si="18"/>
        <v>7.3456072670852852E-7</v>
      </c>
      <c r="AT84" s="3">
        <v>14.5</v>
      </c>
      <c r="AU84" s="3">
        <v>685.13778349903305</v>
      </c>
      <c r="AV84" s="17">
        <v>5.5252263044675897E-5</v>
      </c>
      <c r="AW84">
        <f t="shared" si="19"/>
        <v>3.7855413035734781E-2</v>
      </c>
    </row>
    <row r="85" spans="1:49" x14ac:dyDescent="0.3">
      <c r="A85" s="3">
        <v>15</v>
      </c>
      <c r="B85" s="16">
        <v>736.08806367823502</v>
      </c>
      <c r="C85" s="17">
        <v>1.9033163122612701E-7</v>
      </c>
      <c r="D85">
        <f t="shared" si="10"/>
        <v>1.4010084188595973E-4</v>
      </c>
      <c r="F85" s="3">
        <v>15</v>
      </c>
      <c r="G85" s="3">
        <v>736.08806367823502</v>
      </c>
      <c r="H85" s="16">
        <v>1.88083446985806E-4</v>
      </c>
      <c r="I85">
        <f t="shared" si="11"/>
        <v>0.1384459803017099</v>
      </c>
      <c r="K85" s="3">
        <v>15</v>
      </c>
      <c r="L85" s="3">
        <v>736.08806367823502</v>
      </c>
      <c r="M85" s="16">
        <v>4.7107862035760702E-4</v>
      </c>
      <c r="N85">
        <f t="shared" si="12"/>
        <v>0.34675534949924536</v>
      </c>
      <c r="P85" s="3">
        <v>15</v>
      </c>
      <c r="Q85" s="3">
        <v>736.08806367823502</v>
      </c>
      <c r="R85" s="17">
        <v>4.06761016465819E-5</v>
      </c>
      <c r="S85">
        <f t="shared" si="13"/>
        <v>2.9941192899011537E-2</v>
      </c>
      <c r="U85" s="3">
        <v>15</v>
      </c>
      <c r="V85" s="3">
        <v>736.08806367823502</v>
      </c>
      <c r="W85" s="17">
        <v>9.1857801123613003E-6</v>
      </c>
      <c r="X85">
        <f t="shared" si="14"/>
        <v>6.7615430962820692E-3</v>
      </c>
      <c r="Z85" s="3">
        <v>15</v>
      </c>
      <c r="AA85" s="3">
        <v>736.08806367823502</v>
      </c>
      <c r="AB85" s="17">
        <v>1.7290653545151999E-6</v>
      </c>
      <c r="AC85">
        <f t="shared" si="15"/>
        <v>1.2727443687782145E-3</v>
      </c>
      <c r="AE85" s="3">
        <v>15</v>
      </c>
      <c r="AF85" s="3">
        <v>736.08806367823502</v>
      </c>
      <c r="AG85" s="17">
        <v>8.0794234574554997E-5</v>
      </c>
      <c r="AH85">
        <f t="shared" si="16"/>
        <v>5.9471671684349296E-2</v>
      </c>
      <c r="AJ85" s="3">
        <v>15</v>
      </c>
      <c r="AK85" s="3">
        <v>736.08806367823502</v>
      </c>
      <c r="AL85" s="17">
        <v>1.10766671304221E-6</v>
      </c>
      <c r="AM85">
        <f t="shared" si="17"/>
        <v>8.1534024600407563E-4</v>
      </c>
      <c r="AO85" s="3">
        <v>15</v>
      </c>
      <c r="AP85" s="3">
        <v>736.08806367823502</v>
      </c>
      <c r="AQ85" s="17">
        <v>1.0543533807641E-9</v>
      </c>
      <c r="AR85">
        <f t="shared" si="18"/>
        <v>7.760969384792472E-7</v>
      </c>
      <c r="AT85" s="3">
        <v>15</v>
      </c>
      <c r="AU85" s="3">
        <v>736.08806367823502</v>
      </c>
      <c r="AV85" s="17">
        <v>4.8353294822230102E-5</v>
      </c>
      <c r="AW85">
        <f t="shared" si="19"/>
        <v>3.5592283158158183E-2</v>
      </c>
    </row>
    <row r="86" spans="1:49" x14ac:dyDescent="0.3">
      <c r="A86" s="3">
        <v>15.5</v>
      </c>
      <c r="B86" s="16">
        <v>2160.5103841374998</v>
      </c>
      <c r="C86" s="17">
        <v>1.5346432498111301E-7</v>
      </c>
      <c r="D86">
        <f t="shared" si="10"/>
        <v>3.3156126771634656E-4</v>
      </c>
      <c r="F86" s="3">
        <v>15.5</v>
      </c>
      <c r="G86" s="3">
        <v>2160.5103841374998</v>
      </c>
      <c r="H86" s="16">
        <v>1.76709889510875E-4</v>
      </c>
      <c r="I86">
        <f t="shared" si="11"/>
        <v>0.3817835512680357</v>
      </c>
      <c r="K86" s="3">
        <v>15.5</v>
      </c>
      <c r="L86" s="3">
        <v>2160.5103841374998</v>
      </c>
      <c r="M86" s="16">
        <v>4.4672932839963202E-4</v>
      </c>
      <c r="N86">
        <f t="shared" si="12"/>
        <v>0.96516335290617628</v>
      </c>
      <c r="P86" s="3">
        <v>15.5</v>
      </c>
      <c r="Q86" s="3">
        <v>2160.5103841374998</v>
      </c>
      <c r="R86" s="17">
        <v>3.2347366281446898E-5</v>
      </c>
      <c r="S86">
        <f t="shared" si="13"/>
        <v>6.9886820750565251E-2</v>
      </c>
      <c r="U86" s="3">
        <v>15.5</v>
      </c>
      <c r="V86" s="3">
        <v>2160.5103841374998</v>
      </c>
      <c r="W86" s="17">
        <v>8.0465025281257393E-6</v>
      </c>
      <c r="X86">
        <f t="shared" si="14"/>
        <v>1.7384552268004304E-2</v>
      </c>
      <c r="Z86" s="3">
        <v>15.5</v>
      </c>
      <c r="AA86" s="3">
        <v>2160.5103841374998</v>
      </c>
      <c r="AB86" s="17">
        <v>1.57430107419579E-6</v>
      </c>
      <c r="AC86">
        <f t="shared" si="15"/>
        <v>3.401293818558825E-3</v>
      </c>
      <c r="AE86" s="3">
        <v>15.5</v>
      </c>
      <c r="AF86" s="3">
        <v>2160.5103841374998</v>
      </c>
      <c r="AG86" s="17">
        <v>8.0147880697958493E-5</v>
      </c>
      <c r="AH86">
        <f t="shared" si="16"/>
        <v>0.17316032851455282</v>
      </c>
      <c r="AJ86" s="3">
        <v>15.5</v>
      </c>
      <c r="AK86" s="3">
        <v>2160.5103841374998</v>
      </c>
      <c r="AL86" s="17">
        <v>1.1304358220295599E-6</v>
      </c>
      <c r="AM86">
        <f t="shared" si="17"/>
        <v>2.4423183320958749E-3</v>
      </c>
      <c r="AO86" s="3">
        <v>15.5</v>
      </c>
      <c r="AP86" s="3">
        <v>2160.5103841374998</v>
      </c>
      <c r="AQ86" s="17">
        <v>1.0046331398413999E-9</v>
      </c>
      <c r="AR86">
        <f t="shared" si="18"/>
        <v>2.1705203308760054E-6</v>
      </c>
      <c r="AT86" s="3">
        <v>15.5</v>
      </c>
      <c r="AU86" s="3">
        <v>2160.5103841374998</v>
      </c>
      <c r="AV86" s="17">
        <v>4.3130878981327301E-5</v>
      </c>
      <c r="AW86">
        <f t="shared" si="19"/>
        <v>9.3184711916135463E-2</v>
      </c>
    </row>
    <row r="87" spans="1:49" x14ac:dyDescent="0.3">
      <c r="A87" s="3">
        <v>16</v>
      </c>
      <c r="B87" s="16">
        <v>475.518266958227</v>
      </c>
      <c r="C87" s="17">
        <v>1.19791023517669E-7</v>
      </c>
      <c r="D87">
        <f t="shared" si="10"/>
        <v>5.6962819900274174E-5</v>
      </c>
      <c r="F87" s="3">
        <v>16</v>
      </c>
      <c r="G87" s="3">
        <v>475.518266958227</v>
      </c>
      <c r="H87" s="16">
        <v>1.57011317155144E-4</v>
      </c>
      <c r="I87">
        <f t="shared" si="11"/>
        <v>7.4661749426442617E-2</v>
      </c>
      <c r="K87" s="3">
        <v>16</v>
      </c>
      <c r="L87" s="3">
        <v>475.518266958227</v>
      </c>
      <c r="M87" s="16">
        <v>4.1436923085741699E-4</v>
      </c>
      <c r="N87">
        <f t="shared" si="12"/>
        <v>0.1970401385381324</v>
      </c>
      <c r="P87" s="3">
        <v>16</v>
      </c>
      <c r="Q87" s="3">
        <v>475.518266958227</v>
      </c>
      <c r="R87" s="17">
        <v>2.67948760380235E-5</v>
      </c>
      <c r="S87">
        <f t="shared" si="13"/>
        <v>1.2741453016961458E-2</v>
      </c>
      <c r="U87" s="3">
        <v>16</v>
      </c>
      <c r="V87" s="3">
        <v>475.518266958227</v>
      </c>
      <c r="W87" s="17">
        <v>6.9937872847307403E-6</v>
      </c>
      <c r="X87">
        <f t="shared" si="14"/>
        <v>3.3256736091096459E-3</v>
      </c>
      <c r="Z87" s="3">
        <v>16</v>
      </c>
      <c r="AA87" s="3">
        <v>475.518266958227</v>
      </c>
      <c r="AB87" s="17">
        <v>1.39303774095808E-6</v>
      </c>
      <c r="AC87">
        <f t="shared" si="15"/>
        <v>6.624148923877897E-4</v>
      </c>
      <c r="AE87" s="3">
        <v>16</v>
      </c>
      <c r="AF87" s="3">
        <v>475.518266958227</v>
      </c>
      <c r="AG87" s="17">
        <v>7.5300226623485197E-5</v>
      </c>
      <c r="AH87">
        <f t="shared" si="16"/>
        <v>3.5806633265561424E-2</v>
      </c>
      <c r="AJ87" s="3">
        <v>16</v>
      </c>
      <c r="AK87" s="3">
        <v>475.518266958227</v>
      </c>
      <c r="AL87" s="17">
        <v>1.13861636468456E-6</v>
      </c>
      <c r="AM87">
        <f t="shared" si="17"/>
        <v>5.4143288046507856E-4</v>
      </c>
      <c r="AO87" s="3">
        <v>16</v>
      </c>
      <c r="AP87" s="3">
        <v>475.518266958227</v>
      </c>
      <c r="AQ87" s="17">
        <v>9.2769496504856896E-10</v>
      </c>
      <c r="AR87">
        <f t="shared" si="18"/>
        <v>4.4113590204576847E-7</v>
      </c>
      <c r="AT87" s="3">
        <v>16</v>
      </c>
      <c r="AU87" s="3">
        <v>475.518266958227</v>
      </c>
      <c r="AV87" s="17">
        <v>3.89697566600242E-5</v>
      </c>
      <c r="AW87">
        <f t="shared" si="19"/>
        <v>1.8530831150758532E-2</v>
      </c>
    </row>
    <row r="88" spans="1:49" x14ac:dyDescent="0.3">
      <c r="A88" s="3">
        <v>16.5</v>
      </c>
      <c r="B88" s="16">
        <v>419.80199319029902</v>
      </c>
      <c r="C88" s="17">
        <v>8.7030786488725806E-8</v>
      </c>
      <c r="D88">
        <f t="shared" si="10"/>
        <v>3.653569763688644E-5</v>
      </c>
      <c r="F88" s="3">
        <v>16.5</v>
      </c>
      <c r="G88" s="3">
        <v>419.80199319029902</v>
      </c>
      <c r="H88" s="16">
        <v>1.504451263699E-4</v>
      </c>
      <c r="I88">
        <f t="shared" si="11"/>
        <v>6.3157163915850439E-2</v>
      </c>
      <c r="K88" s="3">
        <v>16.5</v>
      </c>
      <c r="L88" s="3">
        <v>419.80199319029902</v>
      </c>
      <c r="M88" s="16">
        <v>3.8132803949457802E-4</v>
      </c>
      <c r="N88">
        <f t="shared" si="12"/>
        <v>0.16008227103917291</v>
      </c>
      <c r="P88" s="3">
        <v>16.5</v>
      </c>
      <c r="Q88" s="3">
        <v>419.80199319029902</v>
      </c>
      <c r="R88" s="17">
        <v>2.40186309163119E-5</v>
      </c>
      <c r="S88">
        <f t="shared" si="13"/>
        <v>1.0083069132369874E-2</v>
      </c>
      <c r="U88" s="3">
        <v>16.5</v>
      </c>
      <c r="V88" s="3">
        <v>419.80199319029902</v>
      </c>
      <c r="W88" s="17">
        <v>6.1352131534790097E-6</v>
      </c>
      <c r="X88">
        <f t="shared" si="14"/>
        <v>2.5755747104778282E-3</v>
      </c>
      <c r="Z88" s="3">
        <v>16.5</v>
      </c>
      <c r="AA88" s="3">
        <v>419.80199319029902</v>
      </c>
      <c r="AB88" s="17">
        <v>1.2462644871520399E-6</v>
      </c>
      <c r="AC88">
        <f t="shared" si="15"/>
        <v>5.2318431574871211E-4</v>
      </c>
      <c r="AE88" s="3">
        <v>16.5</v>
      </c>
      <c r="AF88" s="3">
        <v>419.80199319029902</v>
      </c>
      <c r="AG88" s="17">
        <v>7.3684341931994107E-5</v>
      </c>
      <c r="AH88">
        <f t="shared" si="16"/>
        <v>3.0932833609966653E-2</v>
      </c>
      <c r="AJ88" s="3">
        <v>16.5</v>
      </c>
      <c r="AK88" s="3">
        <v>419.80199319029902</v>
      </c>
      <c r="AL88" s="17">
        <v>1.1453772584993801E-6</v>
      </c>
      <c r="AM88">
        <f t="shared" si="17"/>
        <v>4.8083165607288014E-4</v>
      </c>
      <c r="AO88" s="3">
        <v>16.5</v>
      </c>
      <c r="AP88" s="3">
        <v>419.80199319029902</v>
      </c>
      <c r="AQ88" s="17">
        <v>8.3450389873558099E-10</v>
      </c>
      <c r="AR88">
        <f t="shared" si="18"/>
        <v>3.5032640001427235E-7</v>
      </c>
      <c r="AT88" s="3">
        <v>16.5</v>
      </c>
      <c r="AU88" s="3">
        <v>419.80199319029902</v>
      </c>
      <c r="AV88" s="17">
        <v>3.4066737496086501E-5</v>
      </c>
      <c r="AW88">
        <f t="shared" si="19"/>
        <v>1.4301284302347809E-2</v>
      </c>
    </row>
    <row r="89" spans="1:49" x14ac:dyDescent="0.3">
      <c r="A89" s="3">
        <v>17</v>
      </c>
      <c r="B89" s="16">
        <v>604.31665183673204</v>
      </c>
      <c r="C89" s="17">
        <v>6.6926653177680394E-8</v>
      </c>
      <c r="D89">
        <f t="shared" si="10"/>
        <v>4.0444890966974001E-5</v>
      </c>
      <c r="F89" s="3">
        <v>17</v>
      </c>
      <c r="G89" s="3">
        <v>604.31665183673204</v>
      </c>
      <c r="H89" s="16">
        <v>1.3738553556725199E-4</v>
      </c>
      <c r="I89">
        <f t="shared" si="11"/>
        <v>8.3024366864797985E-2</v>
      </c>
      <c r="K89" s="3">
        <v>17</v>
      </c>
      <c r="L89" s="3">
        <v>604.31665183673204</v>
      </c>
      <c r="M89" s="16">
        <v>3.4343928372691801E-4</v>
      </c>
      <c r="N89">
        <f t="shared" si="12"/>
        <v>0.20754607805105654</v>
      </c>
      <c r="P89" s="3">
        <v>17</v>
      </c>
      <c r="Q89" s="3">
        <v>604.31665183673204</v>
      </c>
      <c r="R89" s="17">
        <v>1.9667704620781999E-5</v>
      </c>
      <c r="S89">
        <f t="shared" si="13"/>
        <v>1.1885521405744802E-2</v>
      </c>
      <c r="U89" s="3">
        <v>17</v>
      </c>
      <c r="V89" s="3">
        <v>604.31665183673204</v>
      </c>
      <c r="W89" s="17">
        <v>5.4023949318051299E-6</v>
      </c>
      <c r="X89">
        <f t="shared" si="14"/>
        <v>3.2647572170882064E-3</v>
      </c>
      <c r="Z89" s="3">
        <v>17</v>
      </c>
      <c r="AA89" s="3">
        <v>604.31665183673204</v>
      </c>
      <c r="AB89" s="17">
        <v>1.13765623827171E-6</v>
      </c>
      <c r="AC89">
        <f t="shared" si="15"/>
        <v>6.875046088535312E-4</v>
      </c>
      <c r="AE89" s="3">
        <v>17</v>
      </c>
      <c r="AF89" s="3">
        <v>604.31665183673204</v>
      </c>
      <c r="AG89" s="17">
        <v>6.8351922450073503E-5</v>
      </c>
      <c r="AH89">
        <f t="shared" si="16"/>
        <v>4.1306204921632381E-2</v>
      </c>
      <c r="AJ89" s="3">
        <v>17</v>
      </c>
      <c r="AK89" s="3">
        <v>604.31665183673204</v>
      </c>
      <c r="AL89" s="17">
        <v>1.15233174079242E-6</v>
      </c>
      <c r="AM89">
        <f t="shared" si="17"/>
        <v>6.9637325940086821E-4</v>
      </c>
      <c r="AO89" s="3">
        <v>17</v>
      </c>
      <c r="AP89" s="3">
        <v>604.31665183673204</v>
      </c>
      <c r="AQ89" s="17">
        <v>7.3819869300284E-10</v>
      </c>
      <c r="AR89">
        <f t="shared" si="18"/>
        <v>4.4610576254572792E-7</v>
      </c>
      <c r="AT89" s="3">
        <v>17</v>
      </c>
      <c r="AU89" s="3">
        <v>604.31665183673204</v>
      </c>
      <c r="AV89" s="17">
        <v>3.0845874164164903E-5</v>
      </c>
      <c r="AW89">
        <f t="shared" si="19"/>
        <v>1.8640675397865288E-2</v>
      </c>
    </row>
    <row r="90" spans="1:49" x14ac:dyDescent="0.3">
      <c r="A90" s="3">
        <v>17.5</v>
      </c>
      <c r="B90" s="16">
        <v>530.12393247891202</v>
      </c>
      <c r="C90" s="17">
        <v>5.2913430029365597E-8</v>
      </c>
      <c r="D90">
        <f t="shared" si="10"/>
        <v>2.8050675608115043E-5</v>
      </c>
      <c r="F90" s="3">
        <v>17.5</v>
      </c>
      <c r="G90" s="3">
        <v>530.12393247891202</v>
      </c>
      <c r="H90" s="16">
        <v>1.21185898681657E-4</v>
      </c>
      <c r="I90">
        <f t="shared" si="11"/>
        <v>6.4243545170111008E-2</v>
      </c>
      <c r="K90" s="3">
        <v>17.5</v>
      </c>
      <c r="L90" s="3">
        <v>530.12393247891202</v>
      </c>
      <c r="M90" s="16">
        <v>3.0416178792926898E-4</v>
      </c>
      <c r="N90">
        <f t="shared" si="12"/>
        <v>0.16124344312688094</v>
      </c>
      <c r="P90" s="3">
        <v>17.5</v>
      </c>
      <c r="Q90" s="3">
        <v>530.12393247891202</v>
      </c>
      <c r="R90" s="17">
        <v>1.6767087090428701E-5</v>
      </c>
      <c r="S90">
        <f t="shared" si="13"/>
        <v>8.8886341445944626E-3</v>
      </c>
      <c r="U90" s="3">
        <v>17.5</v>
      </c>
      <c r="V90" s="3">
        <v>530.12393247891202</v>
      </c>
      <c r="W90" s="17">
        <v>4.7546524161334396E-6</v>
      </c>
      <c r="X90">
        <f t="shared" si="14"/>
        <v>2.5205550364110194E-3</v>
      </c>
      <c r="Z90" s="3">
        <v>17.5</v>
      </c>
      <c r="AA90" s="3">
        <v>530.12393247891202</v>
      </c>
      <c r="AB90" s="17">
        <v>1.0043003353911701E-6</v>
      </c>
      <c r="AC90">
        <f t="shared" si="15"/>
        <v>5.3240364318745737E-4</v>
      </c>
      <c r="AE90" s="3">
        <v>17.5</v>
      </c>
      <c r="AF90" s="3">
        <v>530.12393247891202</v>
      </c>
      <c r="AG90" s="17">
        <v>6.4796976128793105E-5</v>
      </c>
      <c r="AH90">
        <f t="shared" si="16"/>
        <v>3.4350427798137989E-2</v>
      </c>
      <c r="AJ90" s="3">
        <v>17.5</v>
      </c>
      <c r="AK90" s="3">
        <v>530.12393247891202</v>
      </c>
      <c r="AL90" s="17">
        <v>1.1613135927179701E-6</v>
      </c>
      <c r="AM90">
        <f t="shared" si="17"/>
        <v>6.1564012861286394E-4</v>
      </c>
      <c r="AO90" s="3">
        <v>17.5</v>
      </c>
      <c r="AP90" s="3">
        <v>530.12393247891202</v>
      </c>
      <c r="AQ90" s="17">
        <v>6.5009483044194997E-10</v>
      </c>
      <c r="AR90">
        <f t="shared" si="18"/>
        <v>3.4463082799809806E-7</v>
      </c>
      <c r="AT90" s="3">
        <v>17.5</v>
      </c>
      <c r="AU90" s="3">
        <v>530.12393247891202</v>
      </c>
      <c r="AV90" s="17">
        <v>2.8048631688007501E-5</v>
      </c>
      <c r="AW90">
        <f t="shared" si="19"/>
        <v>1.486925093109916E-2</v>
      </c>
    </row>
    <row r="91" spans="1:49" x14ac:dyDescent="0.3">
      <c r="A91" s="3">
        <v>18</v>
      </c>
      <c r="B91" s="16">
        <v>870.352239794399</v>
      </c>
      <c r="C91" s="17">
        <v>4.3191834685639601E-8</v>
      </c>
      <c r="D91">
        <f t="shared" si="10"/>
        <v>3.7592110059475837E-5</v>
      </c>
      <c r="F91" s="3">
        <v>18</v>
      </c>
      <c r="G91" s="3">
        <v>870.352239794399</v>
      </c>
      <c r="H91" s="16">
        <v>1.10386140757927E-4</v>
      </c>
      <c r="I91">
        <f t="shared" si="11"/>
        <v>9.6074824850921559E-2</v>
      </c>
      <c r="K91" s="3">
        <v>18</v>
      </c>
      <c r="L91" s="3">
        <v>870.352239794399</v>
      </c>
      <c r="M91" s="16">
        <v>2.7219843150372601E-4</v>
      </c>
      <c r="N91">
        <f t="shared" si="12"/>
        <v>0.23690851452779021</v>
      </c>
      <c r="P91" s="3">
        <v>18</v>
      </c>
      <c r="Q91" s="3">
        <v>870.352239794399</v>
      </c>
      <c r="R91" s="17">
        <v>1.5316778325252E-5</v>
      </c>
      <c r="S91">
        <f t="shared" si="13"/>
        <v>1.3330992321817382E-2</v>
      </c>
      <c r="U91" s="3">
        <v>18</v>
      </c>
      <c r="V91" s="3">
        <v>870.352239794399</v>
      </c>
      <c r="W91" s="17">
        <v>4.2680343214440298E-6</v>
      </c>
      <c r="X91">
        <f t="shared" si="14"/>
        <v>3.7146932311881791E-3</v>
      </c>
      <c r="Z91" s="3">
        <v>18</v>
      </c>
      <c r="AA91" s="3">
        <v>870.352239794399</v>
      </c>
      <c r="AB91" s="17">
        <v>8.9017969826979599E-7</v>
      </c>
      <c r="AC91">
        <f t="shared" si="15"/>
        <v>7.7476989420861917E-4</v>
      </c>
      <c r="AE91" s="3">
        <v>18</v>
      </c>
      <c r="AF91" s="3">
        <v>870.352239794399</v>
      </c>
      <c r="AG91" s="17">
        <v>6.1242029807512694E-5</v>
      </c>
      <c r="AH91">
        <f t="shared" si="16"/>
        <v>5.330213781252402E-2</v>
      </c>
      <c r="AJ91" s="3">
        <v>18</v>
      </c>
      <c r="AK91" s="3">
        <v>870.352239794399</v>
      </c>
      <c r="AL91" s="17">
        <v>1.1705927704075199E-6</v>
      </c>
      <c r="AM91">
        <f t="shared" si="17"/>
        <v>1.0188280396113156E-3</v>
      </c>
      <c r="AO91" s="3">
        <v>18</v>
      </c>
      <c r="AP91" s="3">
        <v>870.352239794399</v>
      </c>
      <c r="AQ91" s="17">
        <v>5.7672477447276596E-10</v>
      </c>
      <c r="AR91">
        <f t="shared" si="18"/>
        <v>5.019536992072915E-7</v>
      </c>
      <c r="AT91" s="3">
        <v>18</v>
      </c>
      <c r="AU91" s="3">
        <v>870.352239794399</v>
      </c>
      <c r="AV91" s="17">
        <v>2.48322511164644E-5</v>
      </c>
      <c r="AW91">
        <f t="shared" si="19"/>
        <v>2.1612805378351755E-2</v>
      </c>
    </row>
    <row r="92" spans="1:49" x14ac:dyDescent="0.3">
      <c r="A92" s="3">
        <v>18.5</v>
      </c>
      <c r="B92" s="16">
        <v>409.69518635417103</v>
      </c>
      <c r="C92" s="17">
        <v>3.5325658022427201E-8</v>
      </c>
      <c r="D92">
        <f t="shared" si="10"/>
        <v>1.4472752046582028E-5</v>
      </c>
      <c r="F92" s="3">
        <v>18.5</v>
      </c>
      <c r="G92" s="3">
        <v>409.69518635417103</v>
      </c>
      <c r="H92" s="16">
        <v>1.04986261796062E-4</v>
      </c>
      <c r="I92">
        <f t="shared" si="11"/>
        <v>4.3012366091165412E-2</v>
      </c>
      <c r="K92" s="3">
        <v>18.5</v>
      </c>
      <c r="L92" s="3">
        <v>409.69518635417103</v>
      </c>
      <c r="M92" s="16">
        <v>2.5058190638506498E-4</v>
      </c>
      <c r="N92">
        <f t="shared" si="12"/>
        <v>0.10266220083341264</v>
      </c>
      <c r="P92" s="3">
        <v>18.5</v>
      </c>
      <c r="Q92" s="3">
        <v>409.69518635417103</v>
      </c>
      <c r="R92" s="17">
        <v>1.3481041573702001E-5</v>
      </c>
      <c r="S92">
        <f t="shared" si="13"/>
        <v>5.5231178397861678E-3</v>
      </c>
      <c r="U92" s="3">
        <v>18.5</v>
      </c>
      <c r="V92" s="3">
        <v>409.69518635417103</v>
      </c>
      <c r="W92" s="17">
        <v>3.8426805257389101E-6</v>
      </c>
      <c r="X92">
        <f t="shared" si="14"/>
        <v>1.5743277140921467E-3</v>
      </c>
      <c r="Z92" s="3">
        <v>18.5</v>
      </c>
      <c r="AA92" s="3">
        <v>409.69518635417103</v>
      </c>
      <c r="AB92" s="17">
        <v>7.9084052376198496E-7</v>
      </c>
      <c r="AC92">
        <f t="shared" si="15"/>
        <v>3.2400355575909663E-4</v>
      </c>
      <c r="AE92" s="3">
        <v>18.5</v>
      </c>
      <c r="AF92" s="3">
        <v>409.69518635417103</v>
      </c>
      <c r="AG92" s="17">
        <v>5.94645566468724E-5</v>
      </c>
      <c r="AH92">
        <f t="shared" si="16"/>
        <v>2.4362342616908547E-2</v>
      </c>
      <c r="AJ92" s="3">
        <v>18.5</v>
      </c>
      <c r="AK92" s="3">
        <v>409.69518635417103</v>
      </c>
      <c r="AL92" s="17">
        <v>1.1763220091676E-6</v>
      </c>
      <c r="AM92">
        <f t="shared" si="17"/>
        <v>4.8193346475843278E-4</v>
      </c>
      <c r="AO92" s="3">
        <v>18.5</v>
      </c>
      <c r="AP92" s="3">
        <v>409.69518635417103</v>
      </c>
      <c r="AQ92" s="17">
        <v>5.3055258783192203E-10</v>
      </c>
      <c r="AR92">
        <f t="shared" si="18"/>
        <v>2.1736484134248699E-7</v>
      </c>
      <c r="AT92" s="3">
        <v>18.5</v>
      </c>
      <c r="AU92" s="3">
        <v>409.69518635417103</v>
      </c>
      <c r="AV92" s="17">
        <v>2.27724227225632E-5</v>
      </c>
      <c r="AW92">
        <f t="shared" si="19"/>
        <v>9.3297519710564894E-3</v>
      </c>
    </row>
    <row r="93" spans="1:49" x14ac:dyDescent="0.3">
      <c r="A93" s="3">
        <v>19</v>
      </c>
      <c r="B93" s="16">
        <v>273.75992316656101</v>
      </c>
      <c r="C93" s="17">
        <v>2.9026948118602899E-8</v>
      </c>
      <c r="D93">
        <f t="shared" si="10"/>
        <v>7.9464150867084826E-6</v>
      </c>
      <c r="F93" s="3">
        <v>19</v>
      </c>
      <c r="G93" s="3">
        <v>273.75992316656101</v>
      </c>
      <c r="H93" s="17">
        <v>9.3704036133609704E-5</v>
      </c>
      <c r="I93">
        <f t="shared" si="11"/>
        <v>2.565240973233365E-2</v>
      </c>
      <c r="K93" s="3">
        <v>19</v>
      </c>
      <c r="L93" s="3">
        <v>273.75992316656101</v>
      </c>
      <c r="M93" s="16">
        <v>2.2613116426256101E-4</v>
      </c>
      <c r="N93">
        <f t="shared" si="12"/>
        <v>6.190565015408369E-2</v>
      </c>
      <c r="P93" s="3">
        <v>19</v>
      </c>
      <c r="Q93" s="3">
        <v>273.75992316656101</v>
      </c>
      <c r="R93" s="17">
        <v>1.22572170726687E-5</v>
      </c>
      <c r="S93">
        <f t="shared" si="13"/>
        <v>3.3555348040496431E-3</v>
      </c>
      <c r="U93" s="3">
        <v>19</v>
      </c>
      <c r="V93" s="3">
        <v>273.75992316656101</v>
      </c>
      <c r="W93" s="17">
        <v>3.5313786752843901E-6</v>
      </c>
      <c r="X93">
        <f t="shared" si="14"/>
        <v>9.6674995481788658E-4</v>
      </c>
      <c r="Z93" s="3">
        <v>19</v>
      </c>
      <c r="AA93" s="3">
        <v>273.75992316656101</v>
      </c>
      <c r="AB93" s="17">
        <v>7.2379680104889498E-7</v>
      </c>
      <c r="AC93">
        <f t="shared" si="15"/>
        <v>1.9814655664334812E-4</v>
      </c>
      <c r="AE93" s="3">
        <v>19</v>
      </c>
      <c r="AF93" s="3">
        <v>273.75992316656101</v>
      </c>
      <c r="AG93" s="17">
        <v>5.4616902572399103E-5</v>
      </c>
      <c r="AH93">
        <f t="shared" si="16"/>
        <v>1.4951919051815527E-2</v>
      </c>
      <c r="AJ93" s="3">
        <v>19</v>
      </c>
      <c r="AK93" s="3">
        <v>273.75992316656101</v>
      </c>
      <c r="AL93" s="17">
        <v>1.1821811237421799E-6</v>
      </c>
      <c r="AM93">
        <f t="shared" si="17"/>
        <v>3.2363381360461791E-4</v>
      </c>
      <c r="AO93" s="3">
        <v>19</v>
      </c>
      <c r="AP93" s="3">
        <v>273.75992316656101</v>
      </c>
      <c r="AQ93" s="17">
        <v>4.7759552277202397E-10</v>
      </c>
      <c r="AR93">
        <f t="shared" si="18"/>
        <v>1.3074651361876282E-7</v>
      </c>
      <c r="AT93" s="3">
        <v>19</v>
      </c>
      <c r="AU93" s="3">
        <v>273.75992316656101</v>
      </c>
      <c r="AV93" s="17">
        <v>2.1029525487419002E-5</v>
      </c>
      <c r="AW93">
        <f t="shared" si="19"/>
        <v>5.757041281665062E-3</v>
      </c>
    </row>
    <row r="94" spans="1:49" x14ac:dyDescent="0.3">
      <c r="A94" s="3">
        <v>19.5</v>
      </c>
      <c r="B94" s="16">
        <v>412.32921720144401</v>
      </c>
      <c r="C94" s="17">
        <v>2.4278661462279001E-8</v>
      </c>
      <c r="D94">
        <f t="shared" si="10"/>
        <v>1.0010801475440366E-5</v>
      </c>
      <c r="F94" s="3">
        <v>19.5</v>
      </c>
      <c r="G94" s="3">
        <v>412.32921720144401</v>
      </c>
      <c r="H94" s="17">
        <v>8.9943294246125501E-5</v>
      </c>
      <c r="I94">
        <f t="shared" si="11"/>
        <v>3.708624810902407E-2</v>
      </c>
      <c r="K94" s="3">
        <v>19.5</v>
      </c>
      <c r="L94" s="3">
        <v>412.32921720144401</v>
      </c>
      <c r="M94" s="16">
        <v>1.97418680249089E-4</v>
      </c>
      <c r="N94">
        <f t="shared" si="12"/>
        <v>8.1401489888049045E-2</v>
      </c>
      <c r="P94" s="3">
        <v>19.5</v>
      </c>
      <c r="Q94" s="3">
        <v>412.32921720144401</v>
      </c>
      <c r="R94" s="17">
        <v>1.10333925716353E-5</v>
      </c>
      <c r="S94">
        <f t="shared" si="13"/>
        <v>4.5493901221386104E-3</v>
      </c>
      <c r="U94" s="3">
        <v>19.5</v>
      </c>
      <c r="V94" s="3">
        <v>412.32921720144401</v>
      </c>
      <c r="W94" s="17">
        <v>3.2124298019524E-6</v>
      </c>
      <c r="X94">
        <f t="shared" si="14"/>
        <v>1.3245786655536229E-3</v>
      </c>
      <c r="Z94" s="3">
        <v>19.5</v>
      </c>
      <c r="AA94" s="3">
        <v>412.32921720144401</v>
      </c>
      <c r="AB94" s="17">
        <v>6.3954031255580702E-7</v>
      </c>
      <c r="AC94">
        <f t="shared" si="15"/>
        <v>2.6370115644490274E-4</v>
      </c>
      <c r="AE94" s="3">
        <v>19.5</v>
      </c>
      <c r="AF94" s="3">
        <v>412.32921720144401</v>
      </c>
      <c r="AG94" s="17">
        <v>5.3001017880908E-5</v>
      </c>
      <c r="AH94">
        <f t="shared" si="16"/>
        <v>2.1853868213714531E-2</v>
      </c>
      <c r="AJ94" s="3">
        <v>19.5</v>
      </c>
      <c r="AK94" s="3">
        <v>412.32921720144401</v>
      </c>
      <c r="AL94" s="17">
        <v>1.19018196401235E-6</v>
      </c>
      <c r="AM94">
        <f t="shared" si="17"/>
        <v>4.9074679754848951E-4</v>
      </c>
      <c r="AO94" s="3">
        <v>19.5</v>
      </c>
      <c r="AP94" s="3">
        <v>412.32921720144401</v>
      </c>
      <c r="AQ94" s="17">
        <v>4.31145802163611E-10</v>
      </c>
      <c r="AR94">
        <f t="shared" si="18"/>
        <v>1.7777401110581038E-7</v>
      </c>
      <c r="AT94" s="3">
        <v>19.5</v>
      </c>
      <c r="AU94" s="3">
        <v>412.32921720144401</v>
      </c>
      <c r="AV94" s="17">
        <v>1.9076835066562999E-5</v>
      </c>
      <c r="AW94">
        <f t="shared" si="19"/>
        <v>7.8659364696769783E-3</v>
      </c>
    </row>
    <row r="95" spans="1:49" x14ac:dyDescent="0.3">
      <c r="A95" s="3">
        <v>20</v>
      </c>
      <c r="B95" s="16">
        <v>75.242457464705794</v>
      </c>
      <c r="C95" s="17">
        <v>2.0095671147800299E-8</v>
      </c>
      <c r="D95">
        <f t="shared" si="10"/>
        <v>1.5120476815630795E-6</v>
      </c>
      <c r="F95" s="3">
        <v>20</v>
      </c>
      <c r="G95" s="3">
        <v>75.242457464705794</v>
      </c>
      <c r="H95" s="17">
        <v>8.1791414953452204E-5</v>
      </c>
      <c r="I95">
        <f t="shared" si="11"/>
        <v>6.154187060613229E-3</v>
      </c>
      <c r="K95" s="3">
        <v>20</v>
      </c>
      <c r="L95" s="3">
        <v>75.242457464705794</v>
      </c>
      <c r="M95" s="16">
        <v>1.7248694744941199E-4</v>
      </c>
      <c r="N95">
        <f t="shared" si="12"/>
        <v>1.2978341806679325E-2</v>
      </c>
      <c r="P95" s="3">
        <v>20</v>
      </c>
      <c r="Q95" s="3">
        <v>75.242457464705794</v>
      </c>
      <c r="R95" s="17">
        <v>9.8095680706019894E-6</v>
      </c>
      <c r="S95">
        <f t="shared" si="13"/>
        <v>7.3809600829940624E-4</v>
      </c>
      <c r="U95" s="3">
        <v>20</v>
      </c>
      <c r="V95" s="3">
        <v>75.242457464705794</v>
      </c>
      <c r="W95" s="17">
        <v>2.97413743865242E-6</v>
      </c>
      <c r="X95">
        <f t="shared" si="14"/>
        <v>2.2378140972199376E-4</v>
      </c>
      <c r="Z95" s="3">
        <v>20</v>
      </c>
      <c r="AA95" s="3">
        <v>75.242457464705794</v>
      </c>
      <c r="AB95" s="17">
        <v>5.2021281378597395E-7</v>
      </c>
      <c r="AC95">
        <f t="shared" si="15"/>
        <v>3.9142090513886058E-5</v>
      </c>
      <c r="AE95" s="3">
        <v>20</v>
      </c>
      <c r="AF95" s="3">
        <v>75.242457464705794</v>
      </c>
      <c r="AG95" s="17">
        <v>5.0092425436224099E-5</v>
      </c>
      <c r="AH95">
        <f t="shared" si="16"/>
        <v>3.7690771901890381E-3</v>
      </c>
      <c r="AJ95" s="3">
        <v>20</v>
      </c>
      <c r="AK95" s="3">
        <v>75.242457464705794</v>
      </c>
      <c r="AL95" s="17">
        <v>1.1984082490925801E-6</v>
      </c>
      <c r="AM95">
        <f t="shared" si="17"/>
        <v>9.0171181707700997E-5</v>
      </c>
      <c r="AO95" s="3">
        <v>20</v>
      </c>
      <c r="AP95" s="3">
        <v>75.242457464705794</v>
      </c>
      <c r="AQ95" s="17">
        <v>3.8357583683180402E-10</v>
      </c>
      <c r="AR95">
        <f t="shared" si="18"/>
        <v>2.8861188587305944E-8</v>
      </c>
      <c r="AT95" s="3">
        <v>20</v>
      </c>
      <c r="AU95" s="3">
        <v>75.242457464705794</v>
      </c>
      <c r="AV95" s="17">
        <v>1.78626794180578E-5</v>
      </c>
      <c r="AW95">
        <f t="shared" si="19"/>
        <v>1.3440318963188896E-3</v>
      </c>
    </row>
    <row r="96" spans="1:49" x14ac:dyDescent="0.3">
      <c r="A96" s="3">
        <v>20.5</v>
      </c>
      <c r="B96" s="16">
        <v>74.983246844221497</v>
      </c>
      <c r="C96" s="17">
        <v>1.6374714946498399E-8</v>
      </c>
      <c r="D96">
        <f t="shared" si="10"/>
        <v>1.2278292928370527E-6</v>
      </c>
      <c r="F96" s="3">
        <v>20.5</v>
      </c>
      <c r="G96" s="3">
        <v>74.983246844221497</v>
      </c>
      <c r="H96" s="17">
        <v>7.9074121855894497E-5</v>
      </c>
      <c r="I96">
        <f t="shared" si="11"/>
        <v>5.9292343981105873E-3</v>
      </c>
      <c r="K96" s="3">
        <v>20.5</v>
      </c>
      <c r="L96" s="3">
        <v>74.983246844221497</v>
      </c>
      <c r="M96" s="16">
        <v>1.6270017949938099E-4</v>
      </c>
      <c r="N96">
        <f t="shared" si="12"/>
        <v>1.2199787721001231E-2</v>
      </c>
      <c r="P96" s="3">
        <v>20.5</v>
      </c>
      <c r="Q96" s="3">
        <v>74.983246844221497</v>
      </c>
      <c r="R96" s="17">
        <v>4.5988279100426597E-6</v>
      </c>
      <c r="S96">
        <f t="shared" si="13"/>
        <v>3.4483504837282402E-4</v>
      </c>
      <c r="U96" s="3">
        <v>20.5</v>
      </c>
      <c r="V96" s="3">
        <v>74.983246844221497</v>
      </c>
      <c r="W96" s="17">
        <v>2.8343597541743501E-6</v>
      </c>
      <c r="X96">
        <f t="shared" si="14"/>
        <v>2.1252949709258225E-4</v>
      </c>
      <c r="Z96" s="3">
        <v>20.5</v>
      </c>
      <c r="AA96" s="3">
        <v>74.983246844221497</v>
      </c>
      <c r="AB96" s="17">
        <v>2.39730795400915E-7</v>
      </c>
      <c r="AC96">
        <f t="shared" si="15"/>
        <v>1.7975793407708368E-5</v>
      </c>
      <c r="AE96" s="3">
        <v>20.5</v>
      </c>
      <c r="AF96" s="3">
        <v>74.983246844221497</v>
      </c>
      <c r="AG96" s="17">
        <v>4.9122894621329398E-5</v>
      </c>
      <c r="AH96">
        <f t="shared" si="16"/>
        <v>3.6833941330938228E-3</v>
      </c>
      <c r="AJ96" s="3">
        <v>20.5</v>
      </c>
      <c r="AK96" s="3">
        <v>74.983246844221497</v>
      </c>
      <c r="AL96" s="17">
        <v>1.2027480616863001E-6</v>
      </c>
      <c r="AM96">
        <f t="shared" si="17"/>
        <v>9.018595480083279E-5</v>
      </c>
      <c r="AO96" s="3">
        <v>20.5</v>
      </c>
      <c r="AP96" s="3">
        <v>74.983246844221497</v>
      </c>
      <c r="AQ96" s="17">
        <v>3.5537948851087298E-10</v>
      </c>
      <c r="AR96">
        <f t="shared" si="18"/>
        <v>2.6647507910383967E-8</v>
      </c>
      <c r="AT96" s="3">
        <v>20.5</v>
      </c>
      <c r="AU96" s="3">
        <v>74.983246844221497</v>
      </c>
      <c r="AV96" s="17">
        <v>1.71723343197754E-5</v>
      </c>
      <c r="AW96">
        <f t="shared" si="19"/>
        <v>1.2876373831912152E-3</v>
      </c>
    </row>
    <row r="97" spans="1:49" x14ac:dyDescent="0.3">
      <c r="A97" s="3">
        <v>21</v>
      </c>
      <c r="B97" s="16">
        <v>0</v>
      </c>
      <c r="C97" s="17">
        <v>1.4173384485901E-8</v>
      </c>
      <c r="D97">
        <f t="shared" si="10"/>
        <v>0</v>
      </c>
      <c r="F97" s="3">
        <v>21</v>
      </c>
      <c r="G97" s="3">
        <v>0</v>
      </c>
      <c r="H97" s="17">
        <v>6.9077794893465994E-5</v>
      </c>
      <c r="I97">
        <f t="shared" si="11"/>
        <v>0</v>
      </c>
      <c r="K97" s="3">
        <v>21</v>
      </c>
      <c r="L97" s="3">
        <v>0</v>
      </c>
      <c r="M97" s="16">
        <v>0</v>
      </c>
      <c r="N97">
        <f t="shared" si="12"/>
        <v>0</v>
      </c>
      <c r="P97" s="3">
        <v>21</v>
      </c>
      <c r="Q97" s="3">
        <v>0</v>
      </c>
      <c r="R97" s="16">
        <v>0</v>
      </c>
      <c r="S97">
        <f t="shared" si="13"/>
        <v>0</v>
      </c>
      <c r="U97" s="3">
        <v>21</v>
      </c>
      <c r="V97" s="3">
        <v>0</v>
      </c>
      <c r="W97" s="17">
        <v>2.7096385630559398E-6</v>
      </c>
      <c r="X97">
        <f t="shared" si="14"/>
        <v>0</v>
      </c>
      <c r="Z97" s="3">
        <v>21</v>
      </c>
      <c r="AA97" s="3">
        <v>0</v>
      </c>
      <c r="AB97" s="16">
        <v>0</v>
      </c>
      <c r="AC97">
        <f t="shared" si="15"/>
        <v>0</v>
      </c>
      <c r="AE97" s="3">
        <v>21</v>
      </c>
      <c r="AF97" s="3">
        <v>0</v>
      </c>
      <c r="AG97" s="16">
        <v>0</v>
      </c>
      <c r="AH97">
        <f t="shared" si="16"/>
        <v>0</v>
      </c>
      <c r="AJ97" s="3">
        <v>21</v>
      </c>
      <c r="AK97" s="3">
        <v>0</v>
      </c>
      <c r="AL97" s="16">
        <v>0</v>
      </c>
      <c r="AM97">
        <f t="shared" si="17"/>
        <v>0</v>
      </c>
      <c r="AO97" s="3">
        <v>21</v>
      </c>
      <c r="AP97" s="3">
        <v>0</v>
      </c>
      <c r="AQ97" s="16">
        <v>0</v>
      </c>
      <c r="AR97">
        <f t="shared" si="18"/>
        <v>0</v>
      </c>
      <c r="AT97" s="3">
        <v>21</v>
      </c>
      <c r="AU97" s="3">
        <v>0</v>
      </c>
      <c r="AV97" s="16">
        <v>0</v>
      </c>
      <c r="AW97">
        <f t="shared" si="19"/>
        <v>0</v>
      </c>
    </row>
    <row r="98" spans="1:49" x14ac:dyDescent="0.3">
      <c r="A98" s="3">
        <v>21.5</v>
      </c>
      <c r="B98" s="16">
        <v>0</v>
      </c>
      <c r="C98" s="17">
        <v>1.18327858879546E-8</v>
      </c>
      <c r="D98">
        <f t="shared" si="10"/>
        <v>0</v>
      </c>
      <c r="F98" s="3">
        <v>21.5</v>
      </c>
      <c r="G98" s="3">
        <v>0</v>
      </c>
      <c r="H98" s="17">
        <v>6.5745685905989803E-5</v>
      </c>
      <c r="I98">
        <f t="shared" si="11"/>
        <v>0</v>
      </c>
      <c r="K98" s="3">
        <v>21.5</v>
      </c>
      <c r="L98" s="3">
        <v>0</v>
      </c>
      <c r="M98" s="16">
        <v>0</v>
      </c>
      <c r="N98">
        <f t="shared" si="12"/>
        <v>0</v>
      </c>
      <c r="P98" s="3">
        <v>21.5</v>
      </c>
      <c r="Q98" s="3">
        <v>0</v>
      </c>
      <c r="R98" s="16">
        <v>0</v>
      </c>
      <c r="S98">
        <f t="shared" si="13"/>
        <v>0</v>
      </c>
      <c r="U98" s="3">
        <v>21.5</v>
      </c>
      <c r="V98" s="3">
        <v>0</v>
      </c>
      <c r="W98" s="17">
        <v>2.6680648326831302E-6</v>
      </c>
      <c r="X98">
        <f t="shared" si="14"/>
        <v>0</v>
      </c>
      <c r="Z98" s="3">
        <v>21.5</v>
      </c>
      <c r="AA98" s="3">
        <v>0</v>
      </c>
      <c r="AB98" s="16">
        <v>0</v>
      </c>
      <c r="AC98">
        <f t="shared" si="15"/>
        <v>0</v>
      </c>
      <c r="AE98" s="3">
        <v>21.5</v>
      </c>
      <c r="AF98" s="3">
        <v>0</v>
      </c>
      <c r="AG98" s="16">
        <v>0</v>
      </c>
      <c r="AH98">
        <f t="shared" si="16"/>
        <v>0</v>
      </c>
      <c r="AJ98" s="3">
        <v>21.5</v>
      </c>
      <c r="AK98" s="3">
        <v>0</v>
      </c>
      <c r="AL98" s="16">
        <v>0</v>
      </c>
      <c r="AM98">
        <f t="shared" si="17"/>
        <v>0</v>
      </c>
      <c r="AO98" s="3">
        <v>21.5</v>
      </c>
      <c r="AP98" s="3">
        <v>0</v>
      </c>
      <c r="AQ98" s="16">
        <v>0</v>
      </c>
      <c r="AR98">
        <f t="shared" si="18"/>
        <v>0</v>
      </c>
      <c r="AT98" s="3">
        <v>21.5</v>
      </c>
      <c r="AU98" s="3">
        <v>0</v>
      </c>
      <c r="AV98" s="16">
        <v>0</v>
      </c>
      <c r="AW98">
        <f t="shared" si="19"/>
        <v>0</v>
      </c>
    </row>
    <row r="99" spans="1:49" x14ac:dyDescent="0.3">
      <c r="A99" s="3">
        <v>22</v>
      </c>
      <c r="B99" s="16">
        <v>202.84099199025499</v>
      </c>
      <c r="C99" s="17">
        <v>1.03109194617711E-8</v>
      </c>
      <c r="D99">
        <f t="shared" si="10"/>
        <v>2.0914771319572759E-6</v>
      </c>
      <c r="F99" s="3">
        <v>22</v>
      </c>
      <c r="G99" s="3">
        <v>202.84099199025499</v>
      </c>
      <c r="H99" s="17">
        <v>6.2788389286168604E-5</v>
      </c>
      <c r="I99">
        <f t="shared" si="11"/>
        <v>1.2736059168276739E-2</v>
      </c>
      <c r="K99" s="3">
        <v>22</v>
      </c>
      <c r="L99" s="3">
        <v>202.84099199025499</v>
      </c>
      <c r="M99" s="16">
        <v>0</v>
      </c>
      <c r="N99">
        <f t="shared" si="12"/>
        <v>0</v>
      </c>
      <c r="P99" s="3">
        <v>22</v>
      </c>
      <c r="Q99" s="3">
        <v>202.84099199025499</v>
      </c>
      <c r="R99" s="16">
        <v>0</v>
      </c>
      <c r="S99">
        <f t="shared" si="13"/>
        <v>0</v>
      </c>
      <c r="U99" s="3">
        <v>22</v>
      </c>
      <c r="V99" s="3">
        <v>202.84099199025499</v>
      </c>
      <c r="W99" s="17">
        <v>2.3684821478479702E-6</v>
      </c>
      <c r="X99">
        <f t="shared" si="14"/>
        <v>4.8042526838069206E-4</v>
      </c>
      <c r="Z99" s="3">
        <v>22</v>
      </c>
      <c r="AA99" s="3">
        <v>202.84099199025499</v>
      </c>
      <c r="AB99" s="16">
        <v>0</v>
      </c>
      <c r="AC99">
        <f t="shared" si="15"/>
        <v>0</v>
      </c>
      <c r="AE99" s="3">
        <v>22</v>
      </c>
      <c r="AF99" s="3">
        <v>202.84099199025499</v>
      </c>
      <c r="AG99" s="16">
        <v>0</v>
      </c>
      <c r="AH99">
        <f t="shared" si="16"/>
        <v>0</v>
      </c>
      <c r="AJ99" s="3">
        <v>22</v>
      </c>
      <c r="AK99" s="3">
        <v>202.84099199025499</v>
      </c>
      <c r="AL99" s="16">
        <v>0</v>
      </c>
      <c r="AM99">
        <f t="shared" si="17"/>
        <v>0</v>
      </c>
      <c r="AO99" s="3">
        <v>22</v>
      </c>
      <c r="AP99" s="3">
        <v>202.84099199025499</v>
      </c>
      <c r="AQ99" s="16">
        <v>0</v>
      </c>
      <c r="AR99">
        <f t="shared" si="18"/>
        <v>0</v>
      </c>
      <c r="AT99" s="3">
        <v>22</v>
      </c>
      <c r="AU99" s="3">
        <v>202.84099199025499</v>
      </c>
      <c r="AV99" s="16">
        <v>0</v>
      </c>
      <c r="AW99">
        <f t="shared" si="19"/>
        <v>0</v>
      </c>
    </row>
    <row r="100" spans="1:49" x14ac:dyDescent="0.3">
      <c r="A100" s="3">
        <v>22.5</v>
      </c>
      <c r="B100" s="16">
        <v>202.89603722432599</v>
      </c>
      <c r="C100" s="17">
        <v>8.7649358703395206E-9</v>
      </c>
      <c r="D100">
        <f t="shared" si="10"/>
        <v>1.7783707546172376E-6</v>
      </c>
      <c r="F100" s="3">
        <v>22.5</v>
      </c>
      <c r="G100" s="3">
        <v>202.89603722432599</v>
      </c>
      <c r="H100" s="17">
        <v>6.18026237462282E-5</v>
      </c>
      <c r="I100">
        <f t="shared" si="11"/>
        <v>1.2539507448175731E-2</v>
      </c>
      <c r="K100" s="3">
        <v>22.5</v>
      </c>
      <c r="L100" s="3">
        <v>202.89603722432599</v>
      </c>
      <c r="M100" s="16">
        <v>0</v>
      </c>
      <c r="N100">
        <f t="shared" si="12"/>
        <v>0</v>
      </c>
      <c r="P100" s="3">
        <v>22.5</v>
      </c>
      <c r="Q100" s="3">
        <v>202.89603722432599</v>
      </c>
      <c r="R100" s="16">
        <v>0</v>
      </c>
      <c r="S100">
        <f t="shared" si="13"/>
        <v>0</v>
      </c>
      <c r="U100" s="3">
        <v>22.5</v>
      </c>
      <c r="V100" s="3">
        <v>202.89603722432599</v>
      </c>
      <c r="W100" s="17">
        <v>2.2686212529029098E-6</v>
      </c>
      <c r="X100">
        <f t="shared" si="14"/>
        <v>4.6029426217688587E-4</v>
      </c>
      <c r="Z100" s="3">
        <v>22.5</v>
      </c>
      <c r="AA100" s="3">
        <v>202.89603722432599</v>
      </c>
      <c r="AB100" s="16">
        <v>0</v>
      </c>
      <c r="AC100">
        <f t="shared" si="15"/>
        <v>0</v>
      </c>
      <c r="AE100" s="3">
        <v>22.5</v>
      </c>
      <c r="AF100" s="3">
        <v>202.89603722432599</v>
      </c>
      <c r="AG100" s="16">
        <v>0</v>
      </c>
      <c r="AH100">
        <f t="shared" si="16"/>
        <v>0</v>
      </c>
      <c r="AJ100" s="3">
        <v>22.5</v>
      </c>
      <c r="AK100" s="3">
        <v>202.89603722432599</v>
      </c>
      <c r="AL100" s="16">
        <v>0</v>
      </c>
      <c r="AM100">
        <f t="shared" si="17"/>
        <v>0</v>
      </c>
      <c r="AO100" s="3">
        <v>22.5</v>
      </c>
      <c r="AP100" s="3">
        <v>202.89603722432599</v>
      </c>
      <c r="AQ100" s="16">
        <v>0</v>
      </c>
      <c r="AR100">
        <f t="shared" si="18"/>
        <v>0</v>
      </c>
      <c r="AT100" s="3">
        <v>22.5</v>
      </c>
      <c r="AU100" s="3">
        <v>202.89603722432599</v>
      </c>
      <c r="AV100" s="16">
        <v>0</v>
      </c>
      <c r="AW100">
        <f t="shared" si="19"/>
        <v>0</v>
      </c>
    </row>
    <row r="101" spans="1:49" x14ac:dyDescent="0.3">
      <c r="A101" s="3">
        <v>23</v>
      </c>
      <c r="B101" s="16">
        <v>0</v>
      </c>
      <c r="C101" s="17">
        <v>7.6689903817943397E-9</v>
      </c>
      <c r="D101">
        <f t="shared" si="10"/>
        <v>0</v>
      </c>
      <c r="F101" s="3">
        <v>23</v>
      </c>
      <c r="G101" s="3">
        <v>0</v>
      </c>
      <c r="H101" s="17">
        <v>5.9260247378817997E-5</v>
      </c>
      <c r="I101">
        <f t="shared" si="11"/>
        <v>0</v>
      </c>
      <c r="K101" s="3">
        <v>23</v>
      </c>
      <c r="L101" s="3">
        <v>0</v>
      </c>
      <c r="M101" s="16">
        <v>0</v>
      </c>
      <c r="N101">
        <f t="shared" si="12"/>
        <v>0</v>
      </c>
      <c r="P101" s="3">
        <v>23</v>
      </c>
      <c r="Q101" s="3">
        <v>0</v>
      </c>
      <c r="R101" s="16">
        <v>0</v>
      </c>
      <c r="S101">
        <f t="shared" si="13"/>
        <v>0</v>
      </c>
      <c r="U101" s="3">
        <v>23</v>
      </c>
      <c r="V101" s="3">
        <v>0</v>
      </c>
      <c r="W101" s="17">
        <v>2.1602119499881602E-6</v>
      </c>
      <c r="X101">
        <f t="shared" si="14"/>
        <v>0</v>
      </c>
      <c r="Z101" s="3">
        <v>23</v>
      </c>
      <c r="AA101" s="3">
        <v>0</v>
      </c>
      <c r="AB101" s="16">
        <v>0</v>
      </c>
      <c r="AC101">
        <f t="shared" si="15"/>
        <v>0</v>
      </c>
      <c r="AE101" s="3">
        <v>23</v>
      </c>
      <c r="AF101" s="3">
        <v>0</v>
      </c>
      <c r="AG101" s="16">
        <v>0</v>
      </c>
      <c r="AH101">
        <f t="shared" si="16"/>
        <v>0</v>
      </c>
      <c r="AJ101" s="3">
        <v>23</v>
      </c>
      <c r="AK101" s="3">
        <v>0</v>
      </c>
      <c r="AL101" s="16">
        <v>0</v>
      </c>
      <c r="AM101">
        <f t="shared" si="17"/>
        <v>0</v>
      </c>
      <c r="AO101" s="3">
        <v>23</v>
      </c>
      <c r="AP101" s="3">
        <v>0</v>
      </c>
      <c r="AQ101" s="16">
        <v>0</v>
      </c>
      <c r="AR101">
        <f t="shared" si="18"/>
        <v>0</v>
      </c>
      <c r="AT101" s="3">
        <v>23</v>
      </c>
      <c r="AU101" s="3">
        <v>0</v>
      </c>
      <c r="AV101" s="16">
        <v>0</v>
      </c>
      <c r="AW101">
        <f t="shared" si="19"/>
        <v>0</v>
      </c>
    </row>
    <row r="102" spans="1:49" x14ac:dyDescent="0.3">
      <c r="A102" s="3">
        <v>23.5</v>
      </c>
      <c r="B102" s="16">
        <v>0</v>
      </c>
      <c r="C102" s="17">
        <v>6.7057637929881097E-9</v>
      </c>
      <c r="D102">
        <f t="shared" si="10"/>
        <v>0</v>
      </c>
      <c r="F102" s="3">
        <v>23.5</v>
      </c>
      <c r="G102" s="3">
        <v>0</v>
      </c>
      <c r="H102" s="17">
        <v>5.75653298005444E-5</v>
      </c>
      <c r="I102">
        <f t="shared" si="11"/>
        <v>0</v>
      </c>
      <c r="K102" s="3">
        <v>23.5</v>
      </c>
      <c r="L102" s="3">
        <v>0</v>
      </c>
      <c r="M102" s="16">
        <v>0</v>
      </c>
      <c r="N102">
        <f t="shared" si="12"/>
        <v>0</v>
      </c>
      <c r="P102" s="3">
        <v>23.5</v>
      </c>
      <c r="Q102" s="3">
        <v>0</v>
      </c>
      <c r="R102" s="16">
        <v>0</v>
      </c>
      <c r="S102">
        <f t="shared" si="13"/>
        <v>0</v>
      </c>
      <c r="U102" s="3">
        <v>23.5</v>
      </c>
      <c r="V102" s="3">
        <v>0</v>
      </c>
      <c r="W102" s="17">
        <v>2.08793908137833E-6</v>
      </c>
      <c r="X102">
        <f t="shared" si="14"/>
        <v>0</v>
      </c>
      <c r="Z102" s="3">
        <v>23.5</v>
      </c>
      <c r="AA102" s="3">
        <v>0</v>
      </c>
      <c r="AB102" s="16">
        <v>0</v>
      </c>
      <c r="AC102">
        <f t="shared" si="15"/>
        <v>0</v>
      </c>
      <c r="AE102" s="3">
        <v>23.5</v>
      </c>
      <c r="AF102" s="3">
        <v>0</v>
      </c>
      <c r="AG102" s="16">
        <v>0</v>
      </c>
      <c r="AH102">
        <f t="shared" si="16"/>
        <v>0</v>
      </c>
      <c r="AJ102" s="3">
        <v>23.5</v>
      </c>
      <c r="AK102" s="3">
        <v>0</v>
      </c>
      <c r="AL102" s="16">
        <v>0</v>
      </c>
      <c r="AM102">
        <f t="shared" si="17"/>
        <v>0</v>
      </c>
      <c r="AO102" s="3">
        <v>23.5</v>
      </c>
      <c r="AP102" s="3">
        <v>0</v>
      </c>
      <c r="AQ102" s="16">
        <v>0</v>
      </c>
      <c r="AR102">
        <f t="shared" si="18"/>
        <v>0</v>
      </c>
      <c r="AT102" s="3">
        <v>23.5</v>
      </c>
      <c r="AU102" s="3">
        <v>0</v>
      </c>
      <c r="AV102" s="16">
        <v>0</v>
      </c>
      <c r="AW102">
        <f t="shared" si="19"/>
        <v>0</v>
      </c>
    </row>
    <row r="103" spans="1:49" x14ac:dyDescent="0.3">
      <c r="A103" s="3">
        <v>24</v>
      </c>
      <c r="B103" s="16">
        <v>202.89121021783399</v>
      </c>
      <c r="C103" s="17">
        <v>5.9023409855746997E-9</v>
      </c>
      <c r="D103">
        <f t="shared" si="10"/>
        <v>1.1975331056815738E-6</v>
      </c>
      <c r="F103" s="3">
        <v>24</v>
      </c>
      <c r="G103" s="3">
        <v>202.89121021783399</v>
      </c>
      <c r="H103" s="17">
        <v>5.5870412222270897E-5</v>
      </c>
      <c r="I103">
        <f t="shared" si="11"/>
        <v>1.1335615551145806E-2</v>
      </c>
      <c r="K103" s="3">
        <v>24</v>
      </c>
      <c r="L103" s="3">
        <v>202.89121021783399</v>
      </c>
      <c r="M103" s="16">
        <v>0</v>
      </c>
      <c r="N103">
        <f t="shared" si="12"/>
        <v>0</v>
      </c>
      <c r="P103" s="3">
        <v>24</v>
      </c>
      <c r="Q103" s="3">
        <v>202.89121021783399</v>
      </c>
      <c r="R103" s="16">
        <v>0</v>
      </c>
      <c r="S103">
        <f t="shared" si="13"/>
        <v>0</v>
      </c>
      <c r="U103" s="3">
        <v>24</v>
      </c>
      <c r="V103" s="3">
        <v>202.89121021783399</v>
      </c>
      <c r="W103" s="17">
        <v>2.0156662127685001E-6</v>
      </c>
      <c r="X103">
        <f t="shared" si="14"/>
        <v>4.0896095730379904E-4</v>
      </c>
      <c r="Z103" s="3">
        <v>24</v>
      </c>
      <c r="AA103" s="3">
        <v>202.89121021783399</v>
      </c>
      <c r="AB103" s="16">
        <v>0</v>
      </c>
      <c r="AC103">
        <f t="shared" si="15"/>
        <v>0</v>
      </c>
      <c r="AE103" s="3">
        <v>24</v>
      </c>
      <c r="AF103" s="3">
        <v>202.89121021783399</v>
      </c>
      <c r="AG103" s="16">
        <v>0</v>
      </c>
      <c r="AH103">
        <f t="shared" si="16"/>
        <v>0</v>
      </c>
      <c r="AJ103" s="3">
        <v>24</v>
      </c>
      <c r="AK103" s="3">
        <v>202.89121021783399</v>
      </c>
      <c r="AL103" s="16">
        <v>0</v>
      </c>
      <c r="AM103">
        <f t="shared" si="17"/>
        <v>0</v>
      </c>
      <c r="AO103" s="3">
        <v>24</v>
      </c>
      <c r="AP103" s="3">
        <v>202.89121021783399</v>
      </c>
      <c r="AQ103" s="16">
        <v>0</v>
      </c>
      <c r="AR103">
        <f t="shared" si="18"/>
        <v>0</v>
      </c>
      <c r="AT103" s="3">
        <v>24</v>
      </c>
      <c r="AU103" s="3">
        <v>202.89121021783399</v>
      </c>
      <c r="AV103" s="16">
        <v>0</v>
      </c>
      <c r="AW103">
        <f t="shared" si="19"/>
        <v>0</v>
      </c>
    </row>
    <row r="104" spans="1:49" x14ac:dyDescent="0.3">
      <c r="A104" s="3">
        <v>24.5</v>
      </c>
      <c r="B104" s="16">
        <v>0</v>
      </c>
      <c r="C104" s="17">
        <v>5.3497289496920898E-9</v>
      </c>
      <c r="D104">
        <f t="shared" si="10"/>
        <v>0</v>
      </c>
      <c r="F104" s="3">
        <v>24.5</v>
      </c>
      <c r="G104" s="3">
        <v>0</v>
      </c>
      <c r="H104" s="17">
        <v>5.5022953433134197E-5</v>
      </c>
      <c r="I104">
        <f t="shared" si="11"/>
        <v>0</v>
      </c>
      <c r="K104" s="3">
        <v>24.5</v>
      </c>
      <c r="L104" s="3">
        <v>0</v>
      </c>
      <c r="M104" s="16">
        <v>0</v>
      </c>
      <c r="N104">
        <f t="shared" si="12"/>
        <v>0</v>
      </c>
      <c r="P104" s="3">
        <v>24.5</v>
      </c>
      <c r="Q104" s="3">
        <v>0</v>
      </c>
      <c r="R104" s="16">
        <v>0</v>
      </c>
      <c r="S104">
        <f t="shared" si="13"/>
        <v>0</v>
      </c>
      <c r="U104" s="3">
        <v>24.5</v>
      </c>
      <c r="V104" s="3">
        <v>0</v>
      </c>
      <c r="W104" s="17">
        <v>1.9795297784635799E-6</v>
      </c>
      <c r="X104">
        <f t="shared" si="14"/>
        <v>0</v>
      </c>
      <c r="Z104" s="3">
        <v>24.5</v>
      </c>
      <c r="AA104" s="3">
        <v>0</v>
      </c>
      <c r="AB104" s="16">
        <v>0</v>
      </c>
      <c r="AC104">
        <f t="shared" si="15"/>
        <v>0</v>
      </c>
      <c r="AE104" s="3">
        <v>24.5</v>
      </c>
      <c r="AF104" s="3">
        <v>0</v>
      </c>
      <c r="AG104" s="16">
        <v>0</v>
      </c>
      <c r="AH104">
        <f t="shared" si="16"/>
        <v>0</v>
      </c>
      <c r="AJ104" s="3">
        <v>24.5</v>
      </c>
      <c r="AK104" s="3">
        <v>0</v>
      </c>
      <c r="AL104" s="16">
        <v>0</v>
      </c>
      <c r="AM104">
        <f t="shared" si="17"/>
        <v>0</v>
      </c>
      <c r="AO104" s="3">
        <v>24.5</v>
      </c>
      <c r="AP104" s="3">
        <v>0</v>
      </c>
      <c r="AQ104" s="16">
        <v>0</v>
      </c>
      <c r="AR104">
        <f t="shared" si="18"/>
        <v>0</v>
      </c>
      <c r="AT104" s="3">
        <v>24.5</v>
      </c>
      <c r="AU104" s="3">
        <v>0</v>
      </c>
      <c r="AV104" s="16">
        <v>0</v>
      </c>
      <c r="AW104">
        <f t="shared" si="19"/>
        <v>0</v>
      </c>
    </row>
    <row r="105" spans="1:49" x14ac:dyDescent="0.3">
      <c r="A105" s="3">
        <v>25</v>
      </c>
      <c r="B105" s="16">
        <v>0</v>
      </c>
      <c r="C105" s="17">
        <v>4.7218334572784696E-9</v>
      </c>
      <c r="D105">
        <f t="shared" si="10"/>
        <v>0</v>
      </c>
      <c r="F105" s="3">
        <v>25</v>
      </c>
      <c r="G105" s="3">
        <v>0</v>
      </c>
      <c r="H105" s="17">
        <v>5.2246265371502002E-5</v>
      </c>
      <c r="I105">
        <f t="shared" si="11"/>
        <v>0</v>
      </c>
      <c r="K105" s="3">
        <v>25</v>
      </c>
      <c r="L105" s="3">
        <v>0</v>
      </c>
      <c r="M105" s="16">
        <v>0</v>
      </c>
      <c r="N105">
        <f t="shared" si="12"/>
        <v>0</v>
      </c>
      <c r="P105" s="3">
        <v>25</v>
      </c>
      <c r="Q105" s="3">
        <v>0</v>
      </c>
      <c r="R105" s="16">
        <v>0</v>
      </c>
      <c r="S105">
        <f t="shared" si="13"/>
        <v>0</v>
      </c>
      <c r="U105" s="3">
        <v>25</v>
      </c>
      <c r="V105" s="3">
        <v>0</v>
      </c>
      <c r="W105" s="17">
        <v>1.86953895767033E-6</v>
      </c>
      <c r="X105">
        <f t="shared" si="14"/>
        <v>0</v>
      </c>
      <c r="Z105" s="3">
        <v>25</v>
      </c>
      <c r="AA105" s="3">
        <v>0</v>
      </c>
      <c r="AB105" s="16">
        <v>0</v>
      </c>
      <c r="AC105">
        <f t="shared" si="15"/>
        <v>0</v>
      </c>
      <c r="AE105" s="3">
        <v>25</v>
      </c>
      <c r="AF105" s="3">
        <v>0</v>
      </c>
      <c r="AG105" s="16">
        <v>0</v>
      </c>
      <c r="AH105">
        <f t="shared" si="16"/>
        <v>0</v>
      </c>
      <c r="AJ105" s="3">
        <v>25</v>
      </c>
      <c r="AK105" s="3">
        <v>0</v>
      </c>
      <c r="AL105" s="16">
        <v>0</v>
      </c>
      <c r="AM105">
        <f t="shared" si="17"/>
        <v>0</v>
      </c>
      <c r="AO105" s="3">
        <v>25</v>
      </c>
      <c r="AP105" s="3">
        <v>0</v>
      </c>
      <c r="AQ105" s="16">
        <v>0</v>
      </c>
      <c r="AR105">
        <f t="shared" si="18"/>
        <v>0</v>
      </c>
      <c r="AT105" s="3">
        <v>25</v>
      </c>
      <c r="AU105" s="3">
        <v>0</v>
      </c>
      <c r="AV105" s="16">
        <v>0</v>
      </c>
      <c r="AW105">
        <f t="shared" si="19"/>
        <v>0</v>
      </c>
    </row>
    <row r="106" spans="1:49" x14ac:dyDescent="0.3">
      <c r="A106" s="3">
        <v>25.5</v>
      </c>
      <c r="B106" s="16">
        <v>0</v>
      </c>
      <c r="C106" s="17">
        <v>4.2367190918144903E-9</v>
      </c>
      <c r="D106">
        <f t="shared" si="10"/>
        <v>0</v>
      </c>
      <c r="F106" s="3">
        <v>25.5</v>
      </c>
      <c r="G106" s="3">
        <v>0</v>
      </c>
      <c r="H106" s="17">
        <v>5.03951399970806E-5</v>
      </c>
      <c r="I106">
        <f t="shared" si="11"/>
        <v>0</v>
      </c>
      <c r="K106" s="3">
        <v>25.5</v>
      </c>
      <c r="L106" s="3">
        <v>0</v>
      </c>
      <c r="M106" s="16">
        <v>0</v>
      </c>
      <c r="N106">
        <f t="shared" si="12"/>
        <v>0</v>
      </c>
      <c r="P106" s="3">
        <v>25.5</v>
      </c>
      <c r="Q106" s="3">
        <v>0</v>
      </c>
      <c r="R106" s="16">
        <v>0</v>
      </c>
      <c r="S106">
        <f t="shared" si="13"/>
        <v>0</v>
      </c>
      <c r="U106" s="3">
        <v>25.5</v>
      </c>
      <c r="V106" s="3">
        <v>0</v>
      </c>
      <c r="W106" s="17">
        <v>1.79621174380816E-6</v>
      </c>
      <c r="X106">
        <f t="shared" si="14"/>
        <v>0</v>
      </c>
      <c r="Z106" s="3">
        <v>25.5</v>
      </c>
      <c r="AA106" s="3">
        <v>0</v>
      </c>
      <c r="AB106" s="16">
        <v>0</v>
      </c>
      <c r="AC106">
        <f t="shared" si="15"/>
        <v>0</v>
      </c>
      <c r="AE106" s="3">
        <v>25.5</v>
      </c>
      <c r="AF106" s="3">
        <v>0</v>
      </c>
      <c r="AG106" s="16">
        <v>0</v>
      </c>
      <c r="AH106">
        <f t="shared" si="16"/>
        <v>0</v>
      </c>
      <c r="AJ106" s="3">
        <v>25.5</v>
      </c>
      <c r="AK106" s="3">
        <v>0</v>
      </c>
      <c r="AL106" s="16">
        <v>0</v>
      </c>
      <c r="AM106">
        <f t="shared" si="17"/>
        <v>0</v>
      </c>
      <c r="AO106" s="3">
        <v>25.5</v>
      </c>
      <c r="AP106" s="3">
        <v>0</v>
      </c>
      <c r="AQ106" s="16">
        <v>0</v>
      </c>
      <c r="AR106">
        <f t="shared" si="18"/>
        <v>0</v>
      </c>
      <c r="AT106" s="3">
        <v>25.5</v>
      </c>
      <c r="AU106" s="3">
        <v>0</v>
      </c>
      <c r="AV106" s="16">
        <v>0</v>
      </c>
      <c r="AW106">
        <f t="shared" si="19"/>
        <v>0</v>
      </c>
    </row>
    <row r="107" spans="1:49" x14ac:dyDescent="0.3">
      <c r="A107" s="3">
        <v>26</v>
      </c>
      <c r="B107" s="16">
        <v>0</v>
      </c>
      <c r="C107" s="17">
        <v>3.78691340045374E-9</v>
      </c>
      <c r="D107">
        <f t="shared" si="10"/>
        <v>0</v>
      </c>
      <c r="F107" s="3">
        <v>26</v>
      </c>
      <c r="G107" s="3">
        <v>0</v>
      </c>
      <c r="H107" s="17">
        <v>4.8729127160101297E-5</v>
      </c>
      <c r="I107">
        <f t="shared" si="11"/>
        <v>0</v>
      </c>
      <c r="K107" s="3">
        <v>26</v>
      </c>
      <c r="L107" s="3">
        <v>0</v>
      </c>
      <c r="M107" s="16">
        <v>0</v>
      </c>
      <c r="N107">
        <f t="shared" si="12"/>
        <v>0</v>
      </c>
      <c r="P107" s="3">
        <v>26</v>
      </c>
      <c r="Q107" s="3">
        <v>0</v>
      </c>
      <c r="R107" s="16">
        <v>0</v>
      </c>
      <c r="S107">
        <f t="shared" si="13"/>
        <v>0</v>
      </c>
      <c r="U107" s="3">
        <v>26</v>
      </c>
      <c r="V107" s="3">
        <v>0</v>
      </c>
      <c r="W107" s="17">
        <v>1.7302172513322101E-6</v>
      </c>
      <c r="X107">
        <f t="shared" si="14"/>
        <v>0</v>
      </c>
      <c r="Z107" s="3">
        <v>26</v>
      </c>
      <c r="AA107" s="3">
        <v>0</v>
      </c>
      <c r="AB107" s="16">
        <v>0</v>
      </c>
      <c r="AC107">
        <f t="shared" si="15"/>
        <v>0</v>
      </c>
      <c r="AE107" s="3">
        <v>26</v>
      </c>
      <c r="AF107" s="3">
        <v>0</v>
      </c>
      <c r="AG107" s="16">
        <v>0</v>
      </c>
      <c r="AH107">
        <f t="shared" si="16"/>
        <v>0</v>
      </c>
      <c r="AJ107" s="3">
        <v>26</v>
      </c>
      <c r="AK107" s="3">
        <v>0</v>
      </c>
      <c r="AL107" s="16">
        <v>0</v>
      </c>
      <c r="AM107">
        <f t="shared" si="17"/>
        <v>0</v>
      </c>
      <c r="AO107" s="3">
        <v>26</v>
      </c>
      <c r="AP107" s="3">
        <v>0</v>
      </c>
      <c r="AQ107" s="16">
        <v>0</v>
      </c>
      <c r="AR107">
        <f t="shared" si="18"/>
        <v>0</v>
      </c>
      <c r="AT107" s="3">
        <v>26</v>
      </c>
      <c r="AU107" s="3">
        <v>0</v>
      </c>
      <c r="AV107" s="16">
        <v>0</v>
      </c>
      <c r="AW107">
        <f t="shared" si="19"/>
        <v>0</v>
      </c>
    </row>
    <row r="108" spans="1:49" x14ac:dyDescent="0.3">
      <c r="A108" s="3">
        <v>26.5</v>
      </c>
      <c r="B108" s="16">
        <v>0</v>
      </c>
      <c r="C108" s="17">
        <v>3.4585337923887898E-9</v>
      </c>
      <c r="D108">
        <f t="shared" si="10"/>
        <v>0</v>
      </c>
      <c r="F108" s="3">
        <v>26.5</v>
      </c>
      <c r="G108" s="3">
        <v>0</v>
      </c>
      <c r="H108" s="17">
        <v>4.8036808733249903E-5</v>
      </c>
      <c r="I108">
        <f t="shared" si="11"/>
        <v>0</v>
      </c>
      <c r="K108" s="3">
        <v>26.5</v>
      </c>
      <c r="L108" s="3">
        <v>0</v>
      </c>
      <c r="M108" s="16">
        <v>0</v>
      </c>
      <c r="N108">
        <f t="shared" si="12"/>
        <v>0</v>
      </c>
      <c r="P108" s="3">
        <v>26.5</v>
      </c>
      <c r="Q108" s="3">
        <v>0</v>
      </c>
      <c r="R108" s="16">
        <v>0</v>
      </c>
      <c r="S108">
        <f t="shared" si="13"/>
        <v>0</v>
      </c>
      <c r="U108" s="3">
        <v>26.5</v>
      </c>
      <c r="V108" s="3">
        <v>0</v>
      </c>
      <c r="W108" s="17">
        <v>1.6603562127829401E-6</v>
      </c>
      <c r="X108">
        <f t="shared" si="14"/>
        <v>0</v>
      </c>
      <c r="Z108" s="3">
        <v>26.5</v>
      </c>
      <c r="AA108" s="3">
        <v>0</v>
      </c>
      <c r="AB108" s="16">
        <v>0</v>
      </c>
      <c r="AC108">
        <f t="shared" si="15"/>
        <v>0</v>
      </c>
      <c r="AE108" s="3">
        <v>26.5</v>
      </c>
      <c r="AF108" s="3">
        <v>0</v>
      </c>
      <c r="AG108" s="16">
        <v>0</v>
      </c>
      <c r="AH108">
        <f t="shared" si="16"/>
        <v>0</v>
      </c>
      <c r="AJ108" s="3">
        <v>26.5</v>
      </c>
      <c r="AK108" s="3">
        <v>0</v>
      </c>
      <c r="AL108" s="16">
        <v>0</v>
      </c>
      <c r="AM108">
        <f t="shared" si="17"/>
        <v>0</v>
      </c>
      <c r="AO108" s="3">
        <v>26.5</v>
      </c>
      <c r="AP108" s="3">
        <v>0</v>
      </c>
      <c r="AQ108" s="16">
        <v>0</v>
      </c>
      <c r="AR108">
        <f t="shared" si="18"/>
        <v>0</v>
      </c>
      <c r="AT108" s="3">
        <v>26.5</v>
      </c>
      <c r="AU108" s="3">
        <v>0</v>
      </c>
      <c r="AV108" s="16">
        <v>0</v>
      </c>
      <c r="AW108">
        <f t="shared" si="19"/>
        <v>0</v>
      </c>
    </row>
    <row r="109" spans="1:49" x14ac:dyDescent="0.3">
      <c r="A109" s="3">
        <v>27</v>
      </c>
      <c r="B109" s="16">
        <v>0</v>
      </c>
      <c r="C109" s="17">
        <v>3.0235070903573301E-9</v>
      </c>
      <c r="D109">
        <f t="shared" si="10"/>
        <v>0</v>
      </c>
      <c r="F109" s="3">
        <v>27</v>
      </c>
      <c r="G109" s="3">
        <v>0</v>
      </c>
      <c r="H109" s="17">
        <v>4.7407428345203202E-5</v>
      </c>
      <c r="I109">
        <f t="shared" si="11"/>
        <v>0</v>
      </c>
      <c r="K109" s="3">
        <v>27</v>
      </c>
      <c r="L109" s="3">
        <v>0</v>
      </c>
      <c r="M109" s="16">
        <v>0</v>
      </c>
      <c r="N109">
        <f t="shared" si="12"/>
        <v>0</v>
      </c>
      <c r="P109" s="3">
        <v>27</v>
      </c>
      <c r="Q109" s="3">
        <v>0</v>
      </c>
      <c r="R109" s="16">
        <v>0</v>
      </c>
      <c r="S109">
        <f t="shared" si="13"/>
        <v>0</v>
      </c>
      <c r="U109" s="3">
        <v>27</v>
      </c>
      <c r="V109" s="3">
        <v>0</v>
      </c>
      <c r="W109" s="17">
        <v>1.59684617773816E-6</v>
      </c>
      <c r="X109">
        <f t="shared" si="14"/>
        <v>0</v>
      </c>
      <c r="Z109" s="3">
        <v>27</v>
      </c>
      <c r="AA109" s="3">
        <v>0</v>
      </c>
      <c r="AB109" s="16">
        <v>0</v>
      </c>
      <c r="AC109">
        <f t="shared" si="15"/>
        <v>0</v>
      </c>
      <c r="AE109" s="3">
        <v>27</v>
      </c>
      <c r="AF109" s="3">
        <v>0</v>
      </c>
      <c r="AG109" s="16">
        <v>0</v>
      </c>
      <c r="AH109">
        <f t="shared" si="16"/>
        <v>0</v>
      </c>
      <c r="AJ109" s="3">
        <v>27</v>
      </c>
      <c r="AK109" s="3">
        <v>0</v>
      </c>
      <c r="AL109" s="16">
        <v>0</v>
      </c>
      <c r="AM109">
        <f t="shared" si="17"/>
        <v>0</v>
      </c>
      <c r="AO109" s="3">
        <v>27</v>
      </c>
      <c r="AP109" s="3">
        <v>0</v>
      </c>
      <c r="AQ109" s="16">
        <v>0</v>
      </c>
      <c r="AR109">
        <f t="shared" si="18"/>
        <v>0</v>
      </c>
      <c r="AT109" s="3">
        <v>27</v>
      </c>
      <c r="AU109" s="3">
        <v>0</v>
      </c>
      <c r="AV109" s="16">
        <v>0</v>
      </c>
      <c r="AW109">
        <f t="shared" si="19"/>
        <v>0</v>
      </c>
    </row>
    <row r="110" spans="1:49" x14ac:dyDescent="0.3">
      <c r="A110" s="3">
        <v>27.5</v>
      </c>
      <c r="B110" s="16">
        <v>0</v>
      </c>
      <c r="C110" s="17">
        <v>2.79005567201854E-9</v>
      </c>
      <c r="D110">
        <f t="shared" si="10"/>
        <v>0</v>
      </c>
      <c r="F110" s="3">
        <v>27.5</v>
      </c>
      <c r="G110" s="3">
        <v>0</v>
      </c>
      <c r="H110" s="17">
        <v>4.6778047957156501E-5</v>
      </c>
      <c r="I110">
        <f t="shared" si="11"/>
        <v>0</v>
      </c>
      <c r="K110" s="3">
        <v>27.5</v>
      </c>
      <c r="L110" s="3">
        <v>0</v>
      </c>
      <c r="M110" s="16">
        <v>0</v>
      </c>
      <c r="N110">
        <f t="shared" si="12"/>
        <v>0</v>
      </c>
      <c r="P110" s="3">
        <v>27.5</v>
      </c>
      <c r="Q110" s="3">
        <v>0</v>
      </c>
      <c r="R110" s="16">
        <v>0</v>
      </c>
      <c r="S110">
        <f t="shared" si="13"/>
        <v>0</v>
      </c>
      <c r="U110" s="3">
        <v>27.5</v>
      </c>
      <c r="V110" s="3">
        <v>0</v>
      </c>
      <c r="W110" s="17">
        <v>1.53333614269337E-6</v>
      </c>
      <c r="X110">
        <f t="shared" si="14"/>
        <v>0</v>
      </c>
      <c r="Z110" s="3">
        <v>27.5</v>
      </c>
      <c r="AA110" s="3">
        <v>0</v>
      </c>
      <c r="AB110" s="16">
        <v>0</v>
      </c>
      <c r="AC110">
        <f t="shared" si="15"/>
        <v>0</v>
      </c>
      <c r="AE110" s="3">
        <v>27.5</v>
      </c>
      <c r="AF110" s="3">
        <v>0</v>
      </c>
      <c r="AG110" s="16">
        <v>0</v>
      </c>
      <c r="AH110">
        <f t="shared" si="16"/>
        <v>0</v>
      </c>
      <c r="AJ110" s="3">
        <v>27.5</v>
      </c>
      <c r="AK110" s="3">
        <v>0</v>
      </c>
      <c r="AL110" s="16">
        <v>0</v>
      </c>
      <c r="AM110">
        <f t="shared" si="17"/>
        <v>0</v>
      </c>
      <c r="AO110" s="3">
        <v>27.5</v>
      </c>
      <c r="AP110" s="3">
        <v>0</v>
      </c>
      <c r="AQ110" s="16">
        <v>0</v>
      </c>
      <c r="AR110">
        <f t="shared" si="18"/>
        <v>0</v>
      </c>
      <c r="AT110" s="3">
        <v>27.5</v>
      </c>
      <c r="AU110" s="3">
        <v>0</v>
      </c>
      <c r="AV110" s="16">
        <v>0</v>
      </c>
      <c r="AW110">
        <f t="shared" si="19"/>
        <v>0</v>
      </c>
    </row>
    <row r="111" spans="1:49" x14ac:dyDescent="0.3">
      <c r="A111" s="3">
        <v>28</v>
      </c>
      <c r="B111" s="16">
        <v>0</v>
      </c>
      <c r="C111" s="17">
        <v>2.5213611315453201E-9</v>
      </c>
      <c r="D111">
        <f t="shared" si="10"/>
        <v>0</v>
      </c>
      <c r="F111" s="3">
        <v>28</v>
      </c>
      <c r="G111" s="3">
        <v>0</v>
      </c>
      <c r="H111" s="17">
        <v>4.61486675691098E-5</v>
      </c>
      <c r="I111">
        <f t="shared" si="11"/>
        <v>0</v>
      </c>
      <c r="K111" s="3">
        <v>28</v>
      </c>
      <c r="L111" s="3">
        <v>0</v>
      </c>
      <c r="M111" s="16">
        <v>0</v>
      </c>
      <c r="N111">
        <f t="shared" si="12"/>
        <v>0</v>
      </c>
      <c r="P111" s="3">
        <v>28</v>
      </c>
      <c r="Q111" s="3">
        <v>0</v>
      </c>
      <c r="R111" s="16">
        <v>0</v>
      </c>
      <c r="S111">
        <f t="shared" si="13"/>
        <v>0</v>
      </c>
      <c r="U111" s="3">
        <v>28</v>
      </c>
      <c r="V111" s="3">
        <v>0</v>
      </c>
      <c r="W111" s="17">
        <v>1.4698261076485799E-6</v>
      </c>
      <c r="X111">
        <f t="shared" si="14"/>
        <v>0</v>
      </c>
      <c r="Z111" s="3">
        <v>28</v>
      </c>
      <c r="AA111" s="3">
        <v>0</v>
      </c>
      <c r="AB111" s="16">
        <v>0</v>
      </c>
      <c r="AC111">
        <f t="shared" si="15"/>
        <v>0</v>
      </c>
      <c r="AE111" s="3">
        <v>28</v>
      </c>
      <c r="AF111" s="3">
        <v>0</v>
      </c>
      <c r="AG111" s="16">
        <v>0</v>
      </c>
      <c r="AH111">
        <f t="shared" si="16"/>
        <v>0</v>
      </c>
      <c r="AJ111" s="3">
        <v>28</v>
      </c>
      <c r="AK111" s="3">
        <v>0</v>
      </c>
      <c r="AL111" s="16">
        <v>0</v>
      </c>
      <c r="AM111">
        <f t="shared" si="17"/>
        <v>0</v>
      </c>
      <c r="AO111" s="3">
        <v>28</v>
      </c>
      <c r="AP111" s="3">
        <v>0</v>
      </c>
      <c r="AQ111" s="16">
        <v>0</v>
      </c>
      <c r="AR111">
        <f t="shared" si="18"/>
        <v>0</v>
      </c>
      <c r="AT111" s="3">
        <v>28</v>
      </c>
      <c r="AU111" s="3">
        <v>0</v>
      </c>
      <c r="AV111" s="16">
        <v>0</v>
      </c>
      <c r="AW111">
        <f t="shared" si="19"/>
        <v>0</v>
      </c>
    </row>
    <row r="112" spans="1:49" x14ac:dyDescent="0.3">
      <c r="A112" s="3">
        <v>28.5</v>
      </c>
      <c r="B112" s="16">
        <v>0</v>
      </c>
      <c r="C112" s="17">
        <v>2.28036825715967E-9</v>
      </c>
      <c r="D112">
        <f t="shared" si="10"/>
        <v>0</v>
      </c>
      <c r="F112" s="3">
        <v>28.5</v>
      </c>
      <c r="G112" s="3">
        <v>0</v>
      </c>
      <c r="H112" s="17">
        <v>4.5833977375086503E-5</v>
      </c>
      <c r="I112">
        <f t="shared" si="11"/>
        <v>0</v>
      </c>
      <c r="K112" s="3">
        <v>28.5</v>
      </c>
      <c r="L112" s="3">
        <v>0</v>
      </c>
      <c r="M112" s="16">
        <v>0</v>
      </c>
      <c r="N112">
        <f t="shared" si="12"/>
        <v>0</v>
      </c>
      <c r="P112" s="3">
        <v>28.5</v>
      </c>
      <c r="Q112" s="3">
        <v>0</v>
      </c>
      <c r="R112" s="16">
        <v>0</v>
      </c>
      <c r="S112">
        <f t="shared" si="13"/>
        <v>0</v>
      </c>
      <c r="U112" s="3">
        <v>28.5</v>
      </c>
      <c r="V112" s="3">
        <v>0</v>
      </c>
      <c r="W112" s="17">
        <v>1.43807109012618E-6</v>
      </c>
      <c r="X112">
        <f t="shared" si="14"/>
        <v>0</v>
      </c>
      <c r="Z112" s="3">
        <v>28.5</v>
      </c>
      <c r="AA112" s="3">
        <v>0</v>
      </c>
      <c r="AB112" s="16">
        <v>0</v>
      </c>
      <c r="AC112">
        <f t="shared" si="15"/>
        <v>0</v>
      </c>
      <c r="AE112" s="3">
        <v>28.5</v>
      </c>
      <c r="AF112" s="3">
        <v>0</v>
      </c>
      <c r="AG112" s="16">
        <v>0</v>
      </c>
      <c r="AH112">
        <f t="shared" si="16"/>
        <v>0</v>
      </c>
      <c r="AJ112" s="3">
        <v>28.5</v>
      </c>
      <c r="AK112" s="3">
        <v>0</v>
      </c>
      <c r="AL112" s="16">
        <v>0</v>
      </c>
      <c r="AM112">
        <f t="shared" si="17"/>
        <v>0</v>
      </c>
      <c r="AO112" s="3">
        <v>28.5</v>
      </c>
      <c r="AP112" s="3">
        <v>0</v>
      </c>
      <c r="AQ112" s="16">
        <v>0</v>
      </c>
      <c r="AR112">
        <f t="shared" si="18"/>
        <v>0</v>
      </c>
      <c r="AT112" s="3">
        <v>28.5</v>
      </c>
      <c r="AU112" s="3">
        <v>0</v>
      </c>
      <c r="AV112" s="16">
        <v>0</v>
      </c>
      <c r="AW112">
        <f t="shared" si="19"/>
        <v>0</v>
      </c>
    </row>
    <row r="113" spans="1:49" x14ac:dyDescent="0.3">
      <c r="A113" s="3">
        <v>29</v>
      </c>
      <c r="B113" s="16">
        <v>0</v>
      </c>
      <c r="C113" s="17">
        <v>2.0621517122968199E-9</v>
      </c>
      <c r="D113">
        <f t="shared" si="10"/>
        <v>0</v>
      </c>
      <c r="F113" s="3">
        <v>29</v>
      </c>
      <c r="G113" s="3">
        <v>0</v>
      </c>
      <c r="H113" s="17">
        <v>4.3299390821569402E-5</v>
      </c>
      <c r="I113">
        <f t="shared" si="11"/>
        <v>0</v>
      </c>
      <c r="K113" s="3">
        <v>29</v>
      </c>
      <c r="L113" s="3">
        <v>0</v>
      </c>
      <c r="M113" s="16">
        <v>0</v>
      </c>
      <c r="N113">
        <f t="shared" si="12"/>
        <v>0</v>
      </c>
      <c r="P113" s="3">
        <v>29</v>
      </c>
      <c r="Q113" s="3">
        <v>0</v>
      </c>
      <c r="R113" s="16">
        <v>0</v>
      </c>
      <c r="S113">
        <f t="shared" si="13"/>
        <v>0</v>
      </c>
      <c r="U113" s="3">
        <v>29</v>
      </c>
      <c r="V113" s="3">
        <v>0</v>
      </c>
      <c r="W113" s="17">
        <v>1.3686368695807901E-6</v>
      </c>
      <c r="X113">
        <f t="shared" si="14"/>
        <v>0</v>
      </c>
      <c r="Z113" s="3">
        <v>29</v>
      </c>
      <c r="AA113" s="3">
        <v>0</v>
      </c>
      <c r="AB113" s="16">
        <v>0</v>
      </c>
      <c r="AC113">
        <f t="shared" si="15"/>
        <v>0</v>
      </c>
      <c r="AE113" s="3">
        <v>29</v>
      </c>
      <c r="AF113" s="3">
        <v>0</v>
      </c>
      <c r="AG113" s="16">
        <v>0</v>
      </c>
      <c r="AH113">
        <f t="shared" si="16"/>
        <v>0</v>
      </c>
      <c r="AJ113" s="3">
        <v>29</v>
      </c>
      <c r="AK113" s="3">
        <v>0</v>
      </c>
      <c r="AL113" s="16">
        <v>0</v>
      </c>
      <c r="AM113">
        <f t="shared" si="17"/>
        <v>0</v>
      </c>
      <c r="AO113" s="3">
        <v>29</v>
      </c>
      <c r="AP113" s="3">
        <v>0</v>
      </c>
      <c r="AQ113" s="16">
        <v>0</v>
      </c>
      <c r="AR113">
        <f t="shared" si="18"/>
        <v>0</v>
      </c>
      <c r="AT113" s="3">
        <v>29</v>
      </c>
      <c r="AU113" s="3">
        <v>0</v>
      </c>
      <c r="AV113" s="16">
        <v>0</v>
      </c>
      <c r="AW113">
        <f t="shared" si="19"/>
        <v>0</v>
      </c>
    </row>
    <row r="114" spans="1:49" x14ac:dyDescent="0.3">
      <c r="A114" s="3">
        <v>29.5</v>
      </c>
      <c r="B114" s="16">
        <v>0</v>
      </c>
      <c r="C114" s="17">
        <v>1.8281448900042101E-9</v>
      </c>
      <c r="D114">
        <f t="shared" si="10"/>
        <v>0</v>
      </c>
      <c r="F114" s="3">
        <v>29.5</v>
      </c>
      <c r="G114" s="3">
        <v>0</v>
      </c>
      <c r="H114" s="17">
        <v>4.1609666452557997E-5</v>
      </c>
      <c r="I114">
        <f t="shared" si="11"/>
        <v>0</v>
      </c>
      <c r="K114" s="3">
        <v>29.5</v>
      </c>
      <c r="L114" s="3">
        <v>0</v>
      </c>
      <c r="M114" s="16">
        <v>0</v>
      </c>
      <c r="N114">
        <f t="shared" si="12"/>
        <v>0</v>
      </c>
      <c r="P114" s="3">
        <v>29.5</v>
      </c>
      <c r="Q114" s="3">
        <v>0</v>
      </c>
      <c r="R114" s="16">
        <v>0</v>
      </c>
      <c r="S114">
        <f t="shared" si="13"/>
        <v>0</v>
      </c>
      <c r="U114" s="3">
        <v>29.5</v>
      </c>
      <c r="V114" s="3">
        <v>0</v>
      </c>
      <c r="W114" s="17">
        <v>1.3223473892172001E-6</v>
      </c>
      <c r="X114">
        <f t="shared" si="14"/>
        <v>0</v>
      </c>
      <c r="Z114" s="3">
        <v>29.5</v>
      </c>
      <c r="AA114" s="3">
        <v>0</v>
      </c>
      <c r="AB114" s="16">
        <v>0</v>
      </c>
      <c r="AC114">
        <f t="shared" si="15"/>
        <v>0</v>
      </c>
      <c r="AE114" s="3">
        <v>29.5</v>
      </c>
      <c r="AF114" s="3">
        <v>0</v>
      </c>
      <c r="AG114" s="16">
        <v>0</v>
      </c>
      <c r="AH114">
        <f t="shared" si="16"/>
        <v>0</v>
      </c>
      <c r="AJ114" s="3">
        <v>29.5</v>
      </c>
      <c r="AK114" s="3">
        <v>0</v>
      </c>
      <c r="AL114" s="16">
        <v>0</v>
      </c>
      <c r="AM114">
        <f t="shared" si="17"/>
        <v>0</v>
      </c>
      <c r="AO114" s="3">
        <v>29.5</v>
      </c>
      <c r="AP114" s="3">
        <v>0</v>
      </c>
      <c r="AQ114" s="16">
        <v>0</v>
      </c>
      <c r="AR114">
        <f t="shared" si="18"/>
        <v>0</v>
      </c>
      <c r="AT114" s="3">
        <v>29.5</v>
      </c>
      <c r="AU114" s="3">
        <v>0</v>
      </c>
      <c r="AV114" s="16">
        <v>0</v>
      </c>
      <c r="AW114">
        <f t="shared" si="19"/>
        <v>0</v>
      </c>
    </row>
    <row r="115" spans="1:49" x14ac:dyDescent="0.3">
      <c r="A115" s="3">
        <v>30</v>
      </c>
      <c r="B115" s="16">
        <v>0</v>
      </c>
      <c r="C115" s="17">
        <v>1.6672881056216801E-9</v>
      </c>
      <c r="D115">
        <f t="shared" si="10"/>
        <v>0</v>
      </c>
      <c r="F115" s="3">
        <v>30</v>
      </c>
      <c r="G115" s="3">
        <v>0</v>
      </c>
      <c r="H115" s="17">
        <v>3.99199420835467E-5</v>
      </c>
      <c r="I115">
        <f t="shared" si="11"/>
        <v>0</v>
      </c>
      <c r="K115" s="3">
        <v>30</v>
      </c>
      <c r="L115" s="3">
        <v>0</v>
      </c>
      <c r="M115" s="16">
        <v>0</v>
      </c>
      <c r="N115">
        <f t="shared" si="12"/>
        <v>0</v>
      </c>
      <c r="P115" s="3">
        <v>30</v>
      </c>
      <c r="Q115" s="3">
        <v>0</v>
      </c>
      <c r="R115" s="16">
        <v>0</v>
      </c>
      <c r="S115">
        <f t="shared" si="13"/>
        <v>0</v>
      </c>
      <c r="U115" s="3">
        <v>30</v>
      </c>
      <c r="V115" s="3">
        <v>0</v>
      </c>
      <c r="W115" s="17">
        <v>1.2760579088536101E-6</v>
      </c>
      <c r="X115">
        <f t="shared" si="14"/>
        <v>0</v>
      </c>
      <c r="Z115" s="3">
        <v>30</v>
      </c>
      <c r="AA115" s="3">
        <v>0</v>
      </c>
      <c r="AB115" s="16">
        <v>0</v>
      </c>
      <c r="AC115">
        <f t="shared" si="15"/>
        <v>0</v>
      </c>
      <c r="AE115" s="3">
        <v>30</v>
      </c>
      <c r="AF115" s="3">
        <v>0</v>
      </c>
      <c r="AG115" s="16">
        <v>0</v>
      </c>
      <c r="AH115">
        <f t="shared" si="16"/>
        <v>0</v>
      </c>
      <c r="AJ115" s="3">
        <v>30</v>
      </c>
      <c r="AK115" s="3">
        <v>0</v>
      </c>
      <c r="AL115" s="16">
        <v>0</v>
      </c>
      <c r="AM115">
        <f t="shared" si="17"/>
        <v>0</v>
      </c>
      <c r="AO115" s="3">
        <v>30</v>
      </c>
      <c r="AP115" s="3">
        <v>0</v>
      </c>
      <c r="AQ115" s="16">
        <v>0</v>
      </c>
      <c r="AR115">
        <f t="shared" si="18"/>
        <v>0</v>
      </c>
      <c r="AT115" s="3">
        <v>30</v>
      </c>
      <c r="AU115" s="3">
        <v>0</v>
      </c>
      <c r="AV115" s="16">
        <v>0</v>
      </c>
      <c r="AW115">
        <f t="shared" si="19"/>
        <v>0</v>
      </c>
    </row>
    <row r="116" spans="1:49" x14ac:dyDescent="0.3">
      <c r="AB116" s="16"/>
    </row>
    <row r="117" spans="1:49" x14ac:dyDescent="0.3">
      <c r="A117" t="s">
        <v>61</v>
      </c>
      <c r="D117">
        <f>SUM(D3:D116)</f>
        <v>33834.69220664083</v>
      </c>
      <c r="I117">
        <f>SUM(I3:I116)</f>
        <v>12.990988275667881</v>
      </c>
      <c r="N117">
        <f>SUM(N3:N116)</f>
        <v>32.551493547628709</v>
      </c>
      <c r="S117">
        <f>SUM(S3:S116)</f>
        <v>17.712547027235942</v>
      </c>
      <c r="X117">
        <f>SUM(X3:X116)</f>
        <v>3.7236578557081352</v>
      </c>
      <c r="AC117">
        <f>SUM(AC3:AC116)</f>
        <v>0.13467708768450987</v>
      </c>
      <c r="AH117">
        <f>SUM(AH3:AH116)</f>
        <v>3.8065901004120919</v>
      </c>
      <c r="AM117">
        <f>SUM(AM3:AM116)</f>
        <v>700.69933383870102</v>
      </c>
      <c r="AR117">
        <f>SUM(AR3:AR116)</f>
        <v>10.627323976951599</v>
      </c>
      <c r="AW117">
        <f>SUM(AW3:AW116)</f>
        <v>20.793078818516765</v>
      </c>
    </row>
    <row r="124" spans="1:49" ht="31" x14ac:dyDescent="0.35">
      <c r="A124" s="21" t="s">
        <v>60</v>
      </c>
      <c r="B124">
        <f>ABS((D117-activity_Ami!D242)/activity_Ami!D242)</f>
        <v>1.6152174697871178E-6</v>
      </c>
      <c r="F124" s="23" t="s">
        <v>60</v>
      </c>
      <c r="G124">
        <f>ABS((I117-activity_Ami!I242)/activity_Ami!I242)</f>
        <v>0.12062386951400521</v>
      </c>
      <c r="K124" s="23" t="s">
        <v>60</v>
      </c>
      <c r="L124">
        <f>ABS((N117-activity_Ami!N242)/activity_Ami!N242)</f>
        <v>6.7794861999844122E-2</v>
      </c>
      <c r="P124" s="23" t="s">
        <v>60</v>
      </c>
      <c r="Q124">
        <f>ABS((S117-activity_Ami!S242)/activity_Ami!S242)</f>
        <v>0.14743363157334982</v>
      </c>
      <c r="U124" s="23" t="s">
        <v>60</v>
      </c>
      <c r="V124">
        <f>ABS((X117-activity_Ami!X242)/activity_Ami!X242)</f>
        <v>9.0632824143985657E-2</v>
      </c>
      <c r="Z124" s="23" t="s">
        <v>60</v>
      </c>
      <c r="AA124">
        <f>ABS((AC117-activity_Ami!AC242)/activity_Ami!AC242)</f>
        <v>0.10669542952504817</v>
      </c>
      <c r="AE124" s="23" t="s">
        <v>60</v>
      </c>
      <c r="AF124">
        <f>ABS((AH117-activity_Ami!AH242)/activity_Ami!AH242)</f>
        <v>0.12740836181001411</v>
      </c>
      <c r="AJ124" s="23" t="s">
        <v>60</v>
      </c>
      <c r="AK124">
        <f>ABS((AM117-activity_Ami!AM242)/activity_Ami!AM242)</f>
        <v>1.7464044155114791E-2</v>
      </c>
      <c r="AO124" s="23" t="s">
        <v>60</v>
      </c>
      <c r="AP124">
        <f>ABS((AR117-activity_Ami!AR242)/activity_Ami!AR242)</f>
        <v>1.3259797026290166E-2</v>
      </c>
      <c r="AT124" s="23" t="s">
        <v>60</v>
      </c>
      <c r="AU124">
        <f>ABS((AW117-activity_Ami!AW242)/activity_Ami!AW242)</f>
        <v>7.941570551780941E-2</v>
      </c>
    </row>
    <row r="125" spans="1:49" ht="15.5" x14ac:dyDescent="0.35">
      <c r="A125" s="21"/>
      <c r="F125" s="23"/>
      <c r="K125" s="23"/>
      <c r="P125" s="23"/>
      <c r="U125" s="23"/>
      <c r="Z125" s="23"/>
      <c r="AE125" s="23"/>
      <c r="AJ125" s="23"/>
      <c r="AO125" s="23"/>
      <c r="AT125" s="23"/>
    </row>
    <row r="126" spans="1:49" ht="15.5" x14ac:dyDescent="0.35">
      <c r="A126" s="21"/>
      <c r="F126" s="23"/>
      <c r="K126" s="23"/>
      <c r="P126" s="23"/>
      <c r="U126" s="23"/>
      <c r="Z126" s="23"/>
      <c r="AE126" s="23"/>
      <c r="AJ126" s="23"/>
      <c r="AO126" s="23"/>
      <c r="AT126" s="23"/>
    </row>
    <row r="127" spans="1:49" ht="15.5" x14ac:dyDescent="0.35">
      <c r="A127" s="21"/>
      <c r="F127" s="23"/>
      <c r="K127" s="23"/>
      <c r="P127" s="23"/>
      <c r="U127" s="23"/>
      <c r="Z127" s="23"/>
      <c r="AE127" s="23"/>
      <c r="AJ127" s="23"/>
      <c r="AO127" s="23"/>
      <c r="AT127" s="23"/>
    </row>
    <row r="128" spans="1:49" ht="15.5" x14ac:dyDescent="0.35">
      <c r="A128" s="21"/>
      <c r="F128" s="23"/>
      <c r="K128" s="23"/>
      <c r="P128" s="23"/>
      <c r="U128" s="23"/>
      <c r="Z128" s="23"/>
      <c r="AE128" s="23"/>
      <c r="AJ128" s="23"/>
      <c r="AO128" s="23"/>
      <c r="AT128" s="23"/>
    </row>
    <row r="129" spans="1:47" ht="15.5" x14ac:dyDescent="0.35">
      <c r="A129" s="21"/>
      <c r="F129" s="23"/>
      <c r="K129" s="23"/>
      <c r="P129" s="23"/>
      <c r="U129" s="23"/>
      <c r="Z129" s="23"/>
      <c r="AE129" s="23"/>
      <c r="AJ129" s="23"/>
      <c r="AO129" s="23"/>
      <c r="AT129" s="23"/>
    </row>
    <row r="130" spans="1:47" x14ac:dyDescent="0.3">
      <c r="A130" t="s">
        <v>72</v>
      </c>
      <c r="B130">
        <f>activity_Ami!D242/'113groups_result'!D117</f>
        <v>0.99999838478513914</v>
      </c>
      <c r="F130" t="s">
        <v>64</v>
      </c>
      <c r="G130">
        <f>activity_Ami!I242/'113groups_result'!I117</f>
        <v>1.1371698245292847</v>
      </c>
      <c r="K130" t="s">
        <v>64</v>
      </c>
      <c r="L130">
        <f>activity_Ami!N242/'113groups_result'!N117</f>
        <v>1.0727252610356592</v>
      </c>
      <c r="P130" t="s">
        <v>64</v>
      </c>
      <c r="Q130">
        <f>activity_Ami!S242/'113groups_result'!S117</f>
        <v>1.1729292135290628</v>
      </c>
      <c r="U130" t="s">
        <v>64</v>
      </c>
      <c r="V130">
        <f>activity_Ami!X242/'113groups_result'!X117</f>
        <v>1.0996658187697068</v>
      </c>
      <c r="Z130" t="s">
        <v>64</v>
      </c>
      <c r="AA130">
        <f>activity_Ami!AC242/'113groups_result'!AC117</f>
        <v>1.1194390279099551</v>
      </c>
      <c r="AE130" t="s">
        <v>64</v>
      </c>
      <c r="AF130">
        <f>activity_Ami!AH242/'113groups_result'!AH117</f>
        <v>1.1460114402130839</v>
      </c>
      <c r="AJ130" t="s">
        <v>64</v>
      </c>
      <c r="AK130">
        <f>activity_Ami!AM242/'113groups_result'!AM117</f>
        <v>1.0177744580757835</v>
      </c>
      <c r="AO130" t="s">
        <v>64</v>
      </c>
      <c r="AP130">
        <f>activity_Ami!AR242/'113groups_result'!AR117</f>
        <v>0.98691372433288582</v>
      </c>
      <c r="AT130" t="s">
        <v>64</v>
      </c>
      <c r="AU130">
        <f>activity_Ami!AW242/'113groups_result'!AW117</f>
        <v>1.0862666308710807</v>
      </c>
    </row>
    <row r="136" spans="1:47" x14ac:dyDescent="0.3">
      <c r="A136" t="s">
        <v>69</v>
      </c>
      <c r="B136">
        <f>0.1*(B124+G124+L124+Q124+V124+AA124+AF124+AK124+AP124+AU124)</f>
        <v>7.7073014048293143E-2</v>
      </c>
    </row>
    <row r="144" spans="1:47" x14ac:dyDescent="0.3">
      <c r="A144" t="s">
        <v>73</v>
      </c>
      <c r="B144">
        <f>(((B130-1)^2+(G130-1)^2+(L130-1)^2+(Q130-1)^2+(V130-1)^2+(AA130-1)^2+(AF130-1)^2+(AK130-1)^2+(AP130-1)^2+(AU130-1)^2)/9)^0.5</f>
        <v>0.10926850126244549</v>
      </c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72"/>
  <sheetViews>
    <sheetView topLeftCell="A232" workbookViewId="0">
      <selection activeCell="A272" sqref="A272:B272"/>
    </sheetView>
  </sheetViews>
  <sheetFormatPr defaultRowHeight="14.5" x14ac:dyDescent="0.3"/>
  <cols>
    <col min="2" max="2" width="11" customWidth="1"/>
    <col min="5" max="5" width="1.5" customWidth="1"/>
    <col min="10" max="10" width="1.69921875" customWidth="1"/>
    <col min="15" max="15" width="1.3984375" customWidth="1"/>
    <col min="20" max="20" width="1.19921875" customWidth="1"/>
    <col min="25" max="25" width="1.3984375" customWidth="1"/>
    <col min="30" max="30" width="1.3984375" customWidth="1"/>
    <col min="35" max="35" width="1.3984375" customWidth="1"/>
    <col min="40" max="40" width="1.5" customWidth="1"/>
    <col min="45" max="45" width="1.296875" customWidth="1"/>
  </cols>
  <sheetData>
    <row r="1" spans="1:49" x14ac:dyDescent="0.3">
      <c r="A1" s="26" t="s">
        <v>42</v>
      </c>
      <c r="B1" s="26"/>
      <c r="C1" s="26"/>
      <c r="D1" s="27"/>
      <c r="F1" s="26" t="s">
        <v>14</v>
      </c>
      <c r="G1" s="26"/>
      <c r="H1" s="26"/>
      <c r="I1" s="27"/>
      <c r="K1" s="26" t="s">
        <v>1</v>
      </c>
      <c r="L1" s="26"/>
      <c r="M1" s="26"/>
      <c r="N1" s="27"/>
      <c r="P1" s="26" t="s">
        <v>2</v>
      </c>
      <c r="Q1" s="26"/>
      <c r="R1" s="26"/>
      <c r="S1" s="27"/>
      <c r="U1" s="26" t="s">
        <v>3</v>
      </c>
      <c r="V1" s="26"/>
      <c r="W1" s="26"/>
      <c r="X1" s="27"/>
      <c r="Z1" s="26" t="s">
        <v>10</v>
      </c>
      <c r="AA1" s="26"/>
      <c r="AB1" s="26"/>
      <c r="AC1" s="27"/>
      <c r="AE1" s="26" t="s">
        <v>5</v>
      </c>
      <c r="AF1" s="26"/>
      <c r="AG1" s="26"/>
      <c r="AH1" s="27"/>
      <c r="AJ1" s="26" t="s">
        <v>12</v>
      </c>
      <c r="AK1" s="26"/>
      <c r="AL1" s="26"/>
      <c r="AM1" s="27"/>
      <c r="AO1" s="26" t="s">
        <v>33</v>
      </c>
      <c r="AP1" s="26"/>
      <c r="AQ1" s="26"/>
      <c r="AR1" s="27"/>
      <c r="AT1" s="26" t="s">
        <v>44</v>
      </c>
      <c r="AU1" s="26"/>
      <c r="AV1" s="26"/>
      <c r="AW1" s="27"/>
    </row>
    <row r="2" spans="1:49" x14ac:dyDescent="0.3">
      <c r="A2" s="1" t="s">
        <v>55</v>
      </c>
      <c r="B2" s="1" t="s">
        <v>56</v>
      </c>
      <c r="C2" s="1" t="s">
        <v>57</v>
      </c>
      <c r="D2" s="1" t="s">
        <v>58</v>
      </c>
      <c r="F2" s="1" t="s">
        <v>55</v>
      </c>
      <c r="G2" s="1" t="s">
        <v>56</v>
      </c>
      <c r="H2" s="1" t="s">
        <v>57</v>
      </c>
      <c r="I2" s="1" t="s">
        <v>58</v>
      </c>
      <c r="K2" s="1" t="s">
        <v>55</v>
      </c>
      <c r="L2" s="1" t="s">
        <v>56</v>
      </c>
      <c r="M2" s="1" t="s">
        <v>57</v>
      </c>
      <c r="N2" s="1" t="s">
        <v>58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55</v>
      </c>
      <c r="V2" s="1" t="s">
        <v>56</v>
      </c>
      <c r="W2" s="1" t="s">
        <v>57</v>
      </c>
      <c r="X2" s="1" t="s">
        <v>58</v>
      </c>
      <c r="Z2" s="1" t="s">
        <v>55</v>
      </c>
      <c r="AA2" s="1" t="s">
        <v>56</v>
      </c>
      <c r="AB2" s="1" t="s">
        <v>57</v>
      </c>
      <c r="AC2" s="1" t="s">
        <v>58</v>
      </c>
      <c r="AE2" s="1" t="s">
        <v>55</v>
      </c>
      <c r="AF2" s="1" t="s">
        <v>56</v>
      </c>
      <c r="AG2" s="1" t="s">
        <v>57</v>
      </c>
      <c r="AH2" s="1" t="s">
        <v>58</v>
      </c>
      <c r="AJ2" s="1" t="s">
        <v>55</v>
      </c>
      <c r="AK2" s="1" t="s">
        <v>56</v>
      </c>
      <c r="AL2" s="1" t="s">
        <v>57</v>
      </c>
      <c r="AM2" s="1" t="s">
        <v>58</v>
      </c>
      <c r="AO2" s="1" t="s">
        <v>55</v>
      </c>
      <c r="AP2" s="1" t="s">
        <v>56</v>
      </c>
      <c r="AQ2" s="1" t="s">
        <v>57</v>
      </c>
      <c r="AR2" s="1" t="s">
        <v>58</v>
      </c>
      <c r="AT2" s="1" t="s">
        <v>55</v>
      </c>
      <c r="AU2" s="1" t="s">
        <v>56</v>
      </c>
      <c r="AV2" s="1" t="s">
        <v>57</v>
      </c>
      <c r="AW2" s="1" t="s">
        <v>58</v>
      </c>
    </row>
    <row r="3" spans="1:49" x14ac:dyDescent="0.3">
      <c r="A3" s="2">
        <v>9.9999999999999994E-12</v>
      </c>
      <c r="B3" s="16">
        <v>0</v>
      </c>
      <c r="C3" s="16">
        <v>0</v>
      </c>
      <c r="D3">
        <f>B3*C3</f>
        <v>0</v>
      </c>
      <c r="F3" s="2">
        <v>9.9999999999999994E-12</v>
      </c>
      <c r="G3" s="3">
        <v>0</v>
      </c>
      <c r="H3" s="16">
        <v>0</v>
      </c>
      <c r="I3">
        <f>G3*H3</f>
        <v>0</v>
      </c>
      <c r="K3" s="2">
        <v>9.9999999999999994E-12</v>
      </c>
      <c r="L3" s="3">
        <v>0</v>
      </c>
      <c r="M3" s="16">
        <v>0</v>
      </c>
      <c r="N3">
        <f>L3*M3</f>
        <v>0</v>
      </c>
      <c r="P3" s="2">
        <v>9.9999999999999994E-12</v>
      </c>
      <c r="Q3" s="3">
        <v>0</v>
      </c>
      <c r="R3" s="16">
        <v>0</v>
      </c>
      <c r="S3">
        <f>Q3*R3</f>
        <v>0</v>
      </c>
      <c r="U3" s="2">
        <v>9.9999999999999994E-12</v>
      </c>
      <c r="V3" s="3">
        <v>0</v>
      </c>
      <c r="W3" s="16">
        <v>0</v>
      </c>
      <c r="X3">
        <f>V3*W3</f>
        <v>0</v>
      </c>
      <c r="Z3" s="2">
        <v>9.9999999999999994E-12</v>
      </c>
      <c r="AA3" s="3">
        <v>0</v>
      </c>
      <c r="AB3" s="16">
        <v>0</v>
      </c>
      <c r="AC3">
        <f>AA3*AB3</f>
        <v>0</v>
      </c>
      <c r="AE3" s="2">
        <v>9.9999999999999994E-12</v>
      </c>
      <c r="AF3" s="3">
        <v>0</v>
      </c>
      <c r="AG3" s="16">
        <v>0</v>
      </c>
      <c r="AH3">
        <f>AF3*AG3</f>
        <v>0</v>
      </c>
      <c r="AJ3" s="2">
        <v>9.9999999999999994E-12</v>
      </c>
      <c r="AK3" s="3">
        <v>0</v>
      </c>
      <c r="AL3" s="16">
        <v>0</v>
      </c>
      <c r="AM3">
        <f>AK3*AL3</f>
        <v>0</v>
      </c>
      <c r="AO3" s="2">
        <v>9.9999999999999994E-12</v>
      </c>
      <c r="AP3" s="3">
        <v>0</v>
      </c>
      <c r="AQ3" s="16">
        <v>0</v>
      </c>
      <c r="AR3">
        <f>AP3*AQ3</f>
        <v>0</v>
      </c>
      <c r="AT3" s="2">
        <v>9.9999999999999994E-12</v>
      </c>
      <c r="AU3" s="3">
        <v>0</v>
      </c>
      <c r="AV3" s="16">
        <v>0</v>
      </c>
      <c r="AW3">
        <f>AU3*AV3</f>
        <v>0</v>
      </c>
    </row>
    <row r="4" spans="1:49" x14ac:dyDescent="0.3">
      <c r="A4" s="2">
        <v>1.1286E-11</v>
      </c>
      <c r="B4" s="16">
        <v>0</v>
      </c>
      <c r="C4" s="16">
        <v>0.85811430480011197</v>
      </c>
      <c r="D4">
        <f t="shared" ref="D4:D67" si="0">B4*C4</f>
        <v>0</v>
      </c>
      <c r="F4" s="2">
        <v>1.1286E-11</v>
      </c>
      <c r="G4" s="3">
        <v>0</v>
      </c>
      <c r="H4" s="16">
        <v>0</v>
      </c>
      <c r="I4">
        <f t="shared" ref="I4:I67" si="1">G4*H4</f>
        <v>0</v>
      </c>
      <c r="K4" s="2">
        <v>1.1286E-11</v>
      </c>
      <c r="L4" s="3">
        <v>0</v>
      </c>
      <c r="M4" s="16">
        <v>0</v>
      </c>
      <c r="N4">
        <f t="shared" ref="N4:N67" si="2">L4*M4</f>
        <v>0</v>
      </c>
      <c r="P4" s="2">
        <v>1.1286E-11</v>
      </c>
      <c r="Q4" s="3">
        <v>0</v>
      </c>
      <c r="R4" s="16">
        <v>0</v>
      </c>
      <c r="S4">
        <f t="shared" ref="S4:S67" si="3">Q4*R4</f>
        <v>0</v>
      </c>
      <c r="U4" s="2">
        <v>1.1286E-11</v>
      </c>
      <c r="V4" s="3">
        <v>0</v>
      </c>
      <c r="W4" s="16">
        <v>0</v>
      </c>
      <c r="X4">
        <f t="shared" ref="X4:X67" si="4">V4*W4</f>
        <v>0</v>
      </c>
      <c r="Z4" s="2">
        <v>1.1286E-11</v>
      </c>
      <c r="AA4" s="3">
        <v>0</v>
      </c>
      <c r="AB4" s="16">
        <v>0</v>
      </c>
      <c r="AC4">
        <f t="shared" ref="AC4:AC67" si="5">AA4*AB4</f>
        <v>0</v>
      </c>
      <c r="AE4" s="2">
        <v>1.1286E-11</v>
      </c>
      <c r="AF4" s="3">
        <v>0</v>
      </c>
      <c r="AG4" s="16">
        <v>0</v>
      </c>
      <c r="AH4">
        <f t="shared" ref="AH4:AH67" si="6">AF4*AG4</f>
        <v>0</v>
      </c>
      <c r="AJ4" s="2">
        <v>1.1286E-11</v>
      </c>
      <c r="AK4" s="3">
        <v>0</v>
      </c>
      <c r="AL4" s="16">
        <v>0.12705358853903601</v>
      </c>
      <c r="AM4">
        <f t="shared" ref="AM4:AM67" si="7">AK4*AL4</f>
        <v>0</v>
      </c>
      <c r="AO4" s="2">
        <v>1.1286E-11</v>
      </c>
      <c r="AP4" s="3">
        <v>0</v>
      </c>
      <c r="AQ4" s="16">
        <v>1.67662680943733E-3</v>
      </c>
      <c r="AR4">
        <f t="shared" ref="AR4:AR67" si="8">AP4*AQ4</f>
        <v>0</v>
      </c>
      <c r="AT4" s="2">
        <v>1.1286E-11</v>
      </c>
      <c r="AU4" s="3">
        <v>0</v>
      </c>
      <c r="AV4" s="16">
        <v>0</v>
      </c>
      <c r="AW4">
        <f t="shared" ref="AW4:AW67" si="9">AU4*AV4</f>
        <v>0</v>
      </c>
    </row>
    <row r="5" spans="1:49" x14ac:dyDescent="0.3">
      <c r="A5" s="2">
        <v>1.2738E-11</v>
      </c>
      <c r="B5" s="16">
        <v>0</v>
      </c>
      <c r="C5" s="16">
        <v>0.797026723039575</v>
      </c>
      <c r="D5">
        <f t="shared" si="0"/>
        <v>0</v>
      </c>
      <c r="F5" s="2">
        <v>1.2738E-11</v>
      </c>
      <c r="G5" s="3">
        <v>0</v>
      </c>
      <c r="H5" s="16">
        <v>0</v>
      </c>
      <c r="I5">
        <f t="shared" si="1"/>
        <v>0</v>
      </c>
      <c r="K5" s="2">
        <v>1.2738E-11</v>
      </c>
      <c r="L5" s="3">
        <v>0</v>
      </c>
      <c r="M5" s="16">
        <v>0</v>
      </c>
      <c r="N5">
        <f t="shared" si="2"/>
        <v>0</v>
      </c>
      <c r="P5" s="2">
        <v>1.2738E-11</v>
      </c>
      <c r="Q5" s="3">
        <v>0</v>
      </c>
      <c r="R5" s="16">
        <v>0</v>
      </c>
      <c r="S5">
        <f t="shared" si="3"/>
        <v>0</v>
      </c>
      <c r="U5" s="2">
        <v>1.2738E-11</v>
      </c>
      <c r="V5" s="3">
        <v>0</v>
      </c>
      <c r="W5" s="16">
        <v>0</v>
      </c>
      <c r="X5">
        <f t="shared" si="4"/>
        <v>0</v>
      </c>
      <c r="Z5" s="2">
        <v>1.2738E-11</v>
      </c>
      <c r="AA5" s="3">
        <v>0</v>
      </c>
      <c r="AB5" s="16">
        <v>0</v>
      </c>
      <c r="AC5">
        <f t="shared" si="5"/>
        <v>0</v>
      </c>
      <c r="AE5" s="2">
        <v>1.2738E-11</v>
      </c>
      <c r="AF5" s="3">
        <v>0</v>
      </c>
      <c r="AG5" s="16">
        <v>0</v>
      </c>
      <c r="AH5">
        <f t="shared" si="6"/>
        <v>0</v>
      </c>
      <c r="AJ5" s="2">
        <v>1.2738E-11</v>
      </c>
      <c r="AK5" s="3">
        <v>0</v>
      </c>
      <c r="AL5" s="16">
        <v>0.118008595730083</v>
      </c>
      <c r="AM5">
        <f t="shared" si="7"/>
        <v>0</v>
      </c>
      <c r="AO5" s="2">
        <v>1.2738E-11</v>
      </c>
      <c r="AP5" s="3">
        <v>0</v>
      </c>
      <c r="AQ5" s="16">
        <v>1.55726882365014E-3</v>
      </c>
      <c r="AR5">
        <f t="shared" si="8"/>
        <v>0</v>
      </c>
      <c r="AT5" s="2">
        <v>1.2738E-11</v>
      </c>
      <c r="AU5" s="3">
        <v>0</v>
      </c>
      <c r="AV5" s="16">
        <v>0</v>
      </c>
      <c r="AW5">
        <f t="shared" si="9"/>
        <v>0</v>
      </c>
    </row>
    <row r="6" spans="1:49" x14ac:dyDescent="0.3">
      <c r="A6" s="2">
        <v>1.4375999999999999E-11</v>
      </c>
      <c r="B6" s="16">
        <v>0</v>
      </c>
      <c r="C6" s="16">
        <v>0.75888799166517595</v>
      </c>
      <c r="D6">
        <f t="shared" si="0"/>
        <v>0</v>
      </c>
      <c r="F6" s="2">
        <v>1.4375999999999999E-11</v>
      </c>
      <c r="G6" s="3">
        <v>0</v>
      </c>
      <c r="H6" s="16">
        <v>0</v>
      </c>
      <c r="I6">
        <f t="shared" si="1"/>
        <v>0</v>
      </c>
      <c r="K6" s="2">
        <v>1.4375999999999999E-11</v>
      </c>
      <c r="L6" s="3">
        <v>0</v>
      </c>
      <c r="M6" s="16">
        <v>0</v>
      </c>
      <c r="N6">
        <f t="shared" si="2"/>
        <v>0</v>
      </c>
      <c r="P6" s="2">
        <v>1.4375999999999999E-11</v>
      </c>
      <c r="Q6" s="3">
        <v>0</v>
      </c>
      <c r="R6" s="16">
        <v>0</v>
      </c>
      <c r="S6">
        <f t="shared" si="3"/>
        <v>0</v>
      </c>
      <c r="U6" s="2">
        <v>1.4375999999999999E-11</v>
      </c>
      <c r="V6" s="3">
        <v>0</v>
      </c>
      <c r="W6" s="16">
        <v>0</v>
      </c>
      <c r="X6">
        <f t="shared" si="4"/>
        <v>0</v>
      </c>
      <c r="Z6" s="2">
        <v>1.4375999999999999E-11</v>
      </c>
      <c r="AA6" s="3">
        <v>0</v>
      </c>
      <c r="AB6" s="16">
        <v>0</v>
      </c>
      <c r="AC6">
        <f t="shared" si="5"/>
        <v>0</v>
      </c>
      <c r="AE6" s="2">
        <v>1.4375999999999999E-11</v>
      </c>
      <c r="AF6" s="3">
        <v>0</v>
      </c>
      <c r="AG6" s="16">
        <v>0</v>
      </c>
      <c r="AH6">
        <f t="shared" si="6"/>
        <v>0</v>
      </c>
      <c r="AJ6" s="2">
        <v>1.4375999999999999E-11</v>
      </c>
      <c r="AK6" s="3">
        <v>0</v>
      </c>
      <c r="AL6" s="16">
        <v>0.112361693335417</v>
      </c>
      <c r="AM6">
        <f t="shared" si="7"/>
        <v>0</v>
      </c>
      <c r="AO6" s="2">
        <v>1.4375999999999999E-11</v>
      </c>
      <c r="AP6" s="3">
        <v>0</v>
      </c>
      <c r="AQ6" s="16">
        <v>1.4827481963981899E-3</v>
      </c>
      <c r="AR6">
        <f t="shared" si="8"/>
        <v>0</v>
      </c>
      <c r="AT6" s="2">
        <v>1.4375999999999999E-11</v>
      </c>
      <c r="AU6" s="3">
        <v>0</v>
      </c>
      <c r="AV6" s="16">
        <v>0</v>
      </c>
      <c r="AW6">
        <f t="shared" si="9"/>
        <v>0</v>
      </c>
    </row>
    <row r="7" spans="1:49" x14ac:dyDescent="0.3">
      <c r="A7" s="2">
        <v>1.6225000000000001E-11</v>
      </c>
      <c r="B7" s="16">
        <v>0</v>
      </c>
      <c r="C7" s="16">
        <v>0.72257458465834101</v>
      </c>
      <c r="D7">
        <f t="shared" si="0"/>
        <v>0</v>
      </c>
      <c r="F7" s="2">
        <v>1.6225000000000001E-11</v>
      </c>
      <c r="G7" s="3">
        <v>0</v>
      </c>
      <c r="H7" s="16">
        <v>0</v>
      </c>
      <c r="I7">
        <f t="shared" si="1"/>
        <v>0</v>
      </c>
      <c r="K7" s="2">
        <v>1.6225000000000001E-11</v>
      </c>
      <c r="L7" s="3">
        <v>0</v>
      </c>
      <c r="M7" s="16">
        <v>0</v>
      </c>
      <c r="N7">
        <f t="shared" si="2"/>
        <v>0</v>
      </c>
      <c r="P7" s="2">
        <v>1.6225000000000001E-11</v>
      </c>
      <c r="Q7" s="3">
        <v>0</v>
      </c>
      <c r="R7" s="16">
        <v>0</v>
      </c>
      <c r="S7">
        <f t="shared" si="3"/>
        <v>0</v>
      </c>
      <c r="U7" s="2">
        <v>1.6225000000000001E-11</v>
      </c>
      <c r="V7" s="3">
        <v>0</v>
      </c>
      <c r="W7" s="16">
        <v>0</v>
      </c>
      <c r="X7">
        <f t="shared" si="4"/>
        <v>0</v>
      </c>
      <c r="Z7" s="2">
        <v>1.6225000000000001E-11</v>
      </c>
      <c r="AA7" s="3">
        <v>0</v>
      </c>
      <c r="AB7" s="16">
        <v>0</v>
      </c>
      <c r="AC7">
        <f t="shared" si="5"/>
        <v>0</v>
      </c>
      <c r="AE7" s="2">
        <v>1.6225000000000001E-11</v>
      </c>
      <c r="AF7" s="3">
        <v>0</v>
      </c>
      <c r="AG7" s="16">
        <v>0</v>
      </c>
      <c r="AH7">
        <f t="shared" si="6"/>
        <v>0</v>
      </c>
      <c r="AJ7" s="2">
        <v>1.6225000000000001E-11</v>
      </c>
      <c r="AK7" s="3">
        <v>0</v>
      </c>
      <c r="AL7" s="16">
        <v>0.106985324712827</v>
      </c>
      <c r="AM7">
        <f t="shared" si="7"/>
        <v>0</v>
      </c>
      <c r="AO7" s="2">
        <v>1.6225000000000001E-11</v>
      </c>
      <c r="AP7" s="3">
        <v>0</v>
      </c>
      <c r="AQ7" s="16">
        <v>1.41180242720531E-3</v>
      </c>
      <c r="AR7">
        <f t="shared" si="8"/>
        <v>0</v>
      </c>
      <c r="AT7" s="2">
        <v>1.6225000000000001E-11</v>
      </c>
      <c r="AU7" s="3">
        <v>0</v>
      </c>
      <c r="AV7" s="16">
        <v>0</v>
      </c>
      <c r="AW7">
        <f t="shared" si="9"/>
        <v>0</v>
      </c>
    </row>
    <row r="8" spans="1:49" x14ac:dyDescent="0.3">
      <c r="A8" s="2">
        <v>1.8312999999999999E-11</v>
      </c>
      <c r="B8" s="16">
        <v>0</v>
      </c>
      <c r="C8" s="16">
        <v>0.67153880138618205</v>
      </c>
      <c r="D8">
        <f t="shared" si="0"/>
        <v>0</v>
      </c>
      <c r="F8" s="2">
        <v>1.8312999999999999E-11</v>
      </c>
      <c r="G8" s="3">
        <v>0</v>
      </c>
      <c r="H8" s="16">
        <v>0</v>
      </c>
      <c r="I8">
        <f t="shared" si="1"/>
        <v>0</v>
      </c>
      <c r="K8" s="2">
        <v>1.8312999999999999E-11</v>
      </c>
      <c r="L8" s="3">
        <v>0</v>
      </c>
      <c r="M8" s="16">
        <v>0</v>
      </c>
      <c r="N8">
        <f t="shared" si="2"/>
        <v>0</v>
      </c>
      <c r="P8" s="2">
        <v>1.8312999999999999E-11</v>
      </c>
      <c r="Q8" s="3">
        <v>0</v>
      </c>
      <c r="R8" s="16">
        <v>0</v>
      </c>
      <c r="S8">
        <f t="shared" si="3"/>
        <v>0</v>
      </c>
      <c r="U8" s="2">
        <v>1.8312999999999999E-11</v>
      </c>
      <c r="V8" s="3">
        <v>0</v>
      </c>
      <c r="W8" s="16">
        <v>0</v>
      </c>
      <c r="X8">
        <f t="shared" si="4"/>
        <v>0</v>
      </c>
      <c r="Z8" s="2">
        <v>1.8312999999999999E-11</v>
      </c>
      <c r="AA8" s="3">
        <v>0</v>
      </c>
      <c r="AB8" s="16">
        <v>0</v>
      </c>
      <c r="AC8">
        <f t="shared" si="5"/>
        <v>0</v>
      </c>
      <c r="AE8" s="2">
        <v>1.8312999999999999E-11</v>
      </c>
      <c r="AF8" s="3">
        <v>0</v>
      </c>
      <c r="AG8" s="16">
        <v>0</v>
      </c>
      <c r="AH8">
        <f t="shared" si="6"/>
        <v>0</v>
      </c>
      <c r="AJ8" s="2">
        <v>1.8312999999999999E-11</v>
      </c>
      <c r="AK8" s="3">
        <v>0</v>
      </c>
      <c r="AL8" s="16">
        <v>9.9428512698996899E-2</v>
      </c>
      <c r="AM8">
        <f t="shared" si="7"/>
        <v>0</v>
      </c>
      <c r="AO8" s="2">
        <v>1.8312999999999999E-11</v>
      </c>
      <c r="AP8" s="3">
        <v>0</v>
      </c>
      <c r="AQ8" s="16">
        <v>1.3120831860768301E-3</v>
      </c>
      <c r="AR8">
        <f t="shared" si="8"/>
        <v>0</v>
      </c>
      <c r="AT8" s="2">
        <v>1.8312999999999999E-11</v>
      </c>
      <c r="AU8" s="3">
        <v>0</v>
      </c>
      <c r="AV8" s="16">
        <v>0</v>
      </c>
      <c r="AW8">
        <f t="shared" si="9"/>
        <v>0</v>
      </c>
    </row>
    <row r="9" spans="1:49" x14ac:dyDescent="0.3">
      <c r="A9" s="2">
        <v>2.0668E-11</v>
      </c>
      <c r="B9" s="16">
        <v>0</v>
      </c>
      <c r="C9" s="16">
        <v>0.62373353832184797</v>
      </c>
      <c r="D9">
        <f t="shared" si="0"/>
        <v>0</v>
      </c>
      <c r="F9" s="2">
        <v>2.0668E-11</v>
      </c>
      <c r="G9" s="3">
        <v>0</v>
      </c>
      <c r="H9" s="16">
        <v>0</v>
      </c>
      <c r="I9">
        <f t="shared" si="1"/>
        <v>0</v>
      </c>
      <c r="K9" s="2">
        <v>2.0668E-11</v>
      </c>
      <c r="L9" s="3">
        <v>0</v>
      </c>
      <c r="M9" s="16">
        <v>0</v>
      </c>
      <c r="N9">
        <f t="shared" si="2"/>
        <v>0</v>
      </c>
      <c r="P9" s="2">
        <v>2.0668E-11</v>
      </c>
      <c r="Q9" s="3">
        <v>0</v>
      </c>
      <c r="R9" s="16">
        <v>0</v>
      </c>
      <c r="S9">
        <f t="shared" si="3"/>
        <v>0</v>
      </c>
      <c r="U9" s="2">
        <v>2.0668E-11</v>
      </c>
      <c r="V9" s="3">
        <v>0</v>
      </c>
      <c r="W9" s="16">
        <v>0</v>
      </c>
      <c r="X9">
        <f t="shared" si="4"/>
        <v>0</v>
      </c>
      <c r="Z9" s="2">
        <v>2.0668E-11</v>
      </c>
      <c r="AA9" s="3">
        <v>0</v>
      </c>
      <c r="AB9" s="16">
        <v>0</v>
      </c>
      <c r="AC9">
        <f t="shared" si="5"/>
        <v>0</v>
      </c>
      <c r="AE9" s="2">
        <v>2.0668E-11</v>
      </c>
      <c r="AF9" s="3">
        <v>0</v>
      </c>
      <c r="AG9" s="16">
        <v>0</v>
      </c>
      <c r="AH9">
        <f t="shared" si="6"/>
        <v>0</v>
      </c>
      <c r="AJ9" s="2">
        <v>2.0668E-11</v>
      </c>
      <c r="AK9" s="3">
        <v>0</v>
      </c>
      <c r="AL9" s="16">
        <v>9.2350035760430702E-2</v>
      </c>
      <c r="AM9">
        <f t="shared" si="7"/>
        <v>0</v>
      </c>
      <c r="AO9" s="2">
        <v>2.0668E-11</v>
      </c>
      <c r="AP9" s="3">
        <v>0</v>
      </c>
      <c r="AQ9" s="16">
        <v>1.21867738321719E-3</v>
      </c>
      <c r="AR9">
        <f t="shared" si="8"/>
        <v>0</v>
      </c>
      <c r="AT9" s="2">
        <v>2.0668E-11</v>
      </c>
      <c r="AU9" s="3">
        <v>0</v>
      </c>
      <c r="AV9" s="16">
        <v>0</v>
      </c>
      <c r="AW9">
        <f t="shared" si="9"/>
        <v>0</v>
      </c>
    </row>
    <row r="10" spans="1:49" x14ac:dyDescent="0.3">
      <c r="A10" s="2">
        <v>2.3326E-11</v>
      </c>
      <c r="B10" s="16">
        <v>0</v>
      </c>
      <c r="C10" s="16">
        <v>0.59388653507356703</v>
      </c>
      <c r="D10">
        <f t="shared" si="0"/>
        <v>0</v>
      </c>
      <c r="F10" s="2">
        <v>2.3326E-11</v>
      </c>
      <c r="G10" s="3">
        <v>0</v>
      </c>
      <c r="H10" s="16">
        <v>0</v>
      </c>
      <c r="I10">
        <f t="shared" si="1"/>
        <v>0</v>
      </c>
      <c r="K10" s="2">
        <v>2.3326E-11</v>
      </c>
      <c r="L10" s="3">
        <v>0</v>
      </c>
      <c r="M10" s="16">
        <v>0</v>
      </c>
      <c r="N10">
        <f t="shared" si="2"/>
        <v>0</v>
      </c>
      <c r="P10" s="2">
        <v>2.3326E-11</v>
      </c>
      <c r="Q10" s="3">
        <v>0</v>
      </c>
      <c r="R10" s="16">
        <v>0</v>
      </c>
      <c r="S10">
        <f t="shared" si="3"/>
        <v>0</v>
      </c>
      <c r="U10" s="2">
        <v>2.3326E-11</v>
      </c>
      <c r="V10" s="3">
        <v>0</v>
      </c>
      <c r="W10" s="16">
        <v>0</v>
      </c>
      <c r="X10">
        <f t="shared" si="4"/>
        <v>0</v>
      </c>
      <c r="Z10" s="2">
        <v>2.3326E-11</v>
      </c>
      <c r="AA10" s="3">
        <v>0</v>
      </c>
      <c r="AB10" s="16">
        <v>0</v>
      </c>
      <c r="AC10">
        <f t="shared" si="5"/>
        <v>0</v>
      </c>
      <c r="AE10" s="2">
        <v>2.3326E-11</v>
      </c>
      <c r="AF10" s="3">
        <v>0</v>
      </c>
      <c r="AG10" s="16">
        <v>0</v>
      </c>
      <c r="AH10">
        <f t="shared" si="6"/>
        <v>0</v>
      </c>
      <c r="AJ10" s="2">
        <v>2.3326E-11</v>
      </c>
      <c r="AK10" s="3">
        <v>0</v>
      </c>
      <c r="AL10" s="16">
        <v>8.7931317483195201E-2</v>
      </c>
      <c r="AM10">
        <f t="shared" si="7"/>
        <v>0</v>
      </c>
      <c r="AO10" s="2">
        <v>2.3326E-11</v>
      </c>
      <c r="AP10" s="3">
        <v>0</v>
      </c>
      <c r="AQ10" s="16">
        <v>1.1603584905620101E-3</v>
      </c>
      <c r="AR10">
        <f t="shared" si="8"/>
        <v>0</v>
      </c>
      <c r="AT10" s="2">
        <v>2.3326E-11</v>
      </c>
      <c r="AU10" s="3">
        <v>0</v>
      </c>
      <c r="AV10" s="16">
        <v>0</v>
      </c>
      <c r="AW10">
        <f t="shared" si="9"/>
        <v>0</v>
      </c>
    </row>
    <row r="11" spans="1:49" x14ac:dyDescent="0.3">
      <c r="A11" s="2">
        <v>2.6327000000000001E-11</v>
      </c>
      <c r="B11" s="16">
        <v>0</v>
      </c>
      <c r="C11" s="16">
        <v>0.56546975659908705</v>
      </c>
      <c r="D11">
        <f t="shared" si="0"/>
        <v>0</v>
      </c>
      <c r="F11" s="2">
        <v>2.6327000000000001E-11</v>
      </c>
      <c r="G11" s="3">
        <v>0</v>
      </c>
      <c r="H11" s="16">
        <v>0</v>
      </c>
      <c r="I11">
        <f t="shared" si="1"/>
        <v>0</v>
      </c>
      <c r="K11" s="2">
        <v>2.6327000000000001E-11</v>
      </c>
      <c r="L11" s="3">
        <v>0</v>
      </c>
      <c r="M11" s="16">
        <v>0</v>
      </c>
      <c r="N11">
        <f t="shared" si="2"/>
        <v>0</v>
      </c>
      <c r="P11" s="2">
        <v>2.6327000000000001E-11</v>
      </c>
      <c r="Q11" s="3">
        <v>0</v>
      </c>
      <c r="R11" s="16">
        <v>0</v>
      </c>
      <c r="S11">
        <f t="shared" si="3"/>
        <v>0</v>
      </c>
      <c r="U11" s="2">
        <v>2.6327000000000001E-11</v>
      </c>
      <c r="V11" s="3">
        <v>0</v>
      </c>
      <c r="W11" s="16">
        <v>0</v>
      </c>
      <c r="X11">
        <f t="shared" si="4"/>
        <v>0</v>
      </c>
      <c r="Z11" s="2">
        <v>2.6327000000000001E-11</v>
      </c>
      <c r="AA11" s="3">
        <v>0</v>
      </c>
      <c r="AB11" s="16">
        <v>0</v>
      </c>
      <c r="AC11">
        <f t="shared" si="5"/>
        <v>0</v>
      </c>
      <c r="AE11" s="2">
        <v>2.6327000000000001E-11</v>
      </c>
      <c r="AF11" s="3">
        <v>0</v>
      </c>
      <c r="AG11" s="16">
        <v>0</v>
      </c>
      <c r="AH11">
        <f t="shared" si="6"/>
        <v>0</v>
      </c>
      <c r="AJ11" s="2">
        <v>2.6327000000000001E-11</v>
      </c>
      <c r="AK11" s="3">
        <v>0</v>
      </c>
      <c r="AL11" s="16">
        <v>8.3723831191040404E-2</v>
      </c>
      <c r="AM11">
        <f t="shared" si="7"/>
        <v>0</v>
      </c>
      <c r="AO11" s="2">
        <v>2.6327000000000001E-11</v>
      </c>
      <c r="AP11" s="3">
        <v>0</v>
      </c>
      <c r="AQ11" s="16">
        <v>1.1048333173154601E-3</v>
      </c>
      <c r="AR11">
        <f t="shared" si="8"/>
        <v>0</v>
      </c>
      <c r="AT11" s="2">
        <v>2.6327000000000001E-11</v>
      </c>
      <c r="AU11" s="3">
        <v>0</v>
      </c>
      <c r="AV11" s="16">
        <v>0</v>
      </c>
      <c r="AW11">
        <f t="shared" si="9"/>
        <v>0</v>
      </c>
    </row>
    <row r="12" spans="1:49" x14ac:dyDescent="0.3">
      <c r="A12" s="2">
        <v>2.9713E-11</v>
      </c>
      <c r="B12" s="16">
        <v>0</v>
      </c>
      <c r="C12" s="16">
        <v>0.52552983590018099</v>
      </c>
      <c r="D12">
        <f t="shared" si="0"/>
        <v>0</v>
      </c>
      <c r="F12" s="2">
        <v>2.9713E-11</v>
      </c>
      <c r="G12" s="3">
        <v>0</v>
      </c>
      <c r="H12" s="16">
        <v>0</v>
      </c>
      <c r="I12">
        <f t="shared" si="1"/>
        <v>0</v>
      </c>
      <c r="K12" s="2">
        <v>2.9713E-11</v>
      </c>
      <c r="L12" s="3">
        <v>0</v>
      </c>
      <c r="M12" s="16">
        <v>0</v>
      </c>
      <c r="N12">
        <f t="shared" si="2"/>
        <v>0</v>
      </c>
      <c r="P12" s="2">
        <v>2.9713E-11</v>
      </c>
      <c r="Q12" s="3">
        <v>0</v>
      </c>
      <c r="R12" s="16">
        <v>0</v>
      </c>
      <c r="S12">
        <f t="shared" si="3"/>
        <v>0</v>
      </c>
      <c r="U12" s="2">
        <v>2.9713E-11</v>
      </c>
      <c r="V12" s="3">
        <v>0</v>
      </c>
      <c r="W12" s="16">
        <v>0</v>
      </c>
      <c r="X12">
        <f t="shared" si="4"/>
        <v>0</v>
      </c>
      <c r="Z12" s="2">
        <v>2.9713E-11</v>
      </c>
      <c r="AA12" s="3">
        <v>0</v>
      </c>
      <c r="AB12" s="16">
        <v>0</v>
      </c>
      <c r="AC12">
        <f t="shared" si="5"/>
        <v>0</v>
      </c>
      <c r="AE12" s="2">
        <v>2.9713E-11</v>
      </c>
      <c r="AF12" s="3">
        <v>0</v>
      </c>
      <c r="AG12" s="16">
        <v>0</v>
      </c>
      <c r="AH12">
        <f t="shared" si="6"/>
        <v>0</v>
      </c>
      <c r="AJ12" s="2">
        <v>2.9713E-11</v>
      </c>
      <c r="AK12" s="3">
        <v>0</v>
      </c>
      <c r="AL12" s="16">
        <v>7.7810070754897695E-2</v>
      </c>
      <c r="AM12">
        <f t="shared" si="7"/>
        <v>0</v>
      </c>
      <c r="AO12" s="2">
        <v>2.9713E-11</v>
      </c>
      <c r="AP12" s="3">
        <v>0</v>
      </c>
      <c r="AQ12" s="16">
        <v>1.02680216106977E-3</v>
      </c>
      <c r="AR12">
        <f t="shared" si="8"/>
        <v>0</v>
      </c>
      <c r="AT12" s="2">
        <v>2.9713E-11</v>
      </c>
      <c r="AU12" s="3">
        <v>0</v>
      </c>
      <c r="AV12" s="16">
        <v>0</v>
      </c>
      <c r="AW12">
        <f t="shared" si="9"/>
        <v>0</v>
      </c>
    </row>
    <row r="13" spans="1:49" x14ac:dyDescent="0.3">
      <c r="A13" s="2">
        <v>3.3534999999999997E-11</v>
      </c>
      <c r="B13" s="16">
        <v>0</v>
      </c>
      <c r="C13" s="16">
        <v>0.48811783748896997</v>
      </c>
      <c r="D13">
        <f t="shared" si="0"/>
        <v>0</v>
      </c>
      <c r="F13" s="2">
        <v>3.3534999999999997E-11</v>
      </c>
      <c r="G13" s="3">
        <v>0</v>
      </c>
      <c r="H13" s="16">
        <v>0</v>
      </c>
      <c r="I13">
        <f t="shared" si="1"/>
        <v>0</v>
      </c>
      <c r="K13" s="2">
        <v>3.3534999999999997E-11</v>
      </c>
      <c r="L13" s="3">
        <v>0</v>
      </c>
      <c r="M13" s="16">
        <v>0</v>
      </c>
      <c r="N13">
        <f t="shared" si="2"/>
        <v>0</v>
      </c>
      <c r="P13" s="2">
        <v>3.3534999999999997E-11</v>
      </c>
      <c r="Q13" s="3">
        <v>0</v>
      </c>
      <c r="R13" s="16">
        <v>0</v>
      </c>
      <c r="S13">
        <f t="shared" si="3"/>
        <v>0</v>
      </c>
      <c r="U13" s="2">
        <v>3.3534999999999997E-11</v>
      </c>
      <c r="V13" s="3">
        <v>0</v>
      </c>
      <c r="W13" s="16">
        <v>0</v>
      </c>
      <c r="X13">
        <f t="shared" si="4"/>
        <v>0</v>
      </c>
      <c r="Z13" s="2">
        <v>3.3534999999999997E-11</v>
      </c>
      <c r="AA13" s="3">
        <v>0</v>
      </c>
      <c r="AB13" s="16">
        <v>0</v>
      </c>
      <c r="AC13">
        <f t="shared" si="5"/>
        <v>0</v>
      </c>
      <c r="AE13" s="2">
        <v>3.3534999999999997E-11</v>
      </c>
      <c r="AF13" s="3">
        <v>0</v>
      </c>
      <c r="AG13" s="16">
        <v>0</v>
      </c>
      <c r="AH13">
        <f t="shared" si="6"/>
        <v>0</v>
      </c>
      <c r="AJ13" s="2">
        <v>3.3534999999999997E-11</v>
      </c>
      <c r="AK13" s="3">
        <v>0</v>
      </c>
      <c r="AL13" s="16">
        <v>7.2270744742424994E-2</v>
      </c>
      <c r="AM13">
        <f t="shared" si="7"/>
        <v>0</v>
      </c>
      <c r="AO13" s="2">
        <v>3.3534999999999997E-11</v>
      </c>
      <c r="AP13" s="3">
        <v>0</v>
      </c>
      <c r="AQ13" s="16">
        <v>9.5370596312156504E-4</v>
      </c>
      <c r="AR13">
        <f t="shared" si="8"/>
        <v>0</v>
      </c>
      <c r="AT13" s="2">
        <v>3.3534999999999997E-11</v>
      </c>
      <c r="AU13" s="3">
        <v>0</v>
      </c>
      <c r="AV13" s="16">
        <v>0</v>
      </c>
      <c r="AW13">
        <f t="shared" si="9"/>
        <v>0</v>
      </c>
    </row>
    <row r="14" spans="1:49" x14ac:dyDescent="0.3">
      <c r="A14" s="2">
        <v>3.7847999999999999E-11</v>
      </c>
      <c r="B14" s="16">
        <v>0</v>
      </c>
      <c r="C14" s="16">
        <v>0.464762266932782</v>
      </c>
      <c r="D14">
        <f t="shared" si="0"/>
        <v>0</v>
      </c>
      <c r="F14" s="2">
        <v>3.7847999999999999E-11</v>
      </c>
      <c r="G14" s="3">
        <v>0</v>
      </c>
      <c r="H14" s="16">
        <v>0</v>
      </c>
      <c r="I14">
        <f t="shared" si="1"/>
        <v>0</v>
      </c>
      <c r="K14" s="2">
        <v>3.7847999999999999E-11</v>
      </c>
      <c r="L14" s="3">
        <v>0</v>
      </c>
      <c r="M14" s="16">
        <v>0</v>
      </c>
      <c r="N14">
        <f t="shared" si="2"/>
        <v>0</v>
      </c>
      <c r="P14" s="2">
        <v>3.7847999999999999E-11</v>
      </c>
      <c r="Q14" s="3">
        <v>0</v>
      </c>
      <c r="R14" s="16">
        <v>0</v>
      </c>
      <c r="S14">
        <f t="shared" si="3"/>
        <v>0</v>
      </c>
      <c r="U14" s="2">
        <v>3.7847999999999999E-11</v>
      </c>
      <c r="V14" s="3">
        <v>0</v>
      </c>
      <c r="W14" s="16">
        <v>0</v>
      </c>
      <c r="X14">
        <f t="shared" si="4"/>
        <v>0</v>
      </c>
      <c r="Z14" s="2">
        <v>3.7847999999999999E-11</v>
      </c>
      <c r="AA14" s="3">
        <v>0</v>
      </c>
      <c r="AB14" s="16">
        <v>0</v>
      </c>
      <c r="AC14">
        <f t="shared" si="5"/>
        <v>0</v>
      </c>
      <c r="AE14" s="2">
        <v>3.7847999999999999E-11</v>
      </c>
      <c r="AF14" s="3">
        <v>0</v>
      </c>
      <c r="AG14" s="16">
        <v>0</v>
      </c>
      <c r="AH14">
        <f t="shared" si="6"/>
        <v>0</v>
      </c>
      <c r="AJ14" s="2">
        <v>3.7847999999999999E-11</v>
      </c>
      <c r="AK14" s="3">
        <v>0</v>
      </c>
      <c r="AL14" s="16">
        <v>6.8812617395023298E-2</v>
      </c>
      <c r="AM14">
        <f t="shared" si="7"/>
        <v>0</v>
      </c>
      <c r="AO14" s="2">
        <v>3.7847999999999999E-11</v>
      </c>
      <c r="AP14" s="3">
        <v>0</v>
      </c>
      <c r="AQ14" s="16">
        <v>9.0806724822963805E-4</v>
      </c>
      <c r="AR14">
        <f t="shared" si="8"/>
        <v>0</v>
      </c>
      <c r="AT14" s="2">
        <v>3.7847999999999999E-11</v>
      </c>
      <c r="AU14" s="3">
        <v>0</v>
      </c>
      <c r="AV14" s="16">
        <v>0</v>
      </c>
      <c r="AW14">
        <f t="shared" si="9"/>
        <v>0</v>
      </c>
    </row>
    <row r="15" spans="1:49" x14ac:dyDescent="0.3">
      <c r="A15" s="2">
        <v>4.2716E-11</v>
      </c>
      <c r="B15" s="16">
        <v>0</v>
      </c>
      <c r="C15" s="16">
        <v>0.442524059481127</v>
      </c>
      <c r="D15">
        <f t="shared" si="0"/>
        <v>0</v>
      </c>
      <c r="F15" s="2">
        <v>4.2716E-11</v>
      </c>
      <c r="G15" s="3">
        <v>0</v>
      </c>
      <c r="H15" s="16">
        <v>0</v>
      </c>
      <c r="I15">
        <f t="shared" si="1"/>
        <v>0</v>
      </c>
      <c r="K15" s="2">
        <v>4.2716E-11</v>
      </c>
      <c r="L15" s="3">
        <v>0</v>
      </c>
      <c r="M15" s="16">
        <v>0</v>
      </c>
      <c r="N15">
        <f t="shared" si="2"/>
        <v>0</v>
      </c>
      <c r="P15" s="2">
        <v>4.2716E-11</v>
      </c>
      <c r="Q15" s="3">
        <v>0</v>
      </c>
      <c r="R15" s="16">
        <v>0</v>
      </c>
      <c r="S15">
        <f t="shared" si="3"/>
        <v>0</v>
      </c>
      <c r="U15" s="2">
        <v>4.2716E-11</v>
      </c>
      <c r="V15" s="3">
        <v>0</v>
      </c>
      <c r="W15" s="16">
        <v>0</v>
      </c>
      <c r="X15">
        <f t="shared" si="4"/>
        <v>0</v>
      </c>
      <c r="Z15" s="2">
        <v>4.2716E-11</v>
      </c>
      <c r="AA15" s="3">
        <v>0</v>
      </c>
      <c r="AB15" s="16">
        <v>0</v>
      </c>
      <c r="AC15">
        <f t="shared" si="5"/>
        <v>0</v>
      </c>
      <c r="AE15" s="2">
        <v>4.2716E-11</v>
      </c>
      <c r="AF15" s="3">
        <v>0</v>
      </c>
      <c r="AG15" s="16">
        <v>0</v>
      </c>
      <c r="AH15">
        <f t="shared" si="6"/>
        <v>0</v>
      </c>
      <c r="AJ15" s="2">
        <v>4.2716E-11</v>
      </c>
      <c r="AK15" s="3">
        <v>0</v>
      </c>
      <c r="AL15" s="16">
        <v>6.5519652875863393E-2</v>
      </c>
      <c r="AM15">
        <f t="shared" si="7"/>
        <v>0</v>
      </c>
      <c r="AO15" s="2">
        <v>4.2716E-11</v>
      </c>
      <c r="AP15" s="3">
        <v>0</v>
      </c>
      <c r="AQ15" s="16">
        <v>8.6461572155894302E-4</v>
      </c>
      <c r="AR15">
        <f t="shared" si="8"/>
        <v>0</v>
      </c>
      <c r="AT15" s="2">
        <v>4.2716E-11</v>
      </c>
      <c r="AU15" s="3">
        <v>0</v>
      </c>
      <c r="AV15" s="16">
        <v>0</v>
      </c>
      <c r="AW15">
        <f t="shared" si="9"/>
        <v>0</v>
      </c>
    </row>
    <row r="16" spans="1:49" x14ac:dyDescent="0.3">
      <c r="A16" s="2">
        <v>4.8211000000000003E-11</v>
      </c>
      <c r="B16" s="16">
        <v>0</v>
      </c>
      <c r="C16" s="16">
        <v>0.41126828483065098</v>
      </c>
      <c r="D16">
        <f t="shared" si="0"/>
        <v>0</v>
      </c>
      <c r="F16" s="2">
        <v>4.8211000000000003E-11</v>
      </c>
      <c r="G16" s="3">
        <v>0</v>
      </c>
      <c r="H16" s="16">
        <v>0</v>
      </c>
      <c r="I16">
        <f t="shared" si="1"/>
        <v>0</v>
      </c>
      <c r="K16" s="2">
        <v>4.8211000000000003E-11</v>
      </c>
      <c r="L16" s="3">
        <v>0</v>
      </c>
      <c r="M16" s="16">
        <v>0</v>
      </c>
      <c r="N16">
        <f t="shared" si="2"/>
        <v>0</v>
      </c>
      <c r="P16" s="2">
        <v>4.8211000000000003E-11</v>
      </c>
      <c r="Q16" s="3">
        <v>0</v>
      </c>
      <c r="R16" s="16">
        <v>0</v>
      </c>
      <c r="S16">
        <f t="shared" si="3"/>
        <v>0</v>
      </c>
      <c r="U16" s="2">
        <v>4.8211000000000003E-11</v>
      </c>
      <c r="V16" s="3">
        <v>0</v>
      </c>
      <c r="W16" s="16">
        <v>0</v>
      </c>
      <c r="X16">
        <f t="shared" si="4"/>
        <v>0</v>
      </c>
      <c r="Z16" s="2">
        <v>4.8211000000000003E-11</v>
      </c>
      <c r="AA16" s="3">
        <v>0</v>
      </c>
      <c r="AB16" s="16">
        <v>0</v>
      </c>
      <c r="AC16">
        <f t="shared" si="5"/>
        <v>0</v>
      </c>
      <c r="AE16" s="2">
        <v>4.8211000000000003E-11</v>
      </c>
      <c r="AF16" s="3">
        <v>0</v>
      </c>
      <c r="AG16" s="16">
        <v>0</v>
      </c>
      <c r="AH16">
        <f t="shared" si="6"/>
        <v>0</v>
      </c>
      <c r="AJ16" s="2">
        <v>4.8211000000000003E-11</v>
      </c>
      <c r="AK16" s="3">
        <v>0</v>
      </c>
      <c r="AL16" s="16">
        <v>6.0891908051906397E-2</v>
      </c>
      <c r="AM16">
        <f t="shared" si="7"/>
        <v>0</v>
      </c>
      <c r="AO16" s="2">
        <v>4.8211000000000003E-11</v>
      </c>
      <c r="AP16" s="3">
        <v>0</v>
      </c>
      <c r="AQ16" s="16">
        <v>8.0354630186756603E-4</v>
      </c>
      <c r="AR16">
        <f t="shared" si="8"/>
        <v>0</v>
      </c>
      <c r="AT16" s="2">
        <v>4.8211000000000003E-11</v>
      </c>
      <c r="AU16" s="3">
        <v>0</v>
      </c>
      <c r="AV16" s="16">
        <v>0</v>
      </c>
      <c r="AW16">
        <f t="shared" si="9"/>
        <v>0</v>
      </c>
    </row>
    <row r="17" spans="1:49" x14ac:dyDescent="0.3">
      <c r="A17" s="2">
        <v>5.4412E-11</v>
      </c>
      <c r="B17" s="16">
        <v>0</v>
      </c>
      <c r="C17" s="16">
        <v>0.38199158371092201</v>
      </c>
      <c r="D17">
        <f t="shared" si="0"/>
        <v>0</v>
      </c>
      <c r="F17" s="2">
        <v>5.4412E-11</v>
      </c>
      <c r="G17" s="3">
        <v>0</v>
      </c>
      <c r="H17" s="16">
        <v>0</v>
      </c>
      <c r="I17">
        <f t="shared" si="1"/>
        <v>0</v>
      </c>
      <c r="K17" s="2">
        <v>5.4412E-11</v>
      </c>
      <c r="L17" s="3">
        <v>0</v>
      </c>
      <c r="M17" s="16">
        <v>0</v>
      </c>
      <c r="N17">
        <f t="shared" si="2"/>
        <v>0</v>
      </c>
      <c r="P17" s="2">
        <v>5.4412E-11</v>
      </c>
      <c r="Q17" s="3">
        <v>0</v>
      </c>
      <c r="R17" s="16">
        <v>0</v>
      </c>
      <c r="S17">
        <f t="shared" si="3"/>
        <v>0</v>
      </c>
      <c r="U17" s="2">
        <v>5.4412E-11</v>
      </c>
      <c r="V17" s="3">
        <v>0</v>
      </c>
      <c r="W17" s="16">
        <v>0</v>
      </c>
      <c r="X17">
        <f t="shared" si="4"/>
        <v>0</v>
      </c>
      <c r="Z17" s="2">
        <v>5.4412E-11</v>
      </c>
      <c r="AA17" s="3">
        <v>0</v>
      </c>
      <c r="AB17" s="16">
        <v>0</v>
      </c>
      <c r="AC17">
        <f t="shared" si="5"/>
        <v>0</v>
      </c>
      <c r="AE17" s="2">
        <v>5.4412E-11</v>
      </c>
      <c r="AF17" s="3">
        <v>0</v>
      </c>
      <c r="AG17" s="16">
        <v>0</v>
      </c>
      <c r="AH17">
        <f t="shared" si="6"/>
        <v>0</v>
      </c>
      <c r="AJ17" s="2">
        <v>5.4412E-11</v>
      </c>
      <c r="AK17" s="3">
        <v>0</v>
      </c>
      <c r="AL17" s="16">
        <v>5.6557241481031299E-2</v>
      </c>
      <c r="AM17">
        <f t="shared" si="7"/>
        <v>0</v>
      </c>
      <c r="AO17" s="2">
        <v>5.4412E-11</v>
      </c>
      <c r="AP17" s="3">
        <v>0</v>
      </c>
      <c r="AQ17" s="16">
        <v>7.4634214001589405E-4</v>
      </c>
      <c r="AR17">
        <f t="shared" si="8"/>
        <v>0</v>
      </c>
      <c r="AT17" s="2">
        <v>5.4412E-11</v>
      </c>
      <c r="AU17" s="3">
        <v>0</v>
      </c>
      <c r="AV17" s="16">
        <v>0</v>
      </c>
      <c r="AW17">
        <f t="shared" si="9"/>
        <v>0</v>
      </c>
    </row>
    <row r="18" spans="1:49" x14ac:dyDescent="0.3">
      <c r="A18" s="2">
        <v>6.1411000000000006E-11</v>
      </c>
      <c r="B18" s="16">
        <v>0</v>
      </c>
      <c r="C18" s="16">
        <v>0.363713311101732</v>
      </c>
      <c r="D18">
        <f t="shared" si="0"/>
        <v>0</v>
      </c>
      <c r="F18" s="2">
        <v>6.1411000000000006E-11</v>
      </c>
      <c r="G18" s="3">
        <v>0</v>
      </c>
      <c r="H18" s="16">
        <v>0</v>
      </c>
      <c r="I18">
        <f t="shared" si="1"/>
        <v>0</v>
      </c>
      <c r="K18" s="2">
        <v>6.1411000000000006E-11</v>
      </c>
      <c r="L18" s="3">
        <v>0</v>
      </c>
      <c r="M18" s="16">
        <v>0</v>
      </c>
      <c r="N18">
        <f t="shared" si="2"/>
        <v>0</v>
      </c>
      <c r="P18" s="2">
        <v>6.1411000000000006E-11</v>
      </c>
      <c r="Q18" s="3">
        <v>0</v>
      </c>
      <c r="R18" s="16">
        <v>0</v>
      </c>
      <c r="S18">
        <f t="shared" si="3"/>
        <v>0</v>
      </c>
      <c r="U18" s="2">
        <v>6.1411000000000006E-11</v>
      </c>
      <c r="V18" s="3">
        <v>0</v>
      </c>
      <c r="W18" s="16">
        <v>0</v>
      </c>
      <c r="X18">
        <f t="shared" si="4"/>
        <v>0</v>
      </c>
      <c r="Z18" s="2">
        <v>6.1411000000000006E-11</v>
      </c>
      <c r="AA18" s="3">
        <v>0</v>
      </c>
      <c r="AB18" s="16">
        <v>0</v>
      </c>
      <c r="AC18">
        <f t="shared" si="5"/>
        <v>0</v>
      </c>
      <c r="AE18" s="2">
        <v>6.1411000000000006E-11</v>
      </c>
      <c r="AF18" s="3">
        <v>0</v>
      </c>
      <c r="AG18" s="16">
        <v>0</v>
      </c>
      <c r="AH18">
        <f t="shared" si="6"/>
        <v>0</v>
      </c>
      <c r="AJ18" s="2">
        <v>6.1411000000000006E-11</v>
      </c>
      <c r="AK18" s="3">
        <v>0</v>
      </c>
      <c r="AL18" s="16">
        <v>5.3850923565448502E-2</v>
      </c>
      <c r="AM18">
        <f t="shared" si="7"/>
        <v>0</v>
      </c>
      <c r="AO18" s="2">
        <v>6.1411000000000006E-11</v>
      </c>
      <c r="AP18" s="3">
        <v>0</v>
      </c>
      <c r="AQ18" s="16">
        <v>7.1062939990443796E-4</v>
      </c>
      <c r="AR18">
        <f t="shared" si="8"/>
        <v>0</v>
      </c>
      <c r="AT18" s="2">
        <v>6.1411000000000006E-11</v>
      </c>
      <c r="AU18" s="3">
        <v>0</v>
      </c>
      <c r="AV18" s="16">
        <v>0</v>
      </c>
      <c r="AW18">
        <f t="shared" si="9"/>
        <v>0</v>
      </c>
    </row>
    <row r="19" spans="1:49" x14ac:dyDescent="0.3">
      <c r="A19" s="2">
        <v>6.9310000000000004E-11</v>
      </c>
      <c r="B19" s="16">
        <v>0</v>
      </c>
      <c r="C19" s="16">
        <v>0.34630926338552798</v>
      </c>
      <c r="D19">
        <f t="shared" si="0"/>
        <v>0</v>
      </c>
      <c r="F19" s="2">
        <v>6.9310000000000004E-11</v>
      </c>
      <c r="G19" s="3">
        <v>0</v>
      </c>
      <c r="H19" s="16">
        <v>0</v>
      </c>
      <c r="I19">
        <f t="shared" si="1"/>
        <v>0</v>
      </c>
      <c r="K19" s="2">
        <v>6.9310000000000004E-11</v>
      </c>
      <c r="L19" s="3">
        <v>0</v>
      </c>
      <c r="M19" s="16">
        <v>0</v>
      </c>
      <c r="N19">
        <f t="shared" si="2"/>
        <v>0</v>
      </c>
      <c r="P19" s="2">
        <v>6.9310000000000004E-11</v>
      </c>
      <c r="Q19" s="3">
        <v>0</v>
      </c>
      <c r="R19" s="16">
        <v>0</v>
      </c>
      <c r="S19">
        <f t="shared" si="3"/>
        <v>0</v>
      </c>
      <c r="U19" s="2">
        <v>6.9310000000000004E-11</v>
      </c>
      <c r="V19" s="3">
        <v>0</v>
      </c>
      <c r="W19" s="16">
        <v>0</v>
      </c>
      <c r="X19">
        <f t="shared" si="4"/>
        <v>0</v>
      </c>
      <c r="Z19" s="2">
        <v>6.9310000000000004E-11</v>
      </c>
      <c r="AA19" s="3">
        <v>0</v>
      </c>
      <c r="AB19" s="16">
        <v>0</v>
      </c>
      <c r="AC19">
        <f t="shared" si="5"/>
        <v>0</v>
      </c>
      <c r="AE19" s="2">
        <v>6.9310000000000004E-11</v>
      </c>
      <c r="AF19" s="3">
        <v>0</v>
      </c>
      <c r="AG19" s="16">
        <v>0</v>
      </c>
      <c r="AH19">
        <f t="shared" si="6"/>
        <v>0</v>
      </c>
      <c r="AJ19" s="2">
        <v>6.9310000000000004E-11</v>
      </c>
      <c r="AK19" s="3">
        <v>0</v>
      </c>
      <c r="AL19" s="16">
        <v>5.1273991366945403E-2</v>
      </c>
      <c r="AM19">
        <f t="shared" si="7"/>
        <v>0</v>
      </c>
      <c r="AO19" s="2">
        <v>6.9310000000000004E-11</v>
      </c>
      <c r="AP19" s="3">
        <v>0</v>
      </c>
      <c r="AQ19" s="16">
        <v>6.7662505597082599E-4</v>
      </c>
      <c r="AR19">
        <f t="shared" si="8"/>
        <v>0</v>
      </c>
      <c r="AT19" s="2">
        <v>6.9310000000000004E-11</v>
      </c>
      <c r="AU19" s="3">
        <v>0</v>
      </c>
      <c r="AV19" s="16">
        <v>0</v>
      </c>
      <c r="AW19">
        <f t="shared" si="9"/>
        <v>0</v>
      </c>
    </row>
    <row r="20" spans="1:49" x14ac:dyDescent="0.3">
      <c r="A20" s="2">
        <v>7.8225000000000006E-11</v>
      </c>
      <c r="B20" s="16">
        <v>0</v>
      </c>
      <c r="C20" s="16">
        <v>0.32974010938103199</v>
      </c>
      <c r="D20">
        <f t="shared" si="0"/>
        <v>0</v>
      </c>
      <c r="F20" s="2">
        <v>7.8225000000000006E-11</v>
      </c>
      <c r="G20" s="3">
        <v>0</v>
      </c>
      <c r="H20" s="16">
        <v>0</v>
      </c>
      <c r="I20">
        <f t="shared" si="1"/>
        <v>0</v>
      </c>
      <c r="K20" s="2">
        <v>7.8225000000000006E-11</v>
      </c>
      <c r="L20" s="3">
        <v>0</v>
      </c>
      <c r="M20" s="16">
        <v>0</v>
      </c>
      <c r="N20">
        <f t="shared" si="2"/>
        <v>0</v>
      </c>
      <c r="P20" s="2">
        <v>7.8225000000000006E-11</v>
      </c>
      <c r="Q20" s="3">
        <v>0</v>
      </c>
      <c r="R20" s="16">
        <v>0</v>
      </c>
      <c r="S20">
        <f t="shared" si="3"/>
        <v>0</v>
      </c>
      <c r="U20" s="2">
        <v>7.8225000000000006E-11</v>
      </c>
      <c r="V20" s="3">
        <v>0</v>
      </c>
      <c r="W20" s="16">
        <v>0</v>
      </c>
      <c r="X20">
        <f t="shared" si="4"/>
        <v>0</v>
      </c>
      <c r="Z20" s="2">
        <v>7.8225000000000006E-11</v>
      </c>
      <c r="AA20" s="3">
        <v>0</v>
      </c>
      <c r="AB20" s="16">
        <v>0</v>
      </c>
      <c r="AC20">
        <f t="shared" si="5"/>
        <v>0</v>
      </c>
      <c r="AE20" s="2">
        <v>7.8225000000000006E-11</v>
      </c>
      <c r="AF20" s="3">
        <v>0</v>
      </c>
      <c r="AG20" s="16">
        <v>0</v>
      </c>
      <c r="AH20">
        <f t="shared" si="6"/>
        <v>0</v>
      </c>
      <c r="AJ20" s="2">
        <v>7.8225000000000006E-11</v>
      </c>
      <c r="AK20" s="3">
        <v>0</v>
      </c>
      <c r="AL20" s="16">
        <v>4.8820514706822402E-2</v>
      </c>
      <c r="AM20">
        <f t="shared" si="7"/>
        <v>0</v>
      </c>
      <c r="AO20" s="2">
        <v>7.8225000000000006E-11</v>
      </c>
      <c r="AP20" s="3">
        <v>0</v>
      </c>
      <c r="AQ20" s="16">
        <v>6.4424823739007097E-4</v>
      </c>
      <c r="AR20">
        <f t="shared" si="8"/>
        <v>0</v>
      </c>
      <c r="AT20" s="2">
        <v>7.8225000000000006E-11</v>
      </c>
      <c r="AU20" s="3">
        <v>0</v>
      </c>
      <c r="AV20" s="16">
        <v>0</v>
      </c>
      <c r="AW20">
        <f t="shared" si="9"/>
        <v>0</v>
      </c>
    </row>
    <row r="21" spans="1:49" x14ac:dyDescent="0.3">
      <c r="A21" s="2">
        <v>8.8286000000000004E-11</v>
      </c>
      <c r="B21" s="16">
        <v>0</v>
      </c>
      <c r="C21" s="16">
        <v>0.30645158061111599</v>
      </c>
      <c r="D21">
        <f t="shared" si="0"/>
        <v>0</v>
      </c>
      <c r="F21" s="2">
        <v>8.8286000000000004E-11</v>
      </c>
      <c r="G21" s="3">
        <v>0</v>
      </c>
      <c r="H21" s="16">
        <v>0</v>
      </c>
      <c r="I21">
        <f t="shared" si="1"/>
        <v>0</v>
      </c>
      <c r="K21" s="2">
        <v>8.8286000000000004E-11</v>
      </c>
      <c r="L21" s="3">
        <v>0</v>
      </c>
      <c r="M21" s="16">
        <v>0</v>
      </c>
      <c r="N21">
        <f t="shared" si="2"/>
        <v>0</v>
      </c>
      <c r="P21" s="2">
        <v>8.8286000000000004E-11</v>
      </c>
      <c r="Q21" s="3">
        <v>0</v>
      </c>
      <c r="R21" s="16">
        <v>0</v>
      </c>
      <c r="S21">
        <f t="shared" si="3"/>
        <v>0</v>
      </c>
      <c r="U21" s="2">
        <v>8.8286000000000004E-11</v>
      </c>
      <c r="V21" s="3">
        <v>0</v>
      </c>
      <c r="W21" s="16">
        <v>0</v>
      </c>
      <c r="X21">
        <f t="shared" si="4"/>
        <v>0</v>
      </c>
      <c r="Z21" s="2">
        <v>8.8286000000000004E-11</v>
      </c>
      <c r="AA21" s="3">
        <v>0</v>
      </c>
      <c r="AB21" s="16">
        <v>0</v>
      </c>
      <c r="AC21">
        <f t="shared" si="5"/>
        <v>0</v>
      </c>
      <c r="AE21" s="2">
        <v>8.8286000000000004E-11</v>
      </c>
      <c r="AF21" s="3">
        <v>0</v>
      </c>
      <c r="AG21" s="16">
        <v>0</v>
      </c>
      <c r="AH21">
        <f t="shared" si="6"/>
        <v>0</v>
      </c>
      <c r="AJ21" s="2">
        <v>8.8286000000000004E-11</v>
      </c>
      <c r="AK21" s="3">
        <v>0</v>
      </c>
      <c r="AL21" s="16">
        <v>4.5372238317425602E-2</v>
      </c>
      <c r="AM21">
        <f t="shared" si="7"/>
        <v>0</v>
      </c>
      <c r="AO21" s="2">
        <v>8.8286000000000004E-11</v>
      </c>
      <c r="AP21" s="3">
        <v>0</v>
      </c>
      <c r="AQ21" s="16">
        <v>5.9874369454869102E-4</v>
      </c>
      <c r="AR21">
        <f t="shared" si="8"/>
        <v>0</v>
      </c>
      <c r="AT21" s="2">
        <v>8.8286000000000004E-11</v>
      </c>
      <c r="AU21" s="3">
        <v>0</v>
      </c>
      <c r="AV21" s="16">
        <v>0</v>
      </c>
      <c r="AW21">
        <f t="shared" si="9"/>
        <v>0</v>
      </c>
    </row>
    <row r="22" spans="1:49" x14ac:dyDescent="0.3">
      <c r="A22" s="2">
        <v>9.9641999999999996E-11</v>
      </c>
      <c r="B22" s="16">
        <v>0</v>
      </c>
      <c r="C22" s="16">
        <v>0.284636183358216</v>
      </c>
      <c r="D22">
        <f t="shared" si="0"/>
        <v>0</v>
      </c>
      <c r="F22" s="2">
        <v>9.9641999999999996E-11</v>
      </c>
      <c r="G22" s="3">
        <v>0</v>
      </c>
      <c r="H22" s="16">
        <v>0</v>
      </c>
      <c r="I22">
        <f t="shared" si="1"/>
        <v>0</v>
      </c>
      <c r="K22" s="2">
        <v>9.9641999999999996E-11</v>
      </c>
      <c r="L22" s="3">
        <v>0</v>
      </c>
      <c r="M22" s="16">
        <v>0</v>
      </c>
      <c r="N22">
        <f t="shared" si="2"/>
        <v>0</v>
      </c>
      <c r="P22" s="2">
        <v>9.9641999999999996E-11</v>
      </c>
      <c r="Q22" s="3">
        <v>0</v>
      </c>
      <c r="R22" s="16">
        <v>0</v>
      </c>
      <c r="S22">
        <f t="shared" si="3"/>
        <v>0</v>
      </c>
      <c r="U22" s="2">
        <v>9.9641999999999996E-11</v>
      </c>
      <c r="V22" s="3">
        <v>0</v>
      </c>
      <c r="W22" s="16">
        <v>0</v>
      </c>
      <c r="X22">
        <f t="shared" si="4"/>
        <v>0</v>
      </c>
      <c r="Z22" s="2">
        <v>9.9641999999999996E-11</v>
      </c>
      <c r="AA22" s="3">
        <v>0</v>
      </c>
      <c r="AB22" s="16">
        <v>0</v>
      </c>
      <c r="AC22">
        <f t="shared" si="5"/>
        <v>0</v>
      </c>
      <c r="AE22" s="2">
        <v>9.9641999999999996E-11</v>
      </c>
      <c r="AF22" s="3">
        <v>0</v>
      </c>
      <c r="AG22" s="16">
        <v>0</v>
      </c>
      <c r="AH22">
        <f t="shared" si="6"/>
        <v>0</v>
      </c>
      <c r="AJ22" s="2">
        <v>9.9641999999999996E-11</v>
      </c>
      <c r="AK22" s="3">
        <v>0</v>
      </c>
      <c r="AL22" s="16">
        <v>4.21422023061181E-2</v>
      </c>
      <c r="AM22">
        <f t="shared" si="7"/>
        <v>0</v>
      </c>
      <c r="AO22" s="2">
        <v>9.9641999999999996E-11</v>
      </c>
      <c r="AP22" s="3">
        <v>0</v>
      </c>
      <c r="AQ22" s="16">
        <v>5.5611925586081397E-4</v>
      </c>
      <c r="AR22">
        <f t="shared" si="8"/>
        <v>0</v>
      </c>
      <c r="AT22" s="2">
        <v>9.9641999999999996E-11</v>
      </c>
      <c r="AU22" s="3">
        <v>0</v>
      </c>
      <c r="AV22" s="16">
        <v>0</v>
      </c>
      <c r="AW22">
        <f t="shared" si="9"/>
        <v>0</v>
      </c>
    </row>
    <row r="23" spans="1:49" x14ac:dyDescent="0.3">
      <c r="A23" s="2">
        <v>1.1246000000000001E-10</v>
      </c>
      <c r="B23" s="16">
        <v>0</v>
      </c>
      <c r="C23" s="16">
        <v>0.27101686794968599</v>
      </c>
      <c r="D23">
        <f t="shared" si="0"/>
        <v>0</v>
      </c>
      <c r="F23" s="2">
        <v>1.1246000000000001E-10</v>
      </c>
      <c r="G23" s="3">
        <v>0</v>
      </c>
      <c r="H23" s="16">
        <v>0</v>
      </c>
      <c r="I23">
        <f t="shared" si="1"/>
        <v>0</v>
      </c>
      <c r="K23" s="2">
        <v>1.1246000000000001E-10</v>
      </c>
      <c r="L23" s="3">
        <v>0</v>
      </c>
      <c r="M23" s="16">
        <v>0</v>
      </c>
      <c r="N23">
        <f t="shared" si="2"/>
        <v>0</v>
      </c>
      <c r="P23" s="2">
        <v>1.1246000000000001E-10</v>
      </c>
      <c r="Q23" s="3">
        <v>0</v>
      </c>
      <c r="R23" s="16">
        <v>0</v>
      </c>
      <c r="S23">
        <f t="shared" si="3"/>
        <v>0</v>
      </c>
      <c r="U23" s="2">
        <v>1.1246000000000001E-10</v>
      </c>
      <c r="V23" s="3">
        <v>0</v>
      </c>
      <c r="W23" s="16">
        <v>0</v>
      </c>
      <c r="X23">
        <f t="shared" si="4"/>
        <v>0</v>
      </c>
      <c r="Z23" s="2">
        <v>1.1246000000000001E-10</v>
      </c>
      <c r="AA23" s="3">
        <v>0</v>
      </c>
      <c r="AB23" s="16">
        <v>0</v>
      </c>
      <c r="AC23">
        <f t="shared" si="5"/>
        <v>0</v>
      </c>
      <c r="AE23" s="2">
        <v>1.1246000000000001E-10</v>
      </c>
      <c r="AF23" s="3">
        <v>0</v>
      </c>
      <c r="AG23" s="16">
        <v>0</v>
      </c>
      <c r="AH23">
        <f t="shared" si="6"/>
        <v>0</v>
      </c>
      <c r="AJ23" s="2">
        <v>1.1246000000000001E-10</v>
      </c>
      <c r="AK23" s="3">
        <v>0</v>
      </c>
      <c r="AL23" s="16">
        <v>4.0125647489845602E-2</v>
      </c>
      <c r="AM23">
        <f t="shared" si="7"/>
        <v>0</v>
      </c>
      <c r="AO23" s="2">
        <v>1.1246000000000001E-10</v>
      </c>
      <c r="AP23" s="3">
        <v>0</v>
      </c>
      <c r="AQ23" s="16">
        <v>5.2950907849360002E-4</v>
      </c>
      <c r="AR23">
        <f t="shared" si="8"/>
        <v>0</v>
      </c>
      <c r="AT23" s="2">
        <v>1.1246000000000001E-10</v>
      </c>
      <c r="AU23" s="3">
        <v>0</v>
      </c>
      <c r="AV23" s="16">
        <v>0</v>
      </c>
      <c r="AW23">
        <f t="shared" si="9"/>
        <v>0</v>
      </c>
    </row>
    <row r="24" spans="1:49" x14ac:dyDescent="0.3">
      <c r="A24" s="2">
        <v>1.2692000000000001E-10</v>
      </c>
      <c r="B24" s="16">
        <v>0</v>
      </c>
      <c r="C24" s="16">
        <v>0.25805009259420297</v>
      </c>
      <c r="D24">
        <f t="shared" si="0"/>
        <v>0</v>
      </c>
      <c r="F24" s="2">
        <v>1.2692000000000001E-10</v>
      </c>
      <c r="G24" s="3">
        <v>0</v>
      </c>
      <c r="H24" s="16">
        <v>0</v>
      </c>
      <c r="I24">
        <f t="shared" si="1"/>
        <v>0</v>
      </c>
      <c r="K24" s="2">
        <v>1.2692000000000001E-10</v>
      </c>
      <c r="L24" s="3">
        <v>0</v>
      </c>
      <c r="M24" s="16">
        <v>0</v>
      </c>
      <c r="N24">
        <f t="shared" si="2"/>
        <v>0</v>
      </c>
      <c r="P24" s="2">
        <v>1.2692000000000001E-10</v>
      </c>
      <c r="Q24" s="3">
        <v>0</v>
      </c>
      <c r="R24" s="16">
        <v>0</v>
      </c>
      <c r="S24">
        <f t="shared" si="3"/>
        <v>0</v>
      </c>
      <c r="U24" s="2">
        <v>1.2692000000000001E-10</v>
      </c>
      <c r="V24" s="3">
        <v>0</v>
      </c>
      <c r="W24" s="16">
        <v>0</v>
      </c>
      <c r="X24">
        <f t="shared" si="4"/>
        <v>0</v>
      </c>
      <c r="Z24" s="2">
        <v>1.2692000000000001E-10</v>
      </c>
      <c r="AA24" s="3">
        <v>0</v>
      </c>
      <c r="AB24" s="16">
        <v>0</v>
      </c>
      <c r="AC24">
        <f t="shared" si="5"/>
        <v>0</v>
      </c>
      <c r="AE24" s="2">
        <v>1.2692000000000001E-10</v>
      </c>
      <c r="AF24" s="3">
        <v>0</v>
      </c>
      <c r="AG24" s="16">
        <v>0</v>
      </c>
      <c r="AH24">
        <f t="shared" si="6"/>
        <v>0</v>
      </c>
      <c r="AJ24" s="2">
        <v>1.2692000000000001E-10</v>
      </c>
      <c r="AK24" s="3">
        <v>0</v>
      </c>
      <c r="AL24" s="16">
        <v>3.8205592854228303E-2</v>
      </c>
      <c r="AM24">
        <f t="shared" si="7"/>
        <v>0</v>
      </c>
      <c r="AO24" s="2">
        <v>1.2692000000000001E-10</v>
      </c>
      <c r="AP24" s="3">
        <v>0</v>
      </c>
      <c r="AQ24" s="16">
        <v>5.0417169763327795E-4</v>
      </c>
      <c r="AR24">
        <f t="shared" si="8"/>
        <v>0</v>
      </c>
      <c r="AT24" s="2">
        <v>1.2692000000000001E-10</v>
      </c>
      <c r="AU24" s="3">
        <v>0</v>
      </c>
      <c r="AV24" s="16">
        <v>0</v>
      </c>
      <c r="AW24">
        <f t="shared" si="9"/>
        <v>0</v>
      </c>
    </row>
    <row r="25" spans="1:49" x14ac:dyDescent="0.3">
      <c r="A25" s="2">
        <v>1.4325E-10</v>
      </c>
      <c r="B25" s="16">
        <v>0</v>
      </c>
      <c r="C25" s="16">
        <v>0.23982545341403</v>
      </c>
      <c r="D25">
        <f t="shared" si="0"/>
        <v>0</v>
      </c>
      <c r="F25" s="2">
        <v>1.4325E-10</v>
      </c>
      <c r="G25" s="3">
        <v>0</v>
      </c>
      <c r="H25" s="16">
        <v>0</v>
      </c>
      <c r="I25">
        <f t="shared" si="1"/>
        <v>0</v>
      </c>
      <c r="K25" s="2">
        <v>1.4325E-10</v>
      </c>
      <c r="L25" s="3">
        <v>0</v>
      </c>
      <c r="M25" s="16">
        <v>0</v>
      </c>
      <c r="N25">
        <f t="shared" si="2"/>
        <v>0</v>
      </c>
      <c r="P25" s="2">
        <v>1.4325E-10</v>
      </c>
      <c r="Q25" s="3">
        <v>0</v>
      </c>
      <c r="R25" s="16">
        <v>0</v>
      </c>
      <c r="S25">
        <f t="shared" si="3"/>
        <v>0</v>
      </c>
      <c r="U25" s="2">
        <v>1.4325E-10</v>
      </c>
      <c r="V25" s="3">
        <v>0</v>
      </c>
      <c r="W25" s="16">
        <v>0</v>
      </c>
      <c r="X25">
        <f t="shared" si="4"/>
        <v>0</v>
      </c>
      <c r="Z25" s="2">
        <v>1.4325E-10</v>
      </c>
      <c r="AA25" s="3">
        <v>0</v>
      </c>
      <c r="AB25" s="16">
        <v>0</v>
      </c>
      <c r="AC25">
        <f t="shared" si="5"/>
        <v>0</v>
      </c>
      <c r="AE25" s="2">
        <v>1.4325E-10</v>
      </c>
      <c r="AF25" s="3">
        <v>0</v>
      </c>
      <c r="AG25" s="16">
        <v>0</v>
      </c>
      <c r="AH25">
        <f t="shared" si="6"/>
        <v>0</v>
      </c>
      <c r="AJ25" s="2">
        <v>1.4325E-10</v>
      </c>
      <c r="AK25" s="3">
        <v>0</v>
      </c>
      <c r="AL25" s="16">
        <v>3.5507042982644399E-2</v>
      </c>
      <c r="AM25">
        <f t="shared" si="7"/>
        <v>0</v>
      </c>
      <c r="AO25" s="2">
        <v>1.4325E-10</v>
      </c>
      <c r="AP25" s="3">
        <v>0</v>
      </c>
      <c r="AQ25" s="16">
        <v>4.6856096503970302E-4</v>
      </c>
      <c r="AR25">
        <f t="shared" si="8"/>
        <v>0</v>
      </c>
      <c r="AT25" s="2">
        <v>1.4325E-10</v>
      </c>
      <c r="AU25" s="3">
        <v>0</v>
      </c>
      <c r="AV25" s="16">
        <v>0</v>
      </c>
      <c r="AW25">
        <f t="shared" si="9"/>
        <v>0</v>
      </c>
    </row>
    <row r="26" spans="1:49" x14ac:dyDescent="0.3">
      <c r="A26" s="2">
        <v>1.6167E-10</v>
      </c>
      <c r="B26" s="16">
        <v>0</v>
      </c>
      <c r="C26" s="16">
        <v>0.22275393295773599</v>
      </c>
      <c r="D26">
        <f t="shared" si="0"/>
        <v>0</v>
      </c>
      <c r="F26" s="2">
        <v>1.6167E-10</v>
      </c>
      <c r="G26" s="3">
        <v>0</v>
      </c>
      <c r="H26" s="16">
        <v>0</v>
      </c>
      <c r="I26">
        <f t="shared" si="1"/>
        <v>0</v>
      </c>
      <c r="K26" s="2">
        <v>1.6167E-10</v>
      </c>
      <c r="L26" s="3">
        <v>0</v>
      </c>
      <c r="M26" s="16">
        <v>0</v>
      </c>
      <c r="N26">
        <f t="shared" si="2"/>
        <v>0</v>
      </c>
      <c r="P26" s="2">
        <v>1.6167E-10</v>
      </c>
      <c r="Q26" s="3">
        <v>0</v>
      </c>
      <c r="R26" s="16">
        <v>0</v>
      </c>
      <c r="S26">
        <f t="shared" si="3"/>
        <v>0</v>
      </c>
      <c r="U26" s="2">
        <v>1.6167E-10</v>
      </c>
      <c r="V26" s="3">
        <v>0</v>
      </c>
      <c r="W26" s="16">
        <v>0</v>
      </c>
      <c r="X26">
        <f t="shared" si="4"/>
        <v>0</v>
      </c>
      <c r="Z26" s="2">
        <v>1.6167E-10</v>
      </c>
      <c r="AA26" s="3">
        <v>0</v>
      </c>
      <c r="AB26" s="16">
        <v>0</v>
      </c>
      <c r="AC26">
        <f t="shared" si="5"/>
        <v>0</v>
      </c>
      <c r="AE26" s="2">
        <v>1.6167E-10</v>
      </c>
      <c r="AF26" s="3">
        <v>0</v>
      </c>
      <c r="AG26" s="16">
        <v>0</v>
      </c>
      <c r="AH26">
        <f t="shared" si="6"/>
        <v>0</v>
      </c>
      <c r="AJ26" s="2">
        <v>1.6167E-10</v>
      </c>
      <c r="AK26" s="3">
        <v>0</v>
      </c>
      <c r="AL26" s="16">
        <v>3.2979292059553897E-2</v>
      </c>
      <c r="AM26">
        <f t="shared" si="7"/>
        <v>0</v>
      </c>
      <c r="AO26" s="2">
        <v>1.6167E-10</v>
      </c>
      <c r="AP26" s="3">
        <v>0</v>
      </c>
      <c r="AQ26" s="16">
        <v>4.3520450669263101E-4</v>
      </c>
      <c r="AR26">
        <f t="shared" si="8"/>
        <v>0</v>
      </c>
      <c r="AT26" s="2">
        <v>1.6167E-10</v>
      </c>
      <c r="AU26" s="3">
        <v>0</v>
      </c>
      <c r="AV26" s="16">
        <v>0</v>
      </c>
      <c r="AW26">
        <f t="shared" si="9"/>
        <v>0</v>
      </c>
    </row>
    <row r="27" spans="1:49" x14ac:dyDescent="0.3">
      <c r="A27" s="2">
        <v>1.8246999999999999E-10</v>
      </c>
      <c r="B27" s="16">
        <v>0</v>
      </c>
      <c r="C27" s="16">
        <v>0.212095182830976</v>
      </c>
      <c r="D27">
        <f t="shared" si="0"/>
        <v>0</v>
      </c>
      <c r="F27" s="2">
        <v>1.8246999999999999E-10</v>
      </c>
      <c r="G27" s="3">
        <v>0</v>
      </c>
      <c r="H27" s="16">
        <v>0</v>
      </c>
      <c r="I27">
        <f t="shared" si="1"/>
        <v>0</v>
      </c>
      <c r="K27" s="2">
        <v>1.8246999999999999E-10</v>
      </c>
      <c r="L27" s="3">
        <v>0</v>
      </c>
      <c r="M27" s="16">
        <v>0</v>
      </c>
      <c r="N27">
        <f t="shared" si="2"/>
        <v>0</v>
      </c>
      <c r="P27" s="2">
        <v>1.8246999999999999E-10</v>
      </c>
      <c r="Q27" s="3">
        <v>0</v>
      </c>
      <c r="R27" s="16">
        <v>0</v>
      </c>
      <c r="S27">
        <f t="shared" si="3"/>
        <v>0</v>
      </c>
      <c r="U27" s="2">
        <v>1.8246999999999999E-10</v>
      </c>
      <c r="V27" s="3">
        <v>0</v>
      </c>
      <c r="W27" s="16">
        <v>0</v>
      </c>
      <c r="X27">
        <f t="shared" si="4"/>
        <v>0</v>
      </c>
      <c r="Z27" s="2">
        <v>1.8246999999999999E-10</v>
      </c>
      <c r="AA27" s="3">
        <v>0</v>
      </c>
      <c r="AB27" s="16">
        <v>0</v>
      </c>
      <c r="AC27">
        <f t="shared" si="5"/>
        <v>0</v>
      </c>
      <c r="AE27" s="2">
        <v>1.8246999999999999E-10</v>
      </c>
      <c r="AF27" s="3">
        <v>0</v>
      </c>
      <c r="AG27" s="16">
        <v>0</v>
      </c>
      <c r="AH27">
        <f t="shared" si="6"/>
        <v>0</v>
      </c>
      <c r="AJ27" s="2">
        <v>1.8246999999999999E-10</v>
      </c>
      <c r="AK27" s="3">
        <v>0</v>
      </c>
      <c r="AL27" s="16">
        <v>3.1401178389112702E-2</v>
      </c>
      <c r="AM27">
        <f t="shared" si="7"/>
        <v>0</v>
      </c>
      <c r="AO27" s="2">
        <v>1.8246999999999999E-10</v>
      </c>
      <c r="AP27" s="3">
        <v>0</v>
      </c>
      <c r="AQ27" s="16">
        <v>4.1437935027190901E-4</v>
      </c>
      <c r="AR27">
        <f t="shared" si="8"/>
        <v>0</v>
      </c>
      <c r="AT27" s="2">
        <v>1.8246999999999999E-10</v>
      </c>
      <c r="AU27" s="3">
        <v>0</v>
      </c>
      <c r="AV27" s="16">
        <v>0</v>
      </c>
      <c r="AW27">
        <f t="shared" si="9"/>
        <v>0</v>
      </c>
    </row>
    <row r="28" spans="1:49" x14ac:dyDescent="0.3">
      <c r="A28" s="2">
        <v>2.0593999999999999E-10</v>
      </c>
      <c r="B28" s="16">
        <v>0</v>
      </c>
      <c r="C28" s="16">
        <v>0.20194773806085001</v>
      </c>
      <c r="D28">
        <f t="shared" si="0"/>
        <v>0</v>
      </c>
      <c r="F28" s="2">
        <v>2.0593999999999999E-10</v>
      </c>
      <c r="G28" s="3">
        <v>0</v>
      </c>
      <c r="H28" s="16">
        <v>0</v>
      </c>
      <c r="I28">
        <f t="shared" si="1"/>
        <v>0</v>
      </c>
      <c r="K28" s="2">
        <v>2.0593999999999999E-10</v>
      </c>
      <c r="L28" s="3">
        <v>0</v>
      </c>
      <c r="M28" s="16">
        <v>0</v>
      </c>
      <c r="N28">
        <f t="shared" si="2"/>
        <v>0</v>
      </c>
      <c r="P28" s="2">
        <v>2.0593999999999999E-10</v>
      </c>
      <c r="Q28" s="3">
        <v>0</v>
      </c>
      <c r="R28" s="16">
        <v>0</v>
      </c>
      <c r="S28">
        <f t="shared" si="3"/>
        <v>0</v>
      </c>
      <c r="U28" s="2">
        <v>2.0593999999999999E-10</v>
      </c>
      <c r="V28" s="3">
        <v>0</v>
      </c>
      <c r="W28" s="16">
        <v>0</v>
      </c>
      <c r="X28">
        <f t="shared" si="4"/>
        <v>0</v>
      </c>
      <c r="Z28" s="2">
        <v>2.0593999999999999E-10</v>
      </c>
      <c r="AA28" s="3">
        <v>0</v>
      </c>
      <c r="AB28" s="16">
        <v>0</v>
      </c>
      <c r="AC28">
        <f t="shared" si="5"/>
        <v>0</v>
      </c>
      <c r="AE28" s="2">
        <v>2.0593999999999999E-10</v>
      </c>
      <c r="AF28" s="3">
        <v>0</v>
      </c>
      <c r="AG28" s="16">
        <v>0</v>
      </c>
      <c r="AH28">
        <f t="shared" si="6"/>
        <v>0</v>
      </c>
      <c r="AJ28" s="2">
        <v>2.0593999999999999E-10</v>
      </c>
      <c r="AK28" s="3">
        <v>0</v>
      </c>
      <c r="AL28" s="16">
        <v>2.9898637739783799E-2</v>
      </c>
      <c r="AM28">
        <f t="shared" si="7"/>
        <v>0</v>
      </c>
      <c r="AO28" s="2">
        <v>2.0593999999999999E-10</v>
      </c>
      <c r="AP28" s="3">
        <v>0</v>
      </c>
      <c r="AQ28" s="16">
        <v>3.9455129436380599E-4</v>
      </c>
      <c r="AR28">
        <f t="shared" si="8"/>
        <v>0</v>
      </c>
      <c r="AT28" s="2">
        <v>2.0593999999999999E-10</v>
      </c>
      <c r="AU28" s="3">
        <v>0</v>
      </c>
      <c r="AV28" s="16">
        <v>0</v>
      </c>
      <c r="AW28">
        <f t="shared" si="9"/>
        <v>0</v>
      </c>
    </row>
    <row r="29" spans="1:49" x14ac:dyDescent="0.3">
      <c r="A29" s="2">
        <v>2.3242999999999999E-10</v>
      </c>
      <c r="B29" s="16">
        <v>0</v>
      </c>
      <c r="C29" s="16">
        <v>0.18768660928507599</v>
      </c>
      <c r="D29">
        <f t="shared" si="0"/>
        <v>0</v>
      </c>
      <c r="F29" s="2">
        <v>2.3242999999999999E-10</v>
      </c>
      <c r="G29" s="3">
        <v>0</v>
      </c>
      <c r="H29" s="16">
        <v>0</v>
      </c>
      <c r="I29">
        <f t="shared" si="1"/>
        <v>0</v>
      </c>
      <c r="K29" s="2">
        <v>2.3242999999999999E-10</v>
      </c>
      <c r="L29" s="3">
        <v>0</v>
      </c>
      <c r="M29" s="16">
        <v>0</v>
      </c>
      <c r="N29">
        <f t="shared" si="2"/>
        <v>0</v>
      </c>
      <c r="P29" s="2">
        <v>2.3242999999999999E-10</v>
      </c>
      <c r="Q29" s="3">
        <v>0</v>
      </c>
      <c r="R29" s="16">
        <v>0</v>
      </c>
      <c r="S29">
        <f t="shared" si="3"/>
        <v>0</v>
      </c>
      <c r="U29" s="2">
        <v>2.3242999999999999E-10</v>
      </c>
      <c r="V29" s="3">
        <v>0</v>
      </c>
      <c r="W29" s="16">
        <v>0</v>
      </c>
      <c r="X29">
        <f t="shared" si="4"/>
        <v>0</v>
      </c>
      <c r="Z29" s="2">
        <v>2.3242999999999999E-10</v>
      </c>
      <c r="AA29" s="3">
        <v>0</v>
      </c>
      <c r="AB29" s="16">
        <v>0</v>
      </c>
      <c r="AC29">
        <f t="shared" si="5"/>
        <v>0</v>
      </c>
      <c r="AE29" s="2">
        <v>2.3242999999999999E-10</v>
      </c>
      <c r="AF29" s="3">
        <v>0</v>
      </c>
      <c r="AG29" s="16">
        <v>0</v>
      </c>
      <c r="AH29">
        <f t="shared" si="6"/>
        <v>0</v>
      </c>
      <c r="AJ29" s="2">
        <v>2.3242999999999999E-10</v>
      </c>
      <c r="AK29" s="3">
        <v>0</v>
      </c>
      <c r="AL29" s="16">
        <v>2.77868324912597E-2</v>
      </c>
      <c r="AM29">
        <f t="shared" si="7"/>
        <v>0</v>
      </c>
      <c r="AO29" s="2">
        <v>2.3242999999999999E-10</v>
      </c>
      <c r="AP29" s="3">
        <v>0</v>
      </c>
      <c r="AQ29" s="16">
        <v>3.6668348376938298E-4</v>
      </c>
      <c r="AR29">
        <f t="shared" si="8"/>
        <v>0</v>
      </c>
      <c r="AT29" s="2">
        <v>2.3242999999999999E-10</v>
      </c>
      <c r="AU29" s="3">
        <v>0</v>
      </c>
      <c r="AV29" s="16">
        <v>0</v>
      </c>
      <c r="AW29">
        <f t="shared" si="9"/>
        <v>0</v>
      </c>
    </row>
    <row r="30" spans="1:49" x14ac:dyDescent="0.3">
      <c r="A30" s="2">
        <v>2.6233000000000001E-10</v>
      </c>
      <c r="B30" s="16">
        <v>0</v>
      </c>
      <c r="C30" s="16">
        <v>0.174327237229185</v>
      </c>
      <c r="D30">
        <f t="shared" si="0"/>
        <v>0</v>
      </c>
      <c r="F30" s="2">
        <v>2.6233000000000001E-10</v>
      </c>
      <c r="G30" s="3">
        <v>0</v>
      </c>
      <c r="H30" s="16">
        <v>0</v>
      </c>
      <c r="I30">
        <f t="shared" si="1"/>
        <v>0</v>
      </c>
      <c r="K30" s="2">
        <v>2.6233000000000001E-10</v>
      </c>
      <c r="L30" s="3">
        <v>0</v>
      </c>
      <c r="M30" s="16">
        <v>0</v>
      </c>
      <c r="N30">
        <f t="shared" si="2"/>
        <v>0</v>
      </c>
      <c r="P30" s="2">
        <v>2.6233000000000001E-10</v>
      </c>
      <c r="Q30" s="3">
        <v>0</v>
      </c>
      <c r="R30" s="16">
        <v>0</v>
      </c>
      <c r="S30">
        <f t="shared" si="3"/>
        <v>0</v>
      </c>
      <c r="U30" s="2">
        <v>2.6233000000000001E-10</v>
      </c>
      <c r="V30" s="3">
        <v>0</v>
      </c>
      <c r="W30" s="16">
        <v>0</v>
      </c>
      <c r="X30">
        <f t="shared" si="4"/>
        <v>0</v>
      </c>
      <c r="Z30" s="2">
        <v>2.6233000000000001E-10</v>
      </c>
      <c r="AA30" s="3">
        <v>0</v>
      </c>
      <c r="AB30" s="16">
        <v>0</v>
      </c>
      <c r="AC30">
        <f t="shared" si="5"/>
        <v>0</v>
      </c>
      <c r="AE30" s="2">
        <v>2.6233000000000001E-10</v>
      </c>
      <c r="AF30" s="3">
        <v>0</v>
      </c>
      <c r="AG30" s="16">
        <v>0</v>
      </c>
      <c r="AH30">
        <f t="shared" si="6"/>
        <v>0</v>
      </c>
      <c r="AJ30" s="2">
        <v>2.6233000000000001E-10</v>
      </c>
      <c r="AK30" s="3">
        <v>0</v>
      </c>
      <c r="AL30" s="16">
        <v>2.5808676807309801E-2</v>
      </c>
      <c r="AM30">
        <f t="shared" si="7"/>
        <v>0</v>
      </c>
      <c r="AO30" s="2">
        <v>2.6233000000000001E-10</v>
      </c>
      <c r="AP30" s="3">
        <v>0</v>
      </c>
      <c r="AQ30" s="16">
        <v>3.4057920855165899E-4</v>
      </c>
      <c r="AR30">
        <f t="shared" si="8"/>
        <v>0</v>
      </c>
      <c r="AT30" s="2">
        <v>2.6233000000000001E-10</v>
      </c>
      <c r="AU30" s="3">
        <v>0</v>
      </c>
      <c r="AV30" s="16">
        <v>0</v>
      </c>
      <c r="AW30">
        <f t="shared" si="9"/>
        <v>0</v>
      </c>
    </row>
    <row r="31" spans="1:49" x14ac:dyDescent="0.3">
      <c r="A31" s="2">
        <v>2.9606999999999999E-10</v>
      </c>
      <c r="B31" s="16">
        <v>0</v>
      </c>
      <c r="C31" s="16">
        <v>0.16598706023885501</v>
      </c>
      <c r="D31">
        <f t="shared" si="0"/>
        <v>0</v>
      </c>
      <c r="F31" s="2">
        <v>2.9606999999999999E-10</v>
      </c>
      <c r="G31" s="3">
        <v>0</v>
      </c>
      <c r="H31" s="16">
        <v>0</v>
      </c>
      <c r="I31">
        <f t="shared" si="1"/>
        <v>0</v>
      </c>
      <c r="K31" s="2">
        <v>2.9606999999999999E-10</v>
      </c>
      <c r="L31" s="3">
        <v>0</v>
      </c>
      <c r="M31" s="16">
        <v>0</v>
      </c>
      <c r="N31">
        <f t="shared" si="2"/>
        <v>0</v>
      </c>
      <c r="P31" s="2">
        <v>2.9606999999999999E-10</v>
      </c>
      <c r="Q31" s="3">
        <v>0</v>
      </c>
      <c r="R31" s="16">
        <v>0</v>
      </c>
      <c r="S31">
        <f t="shared" si="3"/>
        <v>0</v>
      </c>
      <c r="U31" s="2">
        <v>2.9606999999999999E-10</v>
      </c>
      <c r="V31" s="3">
        <v>0</v>
      </c>
      <c r="W31" s="16">
        <v>0</v>
      </c>
      <c r="X31">
        <f t="shared" si="4"/>
        <v>0</v>
      </c>
      <c r="Z31" s="2">
        <v>2.9606999999999999E-10</v>
      </c>
      <c r="AA31" s="3">
        <v>0</v>
      </c>
      <c r="AB31" s="16">
        <v>0</v>
      </c>
      <c r="AC31">
        <f t="shared" si="5"/>
        <v>0</v>
      </c>
      <c r="AE31" s="2">
        <v>2.9606999999999999E-10</v>
      </c>
      <c r="AF31" s="3">
        <v>0</v>
      </c>
      <c r="AG31" s="16">
        <v>0</v>
      </c>
      <c r="AH31">
        <f t="shared" si="6"/>
        <v>0</v>
      </c>
      <c r="AJ31" s="2">
        <v>2.9606999999999999E-10</v>
      </c>
      <c r="AK31" s="3">
        <v>0</v>
      </c>
      <c r="AL31" s="16">
        <v>2.45736803358362E-2</v>
      </c>
      <c r="AM31">
        <f t="shared" si="7"/>
        <v>0</v>
      </c>
      <c r="AO31" s="2">
        <v>2.9606999999999999E-10</v>
      </c>
      <c r="AP31" s="3">
        <v>0</v>
      </c>
      <c r="AQ31" s="16">
        <v>3.2428281833019198E-4</v>
      </c>
      <c r="AR31">
        <f t="shared" si="8"/>
        <v>0</v>
      </c>
      <c r="AT31" s="2">
        <v>2.9606999999999999E-10</v>
      </c>
      <c r="AU31" s="3">
        <v>0</v>
      </c>
      <c r="AV31" s="16">
        <v>0</v>
      </c>
      <c r="AW31">
        <f t="shared" si="9"/>
        <v>0</v>
      </c>
    </row>
    <row r="32" spans="1:49" x14ac:dyDescent="0.3">
      <c r="A32" s="2">
        <v>3.3414999999999998E-10</v>
      </c>
      <c r="B32" s="16">
        <v>0</v>
      </c>
      <c r="C32" s="16">
        <v>0.158046094738512</v>
      </c>
      <c r="D32">
        <f t="shared" si="0"/>
        <v>0</v>
      </c>
      <c r="F32" s="2">
        <v>3.3414999999999998E-10</v>
      </c>
      <c r="G32" s="3">
        <v>0</v>
      </c>
      <c r="H32" s="16">
        <v>0</v>
      </c>
      <c r="I32">
        <f t="shared" si="1"/>
        <v>0</v>
      </c>
      <c r="K32" s="2">
        <v>3.3414999999999998E-10</v>
      </c>
      <c r="L32" s="3">
        <v>0</v>
      </c>
      <c r="M32" s="16">
        <v>0</v>
      </c>
      <c r="N32">
        <f t="shared" si="2"/>
        <v>0</v>
      </c>
      <c r="P32" s="2">
        <v>3.3414999999999998E-10</v>
      </c>
      <c r="Q32" s="3">
        <v>0</v>
      </c>
      <c r="R32" s="16">
        <v>0</v>
      </c>
      <c r="S32">
        <f t="shared" si="3"/>
        <v>0</v>
      </c>
      <c r="U32" s="2">
        <v>3.3414999999999998E-10</v>
      </c>
      <c r="V32" s="3">
        <v>0</v>
      </c>
      <c r="W32" s="16">
        <v>0</v>
      </c>
      <c r="X32">
        <f t="shared" si="4"/>
        <v>0</v>
      </c>
      <c r="Z32" s="2">
        <v>3.3414999999999998E-10</v>
      </c>
      <c r="AA32" s="3">
        <v>0</v>
      </c>
      <c r="AB32" s="16">
        <v>0</v>
      </c>
      <c r="AC32">
        <f t="shared" si="5"/>
        <v>0</v>
      </c>
      <c r="AE32" s="2">
        <v>3.3414999999999998E-10</v>
      </c>
      <c r="AF32" s="3">
        <v>0</v>
      </c>
      <c r="AG32" s="16">
        <v>0</v>
      </c>
      <c r="AH32">
        <f t="shared" si="6"/>
        <v>0</v>
      </c>
      <c r="AJ32" s="2">
        <v>3.3414999999999998E-10</v>
      </c>
      <c r="AK32" s="3">
        <v>0</v>
      </c>
      <c r="AL32" s="16">
        <v>2.3397789612392202E-2</v>
      </c>
      <c r="AM32">
        <f t="shared" si="7"/>
        <v>0</v>
      </c>
      <c r="AO32" s="2">
        <v>3.3414999999999998E-10</v>
      </c>
      <c r="AP32" s="3">
        <v>0</v>
      </c>
      <c r="AQ32" s="16">
        <v>3.0876572878586799E-4</v>
      </c>
      <c r="AR32">
        <f t="shared" si="8"/>
        <v>0</v>
      </c>
      <c r="AT32" s="2">
        <v>3.3414999999999998E-10</v>
      </c>
      <c r="AU32" s="3">
        <v>0</v>
      </c>
      <c r="AV32" s="16">
        <v>0</v>
      </c>
      <c r="AW32">
        <f t="shared" si="9"/>
        <v>0</v>
      </c>
    </row>
    <row r="33" spans="1:49" x14ac:dyDescent="0.3">
      <c r="A33" s="2">
        <v>3.7713000000000002E-10</v>
      </c>
      <c r="B33" s="16">
        <v>0</v>
      </c>
      <c r="C33" s="16">
        <v>0.14688569327234199</v>
      </c>
      <c r="D33">
        <f t="shared" si="0"/>
        <v>0</v>
      </c>
      <c r="F33" s="2">
        <v>3.7713000000000002E-10</v>
      </c>
      <c r="G33" s="3">
        <v>0</v>
      </c>
      <c r="H33" s="16">
        <v>0</v>
      </c>
      <c r="I33">
        <f t="shared" si="1"/>
        <v>0</v>
      </c>
      <c r="K33" s="2">
        <v>3.7713000000000002E-10</v>
      </c>
      <c r="L33" s="3">
        <v>0</v>
      </c>
      <c r="M33" s="16">
        <v>0</v>
      </c>
      <c r="N33">
        <f t="shared" si="2"/>
        <v>0</v>
      </c>
      <c r="P33" s="2">
        <v>3.7713000000000002E-10</v>
      </c>
      <c r="Q33" s="3">
        <v>0</v>
      </c>
      <c r="R33" s="16">
        <v>0</v>
      </c>
      <c r="S33">
        <f t="shared" si="3"/>
        <v>0</v>
      </c>
      <c r="U33" s="2">
        <v>3.7713000000000002E-10</v>
      </c>
      <c r="V33" s="3">
        <v>0</v>
      </c>
      <c r="W33" s="16">
        <v>0</v>
      </c>
      <c r="X33">
        <f t="shared" si="4"/>
        <v>0</v>
      </c>
      <c r="Z33" s="2">
        <v>3.7713000000000002E-10</v>
      </c>
      <c r="AA33" s="3">
        <v>0</v>
      </c>
      <c r="AB33" s="16">
        <v>0</v>
      </c>
      <c r="AC33">
        <f t="shared" si="5"/>
        <v>0</v>
      </c>
      <c r="AE33" s="2">
        <v>3.7713000000000002E-10</v>
      </c>
      <c r="AF33" s="3">
        <v>0</v>
      </c>
      <c r="AG33" s="16">
        <v>0</v>
      </c>
      <c r="AH33">
        <f t="shared" si="6"/>
        <v>0</v>
      </c>
      <c r="AJ33" s="2">
        <v>3.7713000000000002E-10</v>
      </c>
      <c r="AK33" s="3">
        <v>0</v>
      </c>
      <c r="AL33" s="16">
        <v>2.1745156630276902E-2</v>
      </c>
      <c r="AM33">
        <f t="shared" si="7"/>
        <v>0</v>
      </c>
      <c r="AO33" s="2">
        <v>3.7713000000000002E-10</v>
      </c>
      <c r="AP33" s="3">
        <v>0</v>
      </c>
      <c r="AQ33" s="16">
        <v>2.8695725665223902E-4</v>
      </c>
      <c r="AR33">
        <f t="shared" si="8"/>
        <v>0</v>
      </c>
      <c r="AT33" s="2">
        <v>3.7713000000000002E-10</v>
      </c>
      <c r="AU33" s="3">
        <v>0</v>
      </c>
      <c r="AV33" s="16">
        <v>0</v>
      </c>
      <c r="AW33">
        <f t="shared" si="9"/>
        <v>0</v>
      </c>
    </row>
    <row r="34" spans="1:49" x14ac:dyDescent="0.3">
      <c r="A34" s="2">
        <v>4.2563999999999999E-10</v>
      </c>
      <c r="B34" s="16">
        <v>0</v>
      </c>
      <c r="C34" s="16">
        <v>0.13643182284442901</v>
      </c>
      <c r="D34">
        <f t="shared" si="0"/>
        <v>0</v>
      </c>
      <c r="F34" s="2">
        <v>4.2563999999999999E-10</v>
      </c>
      <c r="G34" s="3">
        <v>0</v>
      </c>
      <c r="H34" s="16">
        <v>0</v>
      </c>
      <c r="I34">
        <f t="shared" si="1"/>
        <v>0</v>
      </c>
      <c r="K34" s="2">
        <v>4.2563999999999999E-10</v>
      </c>
      <c r="L34" s="3">
        <v>0</v>
      </c>
      <c r="M34" s="16">
        <v>0</v>
      </c>
      <c r="N34">
        <f t="shared" si="2"/>
        <v>0</v>
      </c>
      <c r="P34" s="2">
        <v>4.2563999999999999E-10</v>
      </c>
      <c r="Q34" s="3">
        <v>0</v>
      </c>
      <c r="R34" s="16">
        <v>0</v>
      </c>
      <c r="S34">
        <f t="shared" si="3"/>
        <v>0</v>
      </c>
      <c r="U34" s="2">
        <v>4.2563999999999999E-10</v>
      </c>
      <c r="V34" s="3">
        <v>0</v>
      </c>
      <c r="W34" s="16">
        <v>0</v>
      </c>
      <c r="X34">
        <f t="shared" si="4"/>
        <v>0</v>
      </c>
      <c r="Z34" s="2">
        <v>4.2563999999999999E-10</v>
      </c>
      <c r="AA34" s="3">
        <v>0</v>
      </c>
      <c r="AB34" s="16">
        <v>0</v>
      </c>
      <c r="AC34">
        <f t="shared" si="5"/>
        <v>0</v>
      </c>
      <c r="AE34" s="2">
        <v>4.2563999999999999E-10</v>
      </c>
      <c r="AF34" s="3">
        <v>0</v>
      </c>
      <c r="AG34" s="16">
        <v>0</v>
      </c>
      <c r="AH34">
        <f t="shared" si="6"/>
        <v>0</v>
      </c>
      <c r="AJ34" s="2">
        <v>4.2563999999999999E-10</v>
      </c>
      <c r="AK34" s="3">
        <v>0</v>
      </c>
      <c r="AL34" s="16">
        <v>2.0197110436134199E-2</v>
      </c>
      <c r="AM34">
        <f t="shared" si="7"/>
        <v>0</v>
      </c>
      <c r="AO34" s="2">
        <v>4.2563999999999999E-10</v>
      </c>
      <c r="AP34" s="3">
        <v>0</v>
      </c>
      <c r="AQ34" s="16">
        <v>2.6652910246326898E-4</v>
      </c>
      <c r="AR34">
        <f t="shared" si="8"/>
        <v>0</v>
      </c>
      <c r="AT34" s="2">
        <v>4.2563999999999999E-10</v>
      </c>
      <c r="AU34" s="3">
        <v>0</v>
      </c>
      <c r="AV34" s="16">
        <v>0</v>
      </c>
      <c r="AW34">
        <f t="shared" si="9"/>
        <v>0</v>
      </c>
    </row>
    <row r="35" spans="1:49" x14ac:dyDescent="0.3">
      <c r="A35" s="2">
        <v>4.8038000000000005E-10</v>
      </c>
      <c r="B35" s="16">
        <v>0</v>
      </c>
      <c r="C35" s="16">
        <v>0.12990534964537701</v>
      </c>
      <c r="D35">
        <f t="shared" si="0"/>
        <v>0</v>
      </c>
      <c r="F35" s="2">
        <v>4.8038000000000005E-10</v>
      </c>
      <c r="G35" s="3">
        <v>0</v>
      </c>
      <c r="H35" s="16">
        <v>0</v>
      </c>
      <c r="I35">
        <f t="shared" si="1"/>
        <v>0</v>
      </c>
      <c r="K35" s="2">
        <v>4.8038000000000005E-10</v>
      </c>
      <c r="L35" s="3">
        <v>0</v>
      </c>
      <c r="M35" s="16">
        <v>0</v>
      </c>
      <c r="N35">
        <f t="shared" si="2"/>
        <v>0</v>
      </c>
      <c r="P35" s="2">
        <v>4.8038000000000005E-10</v>
      </c>
      <c r="Q35" s="3">
        <v>0</v>
      </c>
      <c r="R35" s="16">
        <v>0</v>
      </c>
      <c r="S35">
        <f t="shared" si="3"/>
        <v>0</v>
      </c>
      <c r="U35" s="2">
        <v>4.8038000000000005E-10</v>
      </c>
      <c r="V35" s="3">
        <v>0</v>
      </c>
      <c r="W35" s="16">
        <v>0</v>
      </c>
      <c r="X35">
        <f t="shared" si="4"/>
        <v>0</v>
      </c>
      <c r="Z35" s="2">
        <v>4.8038000000000005E-10</v>
      </c>
      <c r="AA35" s="3">
        <v>0</v>
      </c>
      <c r="AB35" s="16">
        <v>0</v>
      </c>
      <c r="AC35">
        <f t="shared" si="5"/>
        <v>0</v>
      </c>
      <c r="AE35" s="2">
        <v>4.8038000000000005E-10</v>
      </c>
      <c r="AF35" s="3">
        <v>0</v>
      </c>
      <c r="AG35" s="16">
        <v>0</v>
      </c>
      <c r="AH35">
        <f t="shared" si="6"/>
        <v>0</v>
      </c>
      <c r="AJ35" s="2">
        <v>4.8038000000000005E-10</v>
      </c>
      <c r="AK35" s="3">
        <v>0</v>
      </c>
      <c r="AL35" s="16">
        <v>1.9230638337342301E-2</v>
      </c>
      <c r="AM35">
        <f t="shared" si="7"/>
        <v>0</v>
      </c>
      <c r="AO35" s="2">
        <v>4.8038000000000005E-10</v>
      </c>
      <c r="AP35" s="3">
        <v>0</v>
      </c>
      <c r="AQ35" s="16">
        <v>2.5377540576820699E-4</v>
      </c>
      <c r="AR35">
        <f t="shared" si="8"/>
        <v>0</v>
      </c>
      <c r="AT35" s="2">
        <v>4.8038000000000005E-10</v>
      </c>
      <c r="AU35" s="3">
        <v>0</v>
      </c>
      <c r="AV35" s="16">
        <v>0</v>
      </c>
      <c r="AW35">
        <f t="shared" si="9"/>
        <v>0</v>
      </c>
    </row>
    <row r="36" spans="1:49" x14ac:dyDescent="0.3">
      <c r="A36" s="2">
        <v>5.4217E-10</v>
      </c>
      <c r="B36" s="16">
        <v>0</v>
      </c>
      <c r="C36" s="16">
        <v>0.1236913805594</v>
      </c>
      <c r="D36">
        <f t="shared" si="0"/>
        <v>0</v>
      </c>
      <c r="F36" s="2">
        <v>5.4217E-10</v>
      </c>
      <c r="G36" s="3">
        <v>0</v>
      </c>
      <c r="H36" s="16">
        <v>0</v>
      </c>
      <c r="I36">
        <f t="shared" si="1"/>
        <v>0</v>
      </c>
      <c r="K36" s="2">
        <v>5.4217E-10</v>
      </c>
      <c r="L36" s="3">
        <v>0</v>
      </c>
      <c r="M36" s="16">
        <v>0</v>
      </c>
      <c r="N36">
        <f t="shared" si="2"/>
        <v>0</v>
      </c>
      <c r="P36" s="2">
        <v>5.4217E-10</v>
      </c>
      <c r="Q36" s="3">
        <v>0</v>
      </c>
      <c r="R36" s="16">
        <v>0</v>
      </c>
      <c r="S36">
        <f t="shared" si="3"/>
        <v>0</v>
      </c>
      <c r="U36" s="2">
        <v>5.4217E-10</v>
      </c>
      <c r="V36" s="3">
        <v>0</v>
      </c>
      <c r="W36" s="16">
        <v>0</v>
      </c>
      <c r="X36">
        <f t="shared" si="4"/>
        <v>0</v>
      </c>
      <c r="Z36" s="2">
        <v>5.4217E-10</v>
      </c>
      <c r="AA36" s="3">
        <v>0</v>
      </c>
      <c r="AB36" s="16">
        <v>0</v>
      </c>
      <c r="AC36">
        <f t="shared" si="5"/>
        <v>0</v>
      </c>
      <c r="AE36" s="2">
        <v>5.4217E-10</v>
      </c>
      <c r="AF36" s="3">
        <v>0</v>
      </c>
      <c r="AG36" s="16">
        <v>0</v>
      </c>
      <c r="AH36">
        <f t="shared" si="6"/>
        <v>0</v>
      </c>
      <c r="AJ36" s="2">
        <v>5.4217E-10</v>
      </c>
      <c r="AK36" s="3">
        <v>0</v>
      </c>
      <c r="AL36" s="16">
        <v>1.8310431434354499E-2</v>
      </c>
      <c r="AM36">
        <f t="shared" si="7"/>
        <v>0</v>
      </c>
      <c r="AO36" s="2">
        <v>5.4217E-10</v>
      </c>
      <c r="AP36" s="3">
        <v>0</v>
      </c>
      <c r="AQ36" s="16">
        <v>2.41631916207136E-4</v>
      </c>
      <c r="AR36">
        <f t="shared" si="8"/>
        <v>0</v>
      </c>
      <c r="AT36" s="2">
        <v>5.4217E-10</v>
      </c>
      <c r="AU36" s="3">
        <v>0</v>
      </c>
      <c r="AV36" s="16">
        <v>0</v>
      </c>
      <c r="AW36">
        <f t="shared" si="9"/>
        <v>0</v>
      </c>
    </row>
    <row r="37" spans="1:49" x14ac:dyDescent="0.3">
      <c r="A37" s="2">
        <v>6.1191000000000001E-10</v>
      </c>
      <c r="B37" s="16">
        <v>0</v>
      </c>
      <c r="C37" s="16">
        <v>0.11777489822637401</v>
      </c>
      <c r="D37">
        <f t="shared" si="0"/>
        <v>0</v>
      </c>
      <c r="F37" s="2">
        <v>6.1191000000000001E-10</v>
      </c>
      <c r="G37" s="3">
        <v>0</v>
      </c>
      <c r="H37" s="16">
        <v>0</v>
      </c>
      <c r="I37">
        <f t="shared" si="1"/>
        <v>0</v>
      </c>
      <c r="K37" s="2">
        <v>6.1191000000000001E-10</v>
      </c>
      <c r="L37" s="3">
        <v>0</v>
      </c>
      <c r="M37" s="16">
        <v>0</v>
      </c>
      <c r="N37">
        <f t="shared" si="2"/>
        <v>0</v>
      </c>
      <c r="P37" s="2">
        <v>6.1191000000000001E-10</v>
      </c>
      <c r="Q37" s="3">
        <v>0</v>
      </c>
      <c r="R37" s="16">
        <v>0</v>
      </c>
      <c r="S37">
        <f t="shared" si="3"/>
        <v>0</v>
      </c>
      <c r="U37" s="2">
        <v>6.1191000000000001E-10</v>
      </c>
      <c r="V37" s="3">
        <v>0</v>
      </c>
      <c r="W37" s="16">
        <v>0</v>
      </c>
      <c r="X37">
        <f t="shared" si="4"/>
        <v>0</v>
      </c>
      <c r="Z37" s="2">
        <v>6.1191000000000001E-10</v>
      </c>
      <c r="AA37" s="3">
        <v>0</v>
      </c>
      <c r="AB37" s="16">
        <v>0</v>
      </c>
      <c r="AC37">
        <f t="shared" si="5"/>
        <v>0</v>
      </c>
      <c r="AE37" s="2">
        <v>6.1191000000000001E-10</v>
      </c>
      <c r="AF37" s="3">
        <v>0</v>
      </c>
      <c r="AG37" s="16">
        <v>0</v>
      </c>
      <c r="AH37">
        <f t="shared" si="6"/>
        <v>0</v>
      </c>
      <c r="AJ37" s="2">
        <v>6.1191000000000001E-10</v>
      </c>
      <c r="AK37" s="3">
        <v>0</v>
      </c>
      <c r="AL37" s="16">
        <v>1.7434235279070402E-2</v>
      </c>
      <c r="AM37">
        <f t="shared" si="7"/>
        <v>0</v>
      </c>
      <c r="AO37" s="2">
        <v>6.1191000000000001E-10</v>
      </c>
      <c r="AP37" s="3">
        <v>0</v>
      </c>
      <c r="AQ37" s="16">
        <v>2.30070145193981E-4</v>
      </c>
      <c r="AR37">
        <f t="shared" si="8"/>
        <v>0</v>
      </c>
      <c r="AT37" s="2">
        <v>6.1191000000000001E-10</v>
      </c>
      <c r="AU37" s="3">
        <v>0</v>
      </c>
      <c r="AV37" s="16">
        <v>0</v>
      </c>
      <c r="AW37">
        <f t="shared" si="9"/>
        <v>0</v>
      </c>
    </row>
    <row r="38" spans="1:49" x14ac:dyDescent="0.3">
      <c r="A38" s="3">
        <v>6.9062000000000004E-10</v>
      </c>
      <c r="B38" s="16">
        <v>12.472</v>
      </c>
      <c r="C38" s="16">
        <v>0.109459839558634</v>
      </c>
      <c r="D38">
        <f t="shared" si="0"/>
        <v>1.3651831189752832</v>
      </c>
      <c r="F38" s="3">
        <v>6.9062000000000004E-10</v>
      </c>
      <c r="G38" s="3">
        <v>12.472</v>
      </c>
      <c r="H38" s="16">
        <v>0</v>
      </c>
      <c r="I38">
        <f t="shared" si="1"/>
        <v>0</v>
      </c>
      <c r="K38" s="3">
        <v>6.9062000000000004E-10</v>
      </c>
      <c r="L38" s="3">
        <v>12.472</v>
      </c>
      <c r="M38" s="16">
        <v>0</v>
      </c>
      <c r="N38">
        <f t="shared" si="2"/>
        <v>0</v>
      </c>
      <c r="P38" s="3">
        <v>6.9062000000000004E-10</v>
      </c>
      <c r="Q38" s="3">
        <v>12.472</v>
      </c>
      <c r="R38" s="16">
        <v>0</v>
      </c>
      <c r="S38">
        <f t="shared" si="3"/>
        <v>0</v>
      </c>
      <c r="U38" s="3">
        <v>6.9062000000000004E-10</v>
      </c>
      <c r="V38" s="3">
        <v>12.472</v>
      </c>
      <c r="W38" s="16">
        <v>0</v>
      </c>
      <c r="X38">
        <f t="shared" si="4"/>
        <v>0</v>
      </c>
      <c r="Z38" s="3">
        <v>6.9062000000000004E-10</v>
      </c>
      <c r="AA38" s="3">
        <v>12.472</v>
      </c>
      <c r="AB38" s="16">
        <v>0</v>
      </c>
      <c r="AC38">
        <f t="shared" si="5"/>
        <v>0</v>
      </c>
      <c r="AE38" s="3">
        <v>6.9062000000000004E-10</v>
      </c>
      <c r="AF38" s="3">
        <v>12.472</v>
      </c>
      <c r="AG38" s="16">
        <v>0</v>
      </c>
      <c r="AH38">
        <f t="shared" si="6"/>
        <v>0</v>
      </c>
      <c r="AJ38" s="3">
        <v>6.9062000000000004E-10</v>
      </c>
      <c r="AK38" s="3">
        <v>12.472</v>
      </c>
      <c r="AL38" s="16">
        <v>1.6202816518713001E-2</v>
      </c>
      <c r="AM38">
        <f t="shared" si="7"/>
        <v>0.20208152762138853</v>
      </c>
      <c r="AO38" s="3">
        <v>6.9062000000000004E-10</v>
      </c>
      <c r="AP38" s="3">
        <v>12.472</v>
      </c>
      <c r="AQ38" s="16">
        <v>2.1381970430489199E-4</v>
      </c>
      <c r="AR38">
        <f t="shared" si="8"/>
        <v>2.6667593520906126E-3</v>
      </c>
      <c r="AT38" s="3">
        <v>6.9062000000000004E-10</v>
      </c>
      <c r="AU38" s="3">
        <v>12.472</v>
      </c>
      <c r="AV38" s="16">
        <v>0</v>
      </c>
      <c r="AW38">
        <f t="shared" si="9"/>
        <v>0</v>
      </c>
    </row>
    <row r="39" spans="1:49" x14ac:dyDescent="0.3">
      <c r="A39" s="3">
        <v>7.7945000000000003E-10</v>
      </c>
      <c r="B39" s="16">
        <v>0</v>
      </c>
      <c r="C39" s="16">
        <v>0.10167128238575</v>
      </c>
      <c r="D39">
        <f t="shared" si="0"/>
        <v>0</v>
      </c>
      <c r="F39" s="3">
        <v>7.7945000000000003E-10</v>
      </c>
      <c r="G39" s="3">
        <v>0</v>
      </c>
      <c r="H39" s="16">
        <v>0</v>
      </c>
      <c r="I39">
        <f t="shared" si="1"/>
        <v>0</v>
      </c>
      <c r="K39" s="3">
        <v>7.7945000000000003E-10</v>
      </c>
      <c r="L39" s="3">
        <v>0</v>
      </c>
      <c r="M39" s="16">
        <v>0</v>
      </c>
      <c r="N39">
        <f t="shared" si="2"/>
        <v>0</v>
      </c>
      <c r="P39" s="3">
        <v>7.7945000000000003E-10</v>
      </c>
      <c r="Q39" s="3">
        <v>0</v>
      </c>
      <c r="R39" s="16">
        <v>0</v>
      </c>
      <c r="S39">
        <f t="shared" si="3"/>
        <v>0</v>
      </c>
      <c r="U39" s="3">
        <v>7.7945000000000003E-10</v>
      </c>
      <c r="V39" s="3">
        <v>0</v>
      </c>
      <c r="W39" s="16">
        <v>0</v>
      </c>
      <c r="X39">
        <f t="shared" si="4"/>
        <v>0</v>
      </c>
      <c r="Z39" s="3">
        <v>7.7945000000000003E-10</v>
      </c>
      <c r="AA39" s="3">
        <v>0</v>
      </c>
      <c r="AB39" s="16">
        <v>0</v>
      </c>
      <c r="AC39">
        <f t="shared" si="5"/>
        <v>0</v>
      </c>
      <c r="AE39" s="3">
        <v>7.7945000000000003E-10</v>
      </c>
      <c r="AF39" s="3">
        <v>0</v>
      </c>
      <c r="AG39" s="16">
        <v>0</v>
      </c>
      <c r="AH39">
        <f t="shared" si="6"/>
        <v>0</v>
      </c>
      <c r="AJ39" s="3">
        <v>7.7945000000000003E-10</v>
      </c>
      <c r="AK39" s="3">
        <v>0</v>
      </c>
      <c r="AL39" s="16">
        <v>1.50493232470514E-2</v>
      </c>
      <c r="AM39">
        <f t="shared" si="7"/>
        <v>0</v>
      </c>
      <c r="AO39" s="3">
        <v>7.7945000000000003E-10</v>
      </c>
      <c r="AP39" s="3">
        <v>0</v>
      </c>
      <c r="AQ39" s="16">
        <v>1.9859852846108899E-4</v>
      </c>
      <c r="AR39">
        <f t="shared" si="8"/>
        <v>0</v>
      </c>
      <c r="AT39" s="3">
        <v>7.7945000000000003E-10</v>
      </c>
      <c r="AU39" s="3">
        <v>0</v>
      </c>
      <c r="AV39" s="16">
        <v>0</v>
      </c>
      <c r="AW39">
        <f t="shared" si="9"/>
        <v>0</v>
      </c>
    </row>
    <row r="40" spans="1:49" x14ac:dyDescent="0.3">
      <c r="A40" s="3">
        <v>8.7969999999999997E-10</v>
      </c>
      <c r="B40" s="16">
        <v>11.6882</v>
      </c>
      <c r="C40" s="16">
        <v>9.6808875711016998E-2</v>
      </c>
      <c r="D40">
        <f t="shared" si="0"/>
        <v>1.1315215010855089</v>
      </c>
      <c r="F40" s="3">
        <v>8.7969999999999997E-10</v>
      </c>
      <c r="G40" s="3">
        <v>11.6882</v>
      </c>
      <c r="H40" s="16">
        <v>0</v>
      </c>
      <c r="I40">
        <f t="shared" si="1"/>
        <v>0</v>
      </c>
      <c r="K40" s="3">
        <v>8.7969999999999997E-10</v>
      </c>
      <c r="L40" s="3">
        <v>11.6882</v>
      </c>
      <c r="M40" s="16">
        <v>0</v>
      </c>
      <c r="N40">
        <f t="shared" si="2"/>
        <v>0</v>
      </c>
      <c r="P40" s="3">
        <v>8.7969999999999997E-10</v>
      </c>
      <c r="Q40" s="3">
        <v>11.6882</v>
      </c>
      <c r="R40" s="16">
        <v>0</v>
      </c>
      <c r="S40">
        <f t="shared" si="3"/>
        <v>0</v>
      </c>
      <c r="U40" s="3">
        <v>8.7969999999999997E-10</v>
      </c>
      <c r="V40" s="3">
        <v>11.6882</v>
      </c>
      <c r="W40" s="16">
        <v>0</v>
      </c>
      <c r="X40">
        <f t="shared" si="4"/>
        <v>0</v>
      </c>
      <c r="Z40" s="3">
        <v>8.7969999999999997E-10</v>
      </c>
      <c r="AA40" s="3">
        <v>11.6882</v>
      </c>
      <c r="AB40" s="16">
        <v>0</v>
      </c>
      <c r="AC40">
        <f t="shared" si="5"/>
        <v>0</v>
      </c>
      <c r="AE40" s="3">
        <v>8.7969999999999997E-10</v>
      </c>
      <c r="AF40" s="3">
        <v>11.6882</v>
      </c>
      <c r="AG40" s="16">
        <v>0</v>
      </c>
      <c r="AH40">
        <f t="shared" si="6"/>
        <v>0</v>
      </c>
      <c r="AJ40" s="3">
        <v>8.7969999999999997E-10</v>
      </c>
      <c r="AK40" s="3">
        <v>11.6882</v>
      </c>
      <c r="AL40" s="16">
        <v>1.4329174108123901E-2</v>
      </c>
      <c r="AM40">
        <f t="shared" si="7"/>
        <v>0.16748225281057377</v>
      </c>
      <c r="AO40" s="3">
        <v>8.7969999999999997E-10</v>
      </c>
      <c r="AP40" s="3">
        <v>11.6882</v>
      </c>
      <c r="AQ40" s="16">
        <v>1.8909528753850401E-4</v>
      </c>
      <c r="AR40">
        <f t="shared" si="8"/>
        <v>2.2101835398075425E-3</v>
      </c>
      <c r="AT40" s="3">
        <v>8.7969999999999997E-10</v>
      </c>
      <c r="AU40" s="3">
        <v>11.6882</v>
      </c>
      <c r="AV40" s="16">
        <v>0</v>
      </c>
      <c r="AW40">
        <f t="shared" si="9"/>
        <v>0</v>
      </c>
    </row>
    <row r="41" spans="1:49" x14ac:dyDescent="0.3">
      <c r="A41" s="3">
        <v>9.9286000000000002E-10</v>
      </c>
      <c r="B41" s="16">
        <v>0</v>
      </c>
      <c r="C41" s="16">
        <v>9.2179416896316493E-2</v>
      </c>
      <c r="D41">
        <f t="shared" si="0"/>
        <v>0</v>
      </c>
      <c r="F41" s="3">
        <v>9.9286000000000002E-10</v>
      </c>
      <c r="G41" s="3">
        <v>0</v>
      </c>
      <c r="H41" s="16">
        <v>0</v>
      </c>
      <c r="I41">
        <f t="shared" si="1"/>
        <v>0</v>
      </c>
      <c r="K41" s="3">
        <v>9.9286000000000002E-10</v>
      </c>
      <c r="L41" s="3">
        <v>0</v>
      </c>
      <c r="M41" s="16">
        <v>0</v>
      </c>
      <c r="N41">
        <f t="shared" si="2"/>
        <v>0</v>
      </c>
      <c r="P41" s="3">
        <v>9.9286000000000002E-10</v>
      </c>
      <c r="Q41" s="3">
        <v>0</v>
      </c>
      <c r="R41" s="16">
        <v>0</v>
      </c>
      <c r="S41">
        <f t="shared" si="3"/>
        <v>0</v>
      </c>
      <c r="U41" s="3">
        <v>9.9286000000000002E-10</v>
      </c>
      <c r="V41" s="3">
        <v>0</v>
      </c>
      <c r="W41" s="16">
        <v>0</v>
      </c>
      <c r="X41">
        <f t="shared" si="4"/>
        <v>0</v>
      </c>
      <c r="Z41" s="3">
        <v>9.9286000000000002E-10</v>
      </c>
      <c r="AA41" s="3">
        <v>0</v>
      </c>
      <c r="AB41" s="16">
        <v>0</v>
      </c>
      <c r="AC41">
        <f t="shared" si="5"/>
        <v>0</v>
      </c>
      <c r="AE41" s="3">
        <v>9.9286000000000002E-10</v>
      </c>
      <c r="AF41" s="3">
        <v>0</v>
      </c>
      <c r="AG41" s="16">
        <v>0</v>
      </c>
      <c r="AH41">
        <f t="shared" si="6"/>
        <v>0</v>
      </c>
      <c r="AJ41" s="3">
        <v>9.9286000000000002E-10</v>
      </c>
      <c r="AK41" s="3">
        <v>0</v>
      </c>
      <c r="AL41" s="16">
        <v>1.36434788173431E-2</v>
      </c>
      <c r="AM41">
        <f t="shared" si="7"/>
        <v>0</v>
      </c>
      <c r="AO41" s="3">
        <v>9.9286000000000002E-10</v>
      </c>
      <c r="AP41" s="3">
        <v>0</v>
      </c>
      <c r="AQ41" s="16">
        <v>1.80046945006469E-4</v>
      </c>
      <c r="AR41">
        <f t="shared" si="8"/>
        <v>0</v>
      </c>
      <c r="AT41" s="3">
        <v>9.9286000000000002E-10</v>
      </c>
      <c r="AU41" s="3">
        <v>0</v>
      </c>
      <c r="AV41" s="16">
        <v>0</v>
      </c>
      <c r="AW41">
        <f t="shared" si="9"/>
        <v>0</v>
      </c>
    </row>
    <row r="42" spans="1:49" x14ac:dyDescent="0.3">
      <c r="A42" s="3">
        <v>1.1206E-9</v>
      </c>
      <c r="B42" s="16">
        <v>0</v>
      </c>
      <c r="C42" s="16">
        <v>8.5673145622194205E-2</v>
      </c>
      <c r="D42">
        <f t="shared" si="0"/>
        <v>0</v>
      </c>
      <c r="F42" s="3">
        <v>1.1206E-9</v>
      </c>
      <c r="G42" s="3">
        <v>0</v>
      </c>
      <c r="H42" s="16">
        <v>0</v>
      </c>
      <c r="I42">
        <f t="shared" si="1"/>
        <v>0</v>
      </c>
      <c r="K42" s="3">
        <v>1.1206E-9</v>
      </c>
      <c r="L42" s="3">
        <v>0</v>
      </c>
      <c r="M42" s="16">
        <v>0</v>
      </c>
      <c r="N42">
        <f t="shared" si="2"/>
        <v>0</v>
      </c>
      <c r="P42" s="3">
        <v>1.1206E-9</v>
      </c>
      <c r="Q42" s="3">
        <v>0</v>
      </c>
      <c r="R42" s="16">
        <v>0</v>
      </c>
      <c r="S42">
        <f t="shared" si="3"/>
        <v>0</v>
      </c>
      <c r="U42" s="3">
        <v>1.1206E-9</v>
      </c>
      <c r="V42" s="3">
        <v>0</v>
      </c>
      <c r="W42" s="16">
        <v>0</v>
      </c>
      <c r="X42">
        <f t="shared" si="4"/>
        <v>0</v>
      </c>
      <c r="Z42" s="3">
        <v>1.1206E-9</v>
      </c>
      <c r="AA42" s="3">
        <v>0</v>
      </c>
      <c r="AB42" s="16">
        <v>0</v>
      </c>
      <c r="AC42">
        <f t="shared" si="5"/>
        <v>0</v>
      </c>
      <c r="AE42" s="3">
        <v>1.1206E-9</v>
      </c>
      <c r="AF42" s="3">
        <v>0</v>
      </c>
      <c r="AG42" s="16">
        <v>0</v>
      </c>
      <c r="AH42">
        <f t="shared" si="6"/>
        <v>0</v>
      </c>
      <c r="AJ42" s="3">
        <v>1.1206E-9</v>
      </c>
      <c r="AK42" s="3">
        <v>0</v>
      </c>
      <c r="AL42" s="16">
        <v>1.26798002738062E-2</v>
      </c>
      <c r="AM42">
        <f t="shared" si="7"/>
        <v>0</v>
      </c>
      <c r="AO42" s="3">
        <v>1.1206E-9</v>
      </c>
      <c r="AP42" s="3">
        <v>0</v>
      </c>
      <c r="AQ42" s="16">
        <v>1.6733046727063401E-4</v>
      </c>
      <c r="AR42">
        <f t="shared" si="8"/>
        <v>0</v>
      </c>
      <c r="AT42" s="3">
        <v>1.1206E-9</v>
      </c>
      <c r="AU42" s="3">
        <v>0</v>
      </c>
      <c r="AV42" s="16">
        <v>0</v>
      </c>
      <c r="AW42">
        <f t="shared" si="9"/>
        <v>0</v>
      </c>
    </row>
    <row r="43" spans="1:49" x14ac:dyDescent="0.3">
      <c r="A43" s="3">
        <v>1.2647E-9</v>
      </c>
      <c r="B43" s="16">
        <v>24.645600000000002</v>
      </c>
      <c r="C43" s="16">
        <v>7.9578957861023605E-2</v>
      </c>
      <c r="D43">
        <f t="shared" si="0"/>
        <v>1.9612711638596434</v>
      </c>
      <c r="F43" s="3">
        <v>1.2647E-9</v>
      </c>
      <c r="G43" s="3">
        <v>24.645600000000002</v>
      </c>
      <c r="H43" s="16">
        <v>0</v>
      </c>
      <c r="I43">
        <f t="shared" si="1"/>
        <v>0</v>
      </c>
      <c r="K43" s="3">
        <v>1.2647E-9</v>
      </c>
      <c r="L43" s="3">
        <v>24.645600000000002</v>
      </c>
      <c r="M43" s="16">
        <v>0</v>
      </c>
      <c r="N43">
        <f t="shared" si="2"/>
        <v>0</v>
      </c>
      <c r="P43" s="3">
        <v>1.2647E-9</v>
      </c>
      <c r="Q43" s="3">
        <v>24.645600000000002</v>
      </c>
      <c r="R43" s="16">
        <v>0</v>
      </c>
      <c r="S43">
        <f t="shared" si="3"/>
        <v>0</v>
      </c>
      <c r="U43" s="3">
        <v>1.2647E-9</v>
      </c>
      <c r="V43" s="3">
        <v>24.645600000000002</v>
      </c>
      <c r="W43" s="16">
        <v>0</v>
      </c>
      <c r="X43">
        <f t="shared" si="4"/>
        <v>0</v>
      </c>
      <c r="Z43" s="3">
        <v>1.2647E-9</v>
      </c>
      <c r="AA43" s="3">
        <v>24.645600000000002</v>
      </c>
      <c r="AB43" s="16">
        <v>0</v>
      </c>
      <c r="AC43">
        <f t="shared" si="5"/>
        <v>0</v>
      </c>
      <c r="AE43" s="3">
        <v>1.2647E-9</v>
      </c>
      <c r="AF43" s="3">
        <v>24.645600000000002</v>
      </c>
      <c r="AG43" s="16">
        <v>0</v>
      </c>
      <c r="AH43">
        <f t="shared" si="6"/>
        <v>0</v>
      </c>
      <c r="AJ43" s="3">
        <v>1.2647E-9</v>
      </c>
      <c r="AK43" s="3">
        <v>24.645600000000002</v>
      </c>
      <c r="AL43" s="16">
        <v>1.1777089848468999E-2</v>
      </c>
      <c r="AM43">
        <f t="shared" si="7"/>
        <v>0.29025344556942756</v>
      </c>
      <c r="AO43" s="3">
        <v>1.2647E-9</v>
      </c>
      <c r="AP43" s="3">
        <v>24.645600000000002</v>
      </c>
      <c r="AQ43" s="16">
        <v>1.5541902183807601E-4</v>
      </c>
      <c r="AR43">
        <f t="shared" si="8"/>
        <v>3.8303950446124863E-3</v>
      </c>
      <c r="AT43" s="3">
        <v>1.2647E-9</v>
      </c>
      <c r="AU43" s="3">
        <v>24.645600000000002</v>
      </c>
      <c r="AV43" s="16">
        <v>0</v>
      </c>
      <c r="AW43">
        <f t="shared" si="9"/>
        <v>0</v>
      </c>
    </row>
    <row r="44" spans="1:49" x14ac:dyDescent="0.3">
      <c r="A44" s="3">
        <v>1.4274000000000001E-9</v>
      </c>
      <c r="B44" s="16">
        <v>24.854900000000001</v>
      </c>
      <c r="C44" s="16">
        <v>7.5774559962710097E-2</v>
      </c>
      <c r="D44">
        <f t="shared" si="0"/>
        <v>1.8833691104171633</v>
      </c>
      <c r="F44" s="3">
        <v>1.4274000000000001E-9</v>
      </c>
      <c r="G44" s="3">
        <v>24.854900000000001</v>
      </c>
      <c r="H44" s="16">
        <v>0</v>
      </c>
      <c r="I44">
        <f t="shared" si="1"/>
        <v>0</v>
      </c>
      <c r="K44" s="3">
        <v>1.4274000000000001E-9</v>
      </c>
      <c r="L44" s="3">
        <v>24.854900000000001</v>
      </c>
      <c r="M44" s="16">
        <v>0</v>
      </c>
      <c r="N44">
        <f t="shared" si="2"/>
        <v>0</v>
      </c>
      <c r="P44" s="3">
        <v>1.4274000000000001E-9</v>
      </c>
      <c r="Q44" s="3">
        <v>24.854900000000001</v>
      </c>
      <c r="R44" s="16">
        <v>0</v>
      </c>
      <c r="S44">
        <f t="shared" si="3"/>
        <v>0</v>
      </c>
      <c r="U44" s="3">
        <v>1.4274000000000001E-9</v>
      </c>
      <c r="V44" s="3">
        <v>24.854900000000001</v>
      </c>
      <c r="W44" s="16">
        <v>0</v>
      </c>
      <c r="X44">
        <f t="shared" si="4"/>
        <v>0</v>
      </c>
      <c r="Z44" s="3">
        <v>1.4274000000000001E-9</v>
      </c>
      <c r="AA44" s="3">
        <v>24.854900000000001</v>
      </c>
      <c r="AB44" s="16">
        <v>0</v>
      </c>
      <c r="AC44">
        <f t="shared" si="5"/>
        <v>0</v>
      </c>
      <c r="AE44" s="3">
        <v>1.4274000000000001E-9</v>
      </c>
      <c r="AF44" s="3">
        <v>24.854900000000001</v>
      </c>
      <c r="AG44" s="16">
        <v>0</v>
      </c>
      <c r="AH44">
        <f t="shared" si="6"/>
        <v>0</v>
      </c>
      <c r="AJ44" s="3">
        <v>1.4274000000000001E-9</v>
      </c>
      <c r="AK44" s="3">
        <v>24.854900000000001</v>
      </c>
      <c r="AL44" s="16">
        <v>1.12135268330528E-2</v>
      </c>
      <c r="AM44">
        <f t="shared" si="7"/>
        <v>0.27871108808284406</v>
      </c>
      <c r="AO44" s="3">
        <v>1.4274000000000001E-9</v>
      </c>
      <c r="AP44" s="3">
        <v>24.854900000000001</v>
      </c>
      <c r="AQ44" s="16">
        <v>1.47981662899242E-4</v>
      </c>
      <c r="AR44">
        <f t="shared" si="8"/>
        <v>3.6780694331943701E-3</v>
      </c>
      <c r="AT44" s="3">
        <v>1.4274000000000001E-9</v>
      </c>
      <c r="AU44" s="3">
        <v>24.854900000000001</v>
      </c>
      <c r="AV44" s="16">
        <v>0</v>
      </c>
      <c r="AW44">
        <f t="shared" si="9"/>
        <v>0</v>
      </c>
    </row>
    <row r="45" spans="1:49" x14ac:dyDescent="0.3">
      <c r="A45" s="3">
        <v>1.6109999999999999E-9</v>
      </c>
      <c r="B45" s="16">
        <v>42.863799999999998</v>
      </c>
      <c r="C45" s="16">
        <v>7.2152336944959705E-2</v>
      </c>
      <c r="D45">
        <f t="shared" si="0"/>
        <v>3.0927233403413634</v>
      </c>
      <c r="F45" s="3">
        <v>1.6109999999999999E-9</v>
      </c>
      <c r="G45" s="3">
        <v>42.863799999999998</v>
      </c>
      <c r="H45" s="16">
        <v>0</v>
      </c>
      <c r="I45">
        <f t="shared" si="1"/>
        <v>0</v>
      </c>
      <c r="K45" s="3">
        <v>1.6109999999999999E-9</v>
      </c>
      <c r="L45" s="3">
        <v>42.863799999999998</v>
      </c>
      <c r="M45" s="16">
        <v>0</v>
      </c>
      <c r="N45">
        <f t="shared" si="2"/>
        <v>0</v>
      </c>
      <c r="P45" s="3">
        <v>1.6109999999999999E-9</v>
      </c>
      <c r="Q45" s="3">
        <v>42.863799999999998</v>
      </c>
      <c r="R45" s="16">
        <v>0</v>
      </c>
      <c r="S45">
        <f t="shared" si="3"/>
        <v>0</v>
      </c>
      <c r="U45" s="3">
        <v>1.6109999999999999E-9</v>
      </c>
      <c r="V45" s="3">
        <v>42.863799999999998</v>
      </c>
      <c r="W45" s="16">
        <v>0</v>
      </c>
      <c r="X45">
        <f t="shared" si="4"/>
        <v>0</v>
      </c>
      <c r="Z45" s="3">
        <v>1.6109999999999999E-9</v>
      </c>
      <c r="AA45" s="3">
        <v>42.863799999999998</v>
      </c>
      <c r="AB45" s="16">
        <v>0</v>
      </c>
      <c r="AC45">
        <f t="shared" si="5"/>
        <v>0</v>
      </c>
      <c r="AE45" s="3">
        <v>1.6109999999999999E-9</v>
      </c>
      <c r="AF45" s="3">
        <v>42.863799999999998</v>
      </c>
      <c r="AG45" s="16">
        <v>0</v>
      </c>
      <c r="AH45">
        <f t="shared" si="6"/>
        <v>0</v>
      </c>
      <c r="AJ45" s="3">
        <v>1.6109999999999999E-9</v>
      </c>
      <c r="AK45" s="3">
        <v>42.863799999999998</v>
      </c>
      <c r="AL45" s="16">
        <v>1.0676919175361401E-2</v>
      </c>
      <c r="AM45">
        <f t="shared" si="7"/>
        <v>0.45765332814885601</v>
      </c>
      <c r="AO45" s="3">
        <v>1.6109999999999999E-9</v>
      </c>
      <c r="AP45" s="3">
        <v>42.863799999999998</v>
      </c>
      <c r="AQ45" s="16">
        <v>1.40900870779668E-4</v>
      </c>
      <c r="AR45">
        <f t="shared" si="8"/>
        <v>6.0395467449255325E-3</v>
      </c>
      <c r="AT45" s="3">
        <v>1.6109999999999999E-9</v>
      </c>
      <c r="AU45" s="3">
        <v>42.863799999999998</v>
      </c>
      <c r="AV45" s="16">
        <v>0</v>
      </c>
      <c r="AW45">
        <f t="shared" si="9"/>
        <v>0</v>
      </c>
    </row>
    <row r="46" spans="1:49" x14ac:dyDescent="0.3">
      <c r="A46" s="3">
        <v>1.8182E-9</v>
      </c>
      <c r="B46" s="16">
        <v>25.1569</v>
      </c>
      <c r="C46" s="16">
        <v>6.7061809418804699E-2</v>
      </c>
      <c r="D46">
        <f t="shared" si="0"/>
        <v>1.687067233367928</v>
      </c>
      <c r="F46" s="3">
        <v>1.8182E-9</v>
      </c>
      <c r="G46" s="3">
        <v>25.1569</v>
      </c>
      <c r="H46" s="16">
        <v>0</v>
      </c>
      <c r="I46">
        <f t="shared" si="1"/>
        <v>0</v>
      </c>
      <c r="K46" s="3">
        <v>1.8182E-9</v>
      </c>
      <c r="L46" s="3">
        <v>25.1569</v>
      </c>
      <c r="M46" s="16">
        <v>0</v>
      </c>
      <c r="N46">
        <f t="shared" si="2"/>
        <v>0</v>
      </c>
      <c r="P46" s="3">
        <v>1.8182E-9</v>
      </c>
      <c r="Q46" s="3">
        <v>25.1569</v>
      </c>
      <c r="R46" s="16">
        <v>0</v>
      </c>
      <c r="S46">
        <f t="shared" si="3"/>
        <v>0</v>
      </c>
      <c r="U46" s="3">
        <v>1.8182E-9</v>
      </c>
      <c r="V46" s="3">
        <v>25.1569</v>
      </c>
      <c r="W46" s="16">
        <v>0</v>
      </c>
      <c r="X46">
        <f t="shared" si="4"/>
        <v>0</v>
      </c>
      <c r="Z46" s="3">
        <v>1.8182E-9</v>
      </c>
      <c r="AA46" s="3">
        <v>25.1569</v>
      </c>
      <c r="AB46" s="16">
        <v>0</v>
      </c>
      <c r="AC46">
        <f t="shared" si="5"/>
        <v>0</v>
      </c>
      <c r="AE46" s="3">
        <v>1.8182E-9</v>
      </c>
      <c r="AF46" s="3">
        <v>25.1569</v>
      </c>
      <c r="AG46" s="16">
        <v>0</v>
      </c>
      <c r="AH46">
        <f t="shared" si="6"/>
        <v>0</v>
      </c>
      <c r="AJ46" s="3">
        <v>1.8182E-9</v>
      </c>
      <c r="AK46" s="3">
        <v>25.1569</v>
      </c>
      <c r="AL46" s="16">
        <v>9.9227572759592805E-3</v>
      </c>
      <c r="AM46">
        <f t="shared" si="7"/>
        <v>0.24962581251558003</v>
      </c>
      <c r="AO46" s="3">
        <v>1.8182E-9</v>
      </c>
      <c r="AP46" s="3">
        <v>25.1569</v>
      </c>
      <c r="AQ46" s="16">
        <v>1.3094962386638999E-4</v>
      </c>
      <c r="AR46">
        <f t="shared" si="8"/>
        <v>3.2942865926443867E-3</v>
      </c>
      <c r="AT46" s="3">
        <v>1.8182E-9</v>
      </c>
      <c r="AU46" s="3">
        <v>25.1569</v>
      </c>
      <c r="AV46" s="16">
        <v>0</v>
      </c>
      <c r="AW46">
        <f t="shared" si="9"/>
        <v>0</v>
      </c>
    </row>
    <row r="47" spans="1:49" x14ac:dyDescent="0.3">
      <c r="A47" s="3">
        <v>2.0519999999999999E-9</v>
      </c>
      <c r="B47" s="16">
        <v>133.40100000000001</v>
      </c>
      <c r="C47" s="16">
        <v>6.2293976357238802E-2</v>
      </c>
      <c r="D47">
        <f t="shared" si="0"/>
        <v>8.3100787400320133</v>
      </c>
      <c r="F47" s="3">
        <v>2.0519999999999999E-9</v>
      </c>
      <c r="G47" s="3">
        <v>133.40100000000001</v>
      </c>
      <c r="H47" s="16">
        <v>0</v>
      </c>
      <c r="I47">
        <f t="shared" si="1"/>
        <v>0</v>
      </c>
      <c r="K47" s="3">
        <v>2.0519999999999999E-9</v>
      </c>
      <c r="L47" s="3">
        <v>133.40100000000001</v>
      </c>
      <c r="M47" s="16">
        <v>0</v>
      </c>
      <c r="N47">
        <f t="shared" si="2"/>
        <v>0</v>
      </c>
      <c r="P47" s="3">
        <v>2.0519999999999999E-9</v>
      </c>
      <c r="Q47" s="3">
        <v>133.40100000000001</v>
      </c>
      <c r="R47" s="16">
        <v>0</v>
      </c>
      <c r="S47">
        <f t="shared" si="3"/>
        <v>0</v>
      </c>
      <c r="U47" s="3">
        <v>2.0519999999999999E-9</v>
      </c>
      <c r="V47" s="3">
        <v>133.40100000000001</v>
      </c>
      <c r="W47" s="16">
        <v>0</v>
      </c>
      <c r="X47">
        <f t="shared" si="4"/>
        <v>0</v>
      </c>
      <c r="Z47" s="3">
        <v>2.0519999999999999E-9</v>
      </c>
      <c r="AA47" s="3">
        <v>133.40100000000001</v>
      </c>
      <c r="AB47" s="16">
        <v>0</v>
      </c>
      <c r="AC47">
        <f t="shared" si="5"/>
        <v>0</v>
      </c>
      <c r="AE47" s="3">
        <v>2.0519999999999999E-9</v>
      </c>
      <c r="AF47" s="3">
        <v>133.40100000000001</v>
      </c>
      <c r="AG47" s="16">
        <v>0</v>
      </c>
      <c r="AH47">
        <f t="shared" si="6"/>
        <v>0</v>
      </c>
      <c r="AJ47" s="3">
        <v>2.0519999999999999E-9</v>
      </c>
      <c r="AK47" s="3">
        <v>133.40100000000001</v>
      </c>
      <c r="AL47" s="16">
        <v>9.2163308646008892E-3</v>
      </c>
      <c r="AM47">
        <f t="shared" si="7"/>
        <v>1.2294677536686234</v>
      </c>
      <c r="AO47" s="3">
        <v>2.0519999999999999E-9</v>
      </c>
      <c r="AP47" s="3">
        <v>133.40100000000001</v>
      </c>
      <c r="AQ47" s="16">
        <v>1.21627882806701E-4</v>
      </c>
      <c r="AR47">
        <f t="shared" si="8"/>
        <v>1.6225281194296722E-2</v>
      </c>
      <c r="AT47" s="3">
        <v>2.0519999999999999E-9</v>
      </c>
      <c r="AU47" s="3">
        <v>133.40100000000001</v>
      </c>
      <c r="AV47" s="16">
        <v>0</v>
      </c>
      <c r="AW47">
        <f t="shared" si="9"/>
        <v>0</v>
      </c>
    </row>
    <row r="48" spans="1:49" x14ac:dyDescent="0.3">
      <c r="A48" s="3">
        <v>2.3159999999999999E-9</v>
      </c>
      <c r="B48" s="16">
        <v>83.488299999999995</v>
      </c>
      <c r="C48" s="16">
        <v>5.9317678602956697E-2</v>
      </c>
      <c r="D48">
        <f t="shared" si="0"/>
        <v>4.9523321465072296</v>
      </c>
      <c r="F48" s="3">
        <v>2.3159999999999999E-9</v>
      </c>
      <c r="G48" s="3">
        <v>83.488299999999995</v>
      </c>
      <c r="H48" s="16">
        <v>0</v>
      </c>
      <c r="I48">
        <f t="shared" si="1"/>
        <v>0</v>
      </c>
      <c r="K48" s="3">
        <v>2.3159999999999999E-9</v>
      </c>
      <c r="L48" s="3">
        <v>83.488299999999995</v>
      </c>
      <c r="M48" s="16">
        <v>0</v>
      </c>
      <c r="N48">
        <f t="shared" si="2"/>
        <v>0</v>
      </c>
      <c r="P48" s="3">
        <v>2.3159999999999999E-9</v>
      </c>
      <c r="Q48" s="3">
        <v>83.488299999999995</v>
      </c>
      <c r="R48" s="16">
        <v>0</v>
      </c>
      <c r="S48">
        <f t="shared" si="3"/>
        <v>0</v>
      </c>
      <c r="U48" s="3">
        <v>2.3159999999999999E-9</v>
      </c>
      <c r="V48" s="3">
        <v>83.488299999999995</v>
      </c>
      <c r="W48" s="16">
        <v>0</v>
      </c>
      <c r="X48">
        <f t="shared" si="4"/>
        <v>0</v>
      </c>
      <c r="Z48" s="3">
        <v>2.3159999999999999E-9</v>
      </c>
      <c r="AA48" s="3">
        <v>83.488299999999995</v>
      </c>
      <c r="AB48" s="16">
        <v>0</v>
      </c>
      <c r="AC48">
        <f t="shared" si="5"/>
        <v>0</v>
      </c>
      <c r="AE48" s="3">
        <v>2.3159999999999999E-9</v>
      </c>
      <c r="AF48" s="3">
        <v>83.488299999999995</v>
      </c>
      <c r="AG48" s="16">
        <v>0</v>
      </c>
      <c r="AH48">
        <f t="shared" si="6"/>
        <v>0</v>
      </c>
      <c r="AJ48" s="3">
        <v>2.3159999999999999E-9</v>
      </c>
      <c r="AK48" s="3">
        <v>83.488299999999995</v>
      </c>
      <c r="AL48" s="16">
        <v>8.7752922024797401E-3</v>
      </c>
      <c r="AM48">
        <f t="shared" si="7"/>
        <v>0.73263422798828925</v>
      </c>
      <c r="AO48" s="3">
        <v>2.3159999999999999E-9</v>
      </c>
      <c r="AP48" s="3">
        <v>83.488299999999995</v>
      </c>
      <c r="AQ48" s="16">
        <v>1.1580794036760199E-4</v>
      </c>
      <c r="AR48">
        <f t="shared" si="8"/>
        <v>9.6686080677924648E-3</v>
      </c>
      <c r="AT48" s="3">
        <v>2.3159999999999999E-9</v>
      </c>
      <c r="AU48" s="3">
        <v>83.488299999999995</v>
      </c>
      <c r="AV48" s="16">
        <v>0</v>
      </c>
      <c r="AW48">
        <f t="shared" si="9"/>
        <v>0</v>
      </c>
    </row>
    <row r="49" spans="1:49" x14ac:dyDescent="0.3">
      <c r="A49" s="3">
        <v>2.6138999999999998E-9</v>
      </c>
      <c r="B49" s="16">
        <v>80.112700000000004</v>
      </c>
      <c r="C49" s="16">
        <v>5.6483866991764699E-2</v>
      </c>
      <c r="D49">
        <f t="shared" si="0"/>
        <v>4.5250750911511481</v>
      </c>
      <c r="F49" s="3">
        <v>2.6138999999999998E-9</v>
      </c>
      <c r="G49" s="3">
        <v>80.112700000000004</v>
      </c>
      <c r="H49" s="16">
        <v>0</v>
      </c>
      <c r="I49">
        <f t="shared" si="1"/>
        <v>0</v>
      </c>
      <c r="K49" s="3">
        <v>2.6138999999999998E-9</v>
      </c>
      <c r="L49" s="3">
        <v>80.112700000000004</v>
      </c>
      <c r="M49" s="16">
        <v>0</v>
      </c>
      <c r="N49">
        <f t="shared" si="2"/>
        <v>0</v>
      </c>
      <c r="P49" s="3">
        <v>2.6138999999999998E-9</v>
      </c>
      <c r="Q49" s="3">
        <v>80.112700000000004</v>
      </c>
      <c r="R49" s="16">
        <v>0</v>
      </c>
      <c r="S49">
        <f t="shared" si="3"/>
        <v>0</v>
      </c>
      <c r="U49" s="3">
        <v>2.6138999999999998E-9</v>
      </c>
      <c r="V49" s="3">
        <v>80.112700000000004</v>
      </c>
      <c r="W49" s="16">
        <v>0</v>
      </c>
      <c r="X49">
        <f t="shared" si="4"/>
        <v>0</v>
      </c>
      <c r="Z49" s="3">
        <v>2.6138999999999998E-9</v>
      </c>
      <c r="AA49" s="3">
        <v>80.112700000000004</v>
      </c>
      <c r="AB49" s="16">
        <v>0</v>
      </c>
      <c r="AC49">
        <f t="shared" si="5"/>
        <v>0</v>
      </c>
      <c r="AE49" s="3">
        <v>2.6138999999999998E-9</v>
      </c>
      <c r="AF49" s="3">
        <v>80.112700000000004</v>
      </c>
      <c r="AG49" s="16">
        <v>0</v>
      </c>
      <c r="AH49">
        <f t="shared" si="6"/>
        <v>0</v>
      </c>
      <c r="AJ49" s="3">
        <v>2.6138999999999998E-9</v>
      </c>
      <c r="AK49" s="3">
        <v>80.112700000000004</v>
      </c>
      <c r="AL49" s="16">
        <v>8.3553767388666808E-3</v>
      </c>
      <c r="AM49">
        <f t="shared" si="7"/>
        <v>0.66937179006780478</v>
      </c>
      <c r="AO49" s="3">
        <v>2.6138999999999998E-9</v>
      </c>
      <c r="AP49" s="3">
        <v>80.112700000000004</v>
      </c>
      <c r="AQ49" s="16">
        <v>1.1026645088271799E-4</v>
      </c>
      <c r="AR49">
        <f t="shared" si="8"/>
        <v>8.8337430996319223E-3</v>
      </c>
      <c r="AT49" s="3">
        <v>2.6138999999999998E-9</v>
      </c>
      <c r="AU49" s="3">
        <v>80.112700000000004</v>
      </c>
      <c r="AV49" s="16">
        <v>0</v>
      </c>
      <c r="AW49">
        <f t="shared" si="9"/>
        <v>0</v>
      </c>
    </row>
    <row r="50" spans="1:49" x14ac:dyDescent="0.3">
      <c r="A50" s="3">
        <v>2.9501E-9</v>
      </c>
      <c r="B50" s="16">
        <v>44.346600000000002</v>
      </c>
      <c r="C50" s="16">
        <v>5.37861055121805E-2</v>
      </c>
      <c r="D50">
        <f t="shared" si="0"/>
        <v>2.3852309067064641</v>
      </c>
      <c r="F50" s="3">
        <v>2.9501E-9</v>
      </c>
      <c r="G50" s="3">
        <v>44.346600000000002</v>
      </c>
      <c r="H50" s="16">
        <v>0</v>
      </c>
      <c r="I50">
        <f t="shared" si="1"/>
        <v>0</v>
      </c>
      <c r="K50" s="3">
        <v>2.9501E-9</v>
      </c>
      <c r="L50" s="3">
        <v>44.346600000000002</v>
      </c>
      <c r="M50" s="16">
        <v>0</v>
      </c>
      <c r="N50">
        <f t="shared" si="2"/>
        <v>0</v>
      </c>
      <c r="P50" s="3">
        <v>2.9501E-9</v>
      </c>
      <c r="Q50" s="3">
        <v>44.346600000000002</v>
      </c>
      <c r="R50" s="16">
        <v>0</v>
      </c>
      <c r="S50">
        <f t="shared" si="3"/>
        <v>0</v>
      </c>
      <c r="U50" s="3">
        <v>2.9501E-9</v>
      </c>
      <c r="V50" s="3">
        <v>44.346600000000002</v>
      </c>
      <c r="W50" s="16">
        <v>0</v>
      </c>
      <c r="X50">
        <f t="shared" si="4"/>
        <v>0</v>
      </c>
      <c r="Z50" s="3">
        <v>2.9501E-9</v>
      </c>
      <c r="AA50" s="3">
        <v>44.346600000000002</v>
      </c>
      <c r="AB50" s="16">
        <v>0</v>
      </c>
      <c r="AC50">
        <f t="shared" si="5"/>
        <v>0</v>
      </c>
      <c r="AE50" s="3">
        <v>2.9501E-9</v>
      </c>
      <c r="AF50" s="3">
        <v>44.346600000000002</v>
      </c>
      <c r="AG50" s="16">
        <v>0</v>
      </c>
      <c r="AH50">
        <f t="shared" si="6"/>
        <v>0</v>
      </c>
      <c r="AJ50" s="3">
        <v>2.9501E-9</v>
      </c>
      <c r="AK50" s="3">
        <v>44.346600000000002</v>
      </c>
      <c r="AL50" s="16">
        <v>7.9555062594527E-3</v>
      </c>
      <c r="AM50">
        <f t="shared" si="7"/>
        <v>0.3527996538854451</v>
      </c>
      <c r="AO50" s="3">
        <v>2.9501E-9</v>
      </c>
      <c r="AP50" s="3">
        <v>44.346600000000002</v>
      </c>
      <c r="AQ50" s="16">
        <v>1.04990548538983E-4</v>
      </c>
      <c r="AR50">
        <f t="shared" si="8"/>
        <v>4.6559738598388641E-3</v>
      </c>
      <c r="AT50" s="3">
        <v>2.9501E-9</v>
      </c>
      <c r="AU50" s="3">
        <v>44.346600000000002</v>
      </c>
      <c r="AV50" s="16">
        <v>0</v>
      </c>
      <c r="AW50">
        <f t="shared" si="9"/>
        <v>0</v>
      </c>
    </row>
    <row r="51" spans="1:49" x14ac:dyDescent="0.3">
      <c r="A51" s="3">
        <v>3.3295000000000001E-9</v>
      </c>
      <c r="B51" s="16">
        <v>218.655</v>
      </c>
      <c r="C51" s="16">
        <v>4.9995026582073103E-2</v>
      </c>
      <c r="D51">
        <f t="shared" si="0"/>
        <v>10.931662537303195</v>
      </c>
      <c r="F51" s="3">
        <v>3.3295000000000001E-9</v>
      </c>
      <c r="G51" s="3">
        <v>218.655</v>
      </c>
      <c r="H51" s="16">
        <v>0</v>
      </c>
      <c r="I51">
        <f t="shared" si="1"/>
        <v>0</v>
      </c>
      <c r="K51" s="3">
        <v>3.3295000000000001E-9</v>
      </c>
      <c r="L51" s="3">
        <v>218.655</v>
      </c>
      <c r="M51" s="16">
        <v>0</v>
      </c>
      <c r="N51">
        <f t="shared" si="2"/>
        <v>0</v>
      </c>
      <c r="P51" s="3">
        <v>3.3295000000000001E-9</v>
      </c>
      <c r="Q51" s="3">
        <v>218.655</v>
      </c>
      <c r="R51" s="16">
        <v>0</v>
      </c>
      <c r="S51">
        <f t="shared" si="3"/>
        <v>0</v>
      </c>
      <c r="U51" s="3">
        <v>3.3295000000000001E-9</v>
      </c>
      <c r="V51" s="3">
        <v>218.655</v>
      </c>
      <c r="W51" s="16">
        <v>0</v>
      </c>
      <c r="X51">
        <f t="shared" si="4"/>
        <v>0</v>
      </c>
      <c r="Z51" s="3">
        <v>3.3295000000000001E-9</v>
      </c>
      <c r="AA51" s="3">
        <v>218.655</v>
      </c>
      <c r="AB51" s="16">
        <v>0</v>
      </c>
      <c r="AC51">
        <f t="shared" si="5"/>
        <v>0</v>
      </c>
      <c r="AE51" s="3">
        <v>3.3295000000000001E-9</v>
      </c>
      <c r="AF51" s="3">
        <v>218.655</v>
      </c>
      <c r="AG51" s="16">
        <v>0</v>
      </c>
      <c r="AH51">
        <f t="shared" si="6"/>
        <v>0</v>
      </c>
      <c r="AJ51" s="3">
        <v>3.3295000000000001E-9</v>
      </c>
      <c r="AK51" s="3">
        <v>218.655</v>
      </c>
      <c r="AL51" s="16">
        <v>7.3935605654999199E-3</v>
      </c>
      <c r="AM51">
        <f t="shared" si="7"/>
        <v>1.616638985449385</v>
      </c>
      <c r="AO51" s="3">
        <v>3.3295000000000001E-9</v>
      </c>
      <c r="AP51" s="3">
        <v>218.655</v>
      </c>
      <c r="AQ51" s="17">
        <v>9.7575704773015406E-5</v>
      </c>
      <c r="AR51">
        <f t="shared" si="8"/>
        <v>2.1335415727143682E-2</v>
      </c>
      <c r="AT51" s="3">
        <v>3.3295000000000001E-9</v>
      </c>
      <c r="AU51" s="3">
        <v>218.655</v>
      </c>
      <c r="AV51" s="16">
        <v>0</v>
      </c>
      <c r="AW51">
        <f t="shared" si="9"/>
        <v>0</v>
      </c>
    </row>
    <row r="52" spans="1:49" x14ac:dyDescent="0.3">
      <c r="A52" s="3">
        <v>3.7578000000000004E-9</v>
      </c>
      <c r="B52" s="16">
        <v>106.34099999999999</v>
      </c>
      <c r="C52" s="16">
        <v>4.6444582970157799E-2</v>
      </c>
      <c r="D52">
        <f t="shared" si="0"/>
        <v>4.9389633976295499</v>
      </c>
      <c r="F52" s="3">
        <v>3.7578000000000004E-9</v>
      </c>
      <c r="G52" s="3">
        <v>106.34099999999999</v>
      </c>
      <c r="H52" s="16">
        <v>0</v>
      </c>
      <c r="I52">
        <f t="shared" si="1"/>
        <v>0</v>
      </c>
      <c r="K52" s="3">
        <v>3.7578000000000004E-9</v>
      </c>
      <c r="L52" s="3">
        <v>106.34099999999999</v>
      </c>
      <c r="M52" s="16">
        <v>0</v>
      </c>
      <c r="N52">
        <f t="shared" si="2"/>
        <v>0</v>
      </c>
      <c r="P52" s="3">
        <v>3.7578000000000004E-9</v>
      </c>
      <c r="Q52" s="3">
        <v>106.34099999999999</v>
      </c>
      <c r="R52" s="16">
        <v>0</v>
      </c>
      <c r="S52">
        <f t="shared" si="3"/>
        <v>0</v>
      </c>
      <c r="U52" s="3">
        <v>3.7578000000000004E-9</v>
      </c>
      <c r="V52" s="3">
        <v>106.34099999999999</v>
      </c>
      <c r="W52" s="16">
        <v>0</v>
      </c>
      <c r="X52">
        <f t="shared" si="4"/>
        <v>0</v>
      </c>
      <c r="Z52" s="3">
        <v>3.7578000000000004E-9</v>
      </c>
      <c r="AA52" s="3">
        <v>106.34099999999999</v>
      </c>
      <c r="AB52" s="16">
        <v>0</v>
      </c>
      <c r="AC52">
        <f t="shared" si="5"/>
        <v>0</v>
      </c>
      <c r="AE52" s="3">
        <v>3.7578000000000004E-9</v>
      </c>
      <c r="AF52" s="3">
        <v>106.34099999999999</v>
      </c>
      <c r="AG52" s="16">
        <v>0</v>
      </c>
      <c r="AH52">
        <f t="shared" si="6"/>
        <v>0</v>
      </c>
      <c r="AJ52" s="3">
        <v>3.7578000000000004E-9</v>
      </c>
      <c r="AK52" s="3">
        <v>106.34099999999999</v>
      </c>
      <c r="AL52" s="16">
        <v>6.8671959437440503E-3</v>
      </c>
      <c r="AM52">
        <f t="shared" si="7"/>
        <v>0.73026448385368603</v>
      </c>
      <c r="AO52" s="3">
        <v>3.7578000000000004E-9</v>
      </c>
      <c r="AP52" s="3">
        <v>106.34099999999999</v>
      </c>
      <c r="AQ52" s="17">
        <v>9.0629452298646401E-5</v>
      </c>
      <c r="AR52">
        <f t="shared" si="8"/>
        <v>9.6376265868903556E-3</v>
      </c>
      <c r="AT52" s="3">
        <v>3.7578000000000004E-9</v>
      </c>
      <c r="AU52" s="3">
        <v>106.34099999999999</v>
      </c>
      <c r="AV52" s="16">
        <v>0</v>
      </c>
      <c r="AW52">
        <f t="shared" si="9"/>
        <v>0</v>
      </c>
    </row>
    <row r="53" spans="1:49" x14ac:dyDescent="0.3">
      <c r="A53" s="3">
        <v>4.2411000000000002E-9</v>
      </c>
      <c r="B53" s="16">
        <v>145.41999999999999</v>
      </c>
      <c r="C53" s="16">
        <v>4.4228628461248302E-2</v>
      </c>
      <c r="D53">
        <f t="shared" si="0"/>
        <v>6.4317271508347273</v>
      </c>
      <c r="F53" s="3">
        <v>4.2411000000000002E-9</v>
      </c>
      <c r="G53" s="3">
        <v>145.41999999999999</v>
      </c>
      <c r="H53" s="16">
        <v>0</v>
      </c>
      <c r="I53">
        <f t="shared" si="1"/>
        <v>0</v>
      </c>
      <c r="K53" s="3">
        <v>4.2411000000000002E-9</v>
      </c>
      <c r="L53" s="3">
        <v>145.41999999999999</v>
      </c>
      <c r="M53" s="16">
        <v>0</v>
      </c>
      <c r="N53">
        <f t="shared" si="2"/>
        <v>0</v>
      </c>
      <c r="P53" s="3">
        <v>4.2411000000000002E-9</v>
      </c>
      <c r="Q53" s="3">
        <v>145.41999999999999</v>
      </c>
      <c r="R53" s="16">
        <v>0</v>
      </c>
      <c r="S53">
        <f t="shared" si="3"/>
        <v>0</v>
      </c>
      <c r="U53" s="3">
        <v>4.2411000000000002E-9</v>
      </c>
      <c r="V53" s="3">
        <v>145.41999999999999</v>
      </c>
      <c r="W53" s="16">
        <v>0</v>
      </c>
      <c r="X53">
        <f t="shared" si="4"/>
        <v>0</v>
      </c>
      <c r="Z53" s="3">
        <v>4.2411000000000002E-9</v>
      </c>
      <c r="AA53" s="3">
        <v>145.41999999999999</v>
      </c>
      <c r="AB53" s="16">
        <v>0</v>
      </c>
      <c r="AC53">
        <f t="shared" si="5"/>
        <v>0</v>
      </c>
      <c r="AE53" s="3">
        <v>4.2411000000000002E-9</v>
      </c>
      <c r="AF53" s="3">
        <v>145.41999999999999</v>
      </c>
      <c r="AG53" s="16">
        <v>0</v>
      </c>
      <c r="AH53">
        <f t="shared" si="6"/>
        <v>0</v>
      </c>
      <c r="AJ53" s="3">
        <v>4.2411000000000002E-9</v>
      </c>
      <c r="AK53" s="3">
        <v>145.41999999999999</v>
      </c>
      <c r="AL53" s="16">
        <v>6.5385856282065098E-3</v>
      </c>
      <c r="AM53">
        <f t="shared" si="7"/>
        <v>0.95084112205379057</v>
      </c>
      <c r="AO53" s="3">
        <v>4.2411000000000002E-9</v>
      </c>
      <c r="AP53" s="3">
        <v>145.41999999999999</v>
      </c>
      <c r="AQ53" s="17">
        <v>8.6293213802058396E-5</v>
      </c>
      <c r="AR53">
        <f t="shared" si="8"/>
        <v>1.254875915109533E-2</v>
      </c>
      <c r="AT53" s="3">
        <v>4.2411000000000002E-9</v>
      </c>
      <c r="AU53" s="3">
        <v>145.41999999999999</v>
      </c>
      <c r="AV53" s="16">
        <v>0</v>
      </c>
      <c r="AW53">
        <f t="shared" si="9"/>
        <v>0</v>
      </c>
    </row>
    <row r="54" spans="1:49" x14ac:dyDescent="0.3">
      <c r="A54" s="3">
        <v>4.7866999999999996E-9</v>
      </c>
      <c r="B54" s="16">
        <v>276.69799999999998</v>
      </c>
      <c r="C54" s="16">
        <v>4.2119046919890199E-2</v>
      </c>
      <c r="D54">
        <f t="shared" si="0"/>
        <v>11.654256044639778</v>
      </c>
      <c r="F54" s="3">
        <v>4.7866999999999996E-9</v>
      </c>
      <c r="G54" s="3">
        <v>276.69799999999998</v>
      </c>
      <c r="H54" s="16">
        <v>0</v>
      </c>
      <c r="I54">
        <f t="shared" si="1"/>
        <v>0</v>
      </c>
      <c r="K54" s="3">
        <v>4.7866999999999996E-9</v>
      </c>
      <c r="L54" s="3">
        <v>276.69799999999998</v>
      </c>
      <c r="M54" s="16">
        <v>0</v>
      </c>
      <c r="N54">
        <f t="shared" si="2"/>
        <v>0</v>
      </c>
      <c r="P54" s="3">
        <v>4.7866999999999996E-9</v>
      </c>
      <c r="Q54" s="3">
        <v>276.69799999999998</v>
      </c>
      <c r="R54" s="16">
        <v>0</v>
      </c>
      <c r="S54">
        <f t="shared" si="3"/>
        <v>0</v>
      </c>
      <c r="U54" s="3">
        <v>4.7866999999999996E-9</v>
      </c>
      <c r="V54" s="3">
        <v>276.69799999999998</v>
      </c>
      <c r="W54" s="16">
        <v>0</v>
      </c>
      <c r="X54">
        <f t="shared" si="4"/>
        <v>0</v>
      </c>
      <c r="Z54" s="3">
        <v>4.7866999999999996E-9</v>
      </c>
      <c r="AA54" s="3">
        <v>276.69799999999998</v>
      </c>
      <c r="AB54" s="16">
        <v>0</v>
      </c>
      <c r="AC54">
        <f t="shared" si="5"/>
        <v>0</v>
      </c>
      <c r="AE54" s="3">
        <v>4.7866999999999996E-9</v>
      </c>
      <c r="AF54" s="3">
        <v>276.69799999999998</v>
      </c>
      <c r="AG54" s="16">
        <v>0</v>
      </c>
      <c r="AH54">
        <f t="shared" si="6"/>
        <v>0</v>
      </c>
      <c r="AJ54" s="3">
        <v>4.7866999999999996E-9</v>
      </c>
      <c r="AK54" s="3">
        <v>276.69799999999998</v>
      </c>
      <c r="AL54" s="16">
        <v>6.22565842989075E-3</v>
      </c>
      <c r="AM54">
        <f t="shared" si="7"/>
        <v>1.7226272362339106</v>
      </c>
      <c r="AO54" s="3">
        <v>4.7866999999999996E-9</v>
      </c>
      <c r="AP54" s="3">
        <v>276.69799999999998</v>
      </c>
      <c r="AQ54" s="17">
        <v>8.2164390591828298E-5</v>
      </c>
      <c r="AR54">
        <f t="shared" si="8"/>
        <v>2.2734722547977704E-2</v>
      </c>
      <c r="AT54" s="3">
        <v>4.7866999999999996E-9</v>
      </c>
      <c r="AU54" s="3">
        <v>276.69799999999998</v>
      </c>
      <c r="AV54" s="16">
        <v>0</v>
      </c>
      <c r="AW54">
        <f t="shared" si="9"/>
        <v>0</v>
      </c>
    </row>
    <row r="55" spans="1:49" x14ac:dyDescent="0.3">
      <c r="A55" s="3">
        <v>5.4022999999999998E-9</v>
      </c>
      <c r="B55" s="16">
        <v>310.58100000000002</v>
      </c>
      <c r="C55" s="16">
        <v>3.9155263632378902E-2</v>
      </c>
      <c r="D55">
        <f t="shared" si="0"/>
        <v>12.160880934207873</v>
      </c>
      <c r="F55" s="3">
        <v>5.4022999999999998E-9</v>
      </c>
      <c r="G55" s="3">
        <v>310.58100000000002</v>
      </c>
      <c r="H55" s="16">
        <v>0</v>
      </c>
      <c r="I55">
        <f t="shared" si="1"/>
        <v>0</v>
      </c>
      <c r="K55" s="3">
        <v>5.4022999999999998E-9</v>
      </c>
      <c r="L55" s="3">
        <v>310.58100000000002</v>
      </c>
      <c r="M55" s="16">
        <v>0</v>
      </c>
      <c r="N55">
        <f t="shared" si="2"/>
        <v>0</v>
      </c>
      <c r="P55" s="3">
        <v>5.4022999999999998E-9</v>
      </c>
      <c r="Q55" s="3">
        <v>310.58100000000002</v>
      </c>
      <c r="R55" s="16">
        <v>0</v>
      </c>
      <c r="S55">
        <f t="shared" si="3"/>
        <v>0</v>
      </c>
      <c r="U55" s="3">
        <v>5.4022999999999998E-9</v>
      </c>
      <c r="V55" s="3">
        <v>310.58100000000002</v>
      </c>
      <c r="W55" s="16">
        <v>0</v>
      </c>
      <c r="X55">
        <f t="shared" si="4"/>
        <v>0</v>
      </c>
      <c r="Z55" s="3">
        <v>5.4022999999999998E-9</v>
      </c>
      <c r="AA55" s="3">
        <v>310.58100000000002</v>
      </c>
      <c r="AB55" s="16">
        <v>0</v>
      </c>
      <c r="AC55">
        <f t="shared" si="5"/>
        <v>0</v>
      </c>
      <c r="AE55" s="3">
        <v>5.4022999999999998E-9</v>
      </c>
      <c r="AF55" s="3">
        <v>310.58100000000002</v>
      </c>
      <c r="AG55" s="16">
        <v>0</v>
      </c>
      <c r="AH55">
        <f t="shared" si="6"/>
        <v>0</v>
      </c>
      <c r="AJ55" s="3">
        <v>5.4022999999999998E-9</v>
      </c>
      <c r="AK55" s="3">
        <v>310.58100000000002</v>
      </c>
      <c r="AL55" s="16">
        <v>5.7858940210438799E-3</v>
      </c>
      <c r="AM55">
        <f t="shared" si="7"/>
        <v>1.7969887509498295</v>
      </c>
      <c r="AO55" s="3">
        <v>5.4022999999999998E-9</v>
      </c>
      <c r="AP55" s="3">
        <v>310.58100000000002</v>
      </c>
      <c r="AQ55" s="17">
        <v>7.6361587253705906E-5</v>
      </c>
      <c r="AR55">
        <f t="shared" si="8"/>
        <v>2.3716458130843235E-2</v>
      </c>
      <c r="AT55" s="3">
        <v>5.4022999999999998E-9</v>
      </c>
      <c r="AU55" s="3">
        <v>310.58100000000002</v>
      </c>
      <c r="AV55" s="16">
        <v>0</v>
      </c>
      <c r="AW55">
        <f t="shared" si="9"/>
        <v>0</v>
      </c>
    </row>
    <row r="56" spans="1:49" x14ac:dyDescent="0.3">
      <c r="A56" s="3">
        <v>6.0972E-9</v>
      </c>
      <c r="B56" s="16">
        <v>293.21800000000002</v>
      </c>
      <c r="C56" s="16">
        <v>3.6379733680719298E-2</v>
      </c>
      <c r="D56">
        <f t="shared" si="0"/>
        <v>10.667192750393152</v>
      </c>
      <c r="F56" s="3">
        <v>6.0972E-9</v>
      </c>
      <c r="G56" s="3">
        <v>293.21800000000002</v>
      </c>
      <c r="H56" s="16">
        <v>0</v>
      </c>
      <c r="I56">
        <f t="shared" si="1"/>
        <v>0</v>
      </c>
      <c r="K56" s="3">
        <v>6.0972E-9</v>
      </c>
      <c r="L56" s="3">
        <v>293.21800000000002</v>
      </c>
      <c r="M56" s="16">
        <v>0</v>
      </c>
      <c r="N56">
        <f t="shared" si="2"/>
        <v>0</v>
      </c>
      <c r="P56" s="3">
        <v>6.0972E-9</v>
      </c>
      <c r="Q56" s="3">
        <v>293.21800000000002</v>
      </c>
      <c r="R56" s="16">
        <v>0</v>
      </c>
      <c r="S56">
        <f t="shared" si="3"/>
        <v>0</v>
      </c>
      <c r="U56" s="3">
        <v>6.0972E-9</v>
      </c>
      <c r="V56" s="3">
        <v>293.21800000000002</v>
      </c>
      <c r="W56" s="16">
        <v>0</v>
      </c>
      <c r="X56">
        <f t="shared" si="4"/>
        <v>0</v>
      </c>
      <c r="Z56" s="3">
        <v>6.0972E-9</v>
      </c>
      <c r="AA56" s="3">
        <v>293.21800000000002</v>
      </c>
      <c r="AB56" s="16">
        <v>0</v>
      </c>
      <c r="AC56">
        <f t="shared" si="5"/>
        <v>0</v>
      </c>
      <c r="AE56" s="3">
        <v>6.0972E-9</v>
      </c>
      <c r="AF56" s="3">
        <v>293.21800000000002</v>
      </c>
      <c r="AG56" s="16">
        <v>0</v>
      </c>
      <c r="AH56">
        <f t="shared" si="6"/>
        <v>0</v>
      </c>
      <c r="AJ56" s="3">
        <v>6.0972E-9</v>
      </c>
      <c r="AK56" s="3">
        <v>293.21800000000002</v>
      </c>
      <c r="AL56" s="16">
        <v>5.3739671452656601E-3</v>
      </c>
      <c r="AM56">
        <f t="shared" si="7"/>
        <v>1.5757438984005063</v>
      </c>
      <c r="AO56" s="3">
        <v>6.0972E-9</v>
      </c>
      <c r="AP56" s="3">
        <v>293.21800000000002</v>
      </c>
      <c r="AQ56" s="17">
        <v>7.0926102878619704E-5</v>
      </c>
      <c r="AR56">
        <f t="shared" si="8"/>
        <v>2.0796810033863113E-2</v>
      </c>
      <c r="AT56" s="3">
        <v>6.0972E-9</v>
      </c>
      <c r="AU56" s="3">
        <v>293.21800000000002</v>
      </c>
      <c r="AV56" s="16">
        <v>0</v>
      </c>
      <c r="AW56">
        <f t="shared" si="9"/>
        <v>0</v>
      </c>
    </row>
    <row r="57" spans="1:49" x14ac:dyDescent="0.3">
      <c r="A57" s="3">
        <v>6.8815000000000003E-9</v>
      </c>
      <c r="B57" s="16">
        <v>342.36</v>
      </c>
      <c r="C57" s="16">
        <v>3.4647195145354803E-2</v>
      </c>
      <c r="D57">
        <f t="shared" si="0"/>
        <v>11.861813729963671</v>
      </c>
      <c r="F57" s="3">
        <v>6.8815000000000003E-9</v>
      </c>
      <c r="G57" s="3">
        <v>342.36</v>
      </c>
      <c r="H57" s="16">
        <v>0</v>
      </c>
      <c r="I57">
        <f t="shared" si="1"/>
        <v>0</v>
      </c>
      <c r="K57" s="3">
        <v>6.8815000000000003E-9</v>
      </c>
      <c r="L57" s="3">
        <v>342.36</v>
      </c>
      <c r="M57" s="16">
        <v>0</v>
      </c>
      <c r="N57">
        <f t="shared" si="2"/>
        <v>0</v>
      </c>
      <c r="P57" s="3">
        <v>6.8815000000000003E-9</v>
      </c>
      <c r="Q57" s="3">
        <v>342.36</v>
      </c>
      <c r="R57" s="16">
        <v>0</v>
      </c>
      <c r="S57">
        <f t="shared" si="3"/>
        <v>0</v>
      </c>
      <c r="U57" s="3">
        <v>6.8815000000000003E-9</v>
      </c>
      <c r="V57" s="3">
        <v>342.36</v>
      </c>
      <c r="W57" s="16">
        <v>0</v>
      </c>
      <c r="X57">
        <f t="shared" si="4"/>
        <v>0</v>
      </c>
      <c r="Z57" s="3">
        <v>6.8815000000000003E-9</v>
      </c>
      <c r="AA57" s="3">
        <v>342.36</v>
      </c>
      <c r="AB57" s="16">
        <v>0</v>
      </c>
      <c r="AC57">
        <f t="shared" si="5"/>
        <v>0</v>
      </c>
      <c r="AE57" s="3">
        <v>6.8815000000000003E-9</v>
      </c>
      <c r="AF57" s="3">
        <v>342.36</v>
      </c>
      <c r="AG57" s="16">
        <v>0</v>
      </c>
      <c r="AH57">
        <f t="shared" si="6"/>
        <v>0</v>
      </c>
      <c r="AJ57" s="3">
        <v>6.8815000000000003E-9</v>
      </c>
      <c r="AK57" s="3">
        <v>342.36</v>
      </c>
      <c r="AL57" s="16">
        <v>5.1168130325698396E-3</v>
      </c>
      <c r="AM57">
        <f t="shared" si="7"/>
        <v>1.7517921098306104</v>
      </c>
      <c r="AO57" s="3">
        <v>6.8815000000000003E-9</v>
      </c>
      <c r="AP57" s="3">
        <v>342.36</v>
      </c>
      <c r="AQ57" s="17">
        <v>6.7532652783780105E-5</v>
      </c>
      <c r="AR57">
        <f t="shared" si="8"/>
        <v>2.3120479007054957E-2</v>
      </c>
      <c r="AT57" s="3">
        <v>6.8815000000000003E-9</v>
      </c>
      <c r="AU57" s="3">
        <v>342.36</v>
      </c>
      <c r="AV57" s="16">
        <v>0</v>
      </c>
      <c r="AW57">
        <f t="shared" si="9"/>
        <v>0</v>
      </c>
    </row>
    <row r="58" spans="1:49" x14ac:dyDescent="0.3">
      <c r="A58" s="3">
        <v>7.7665999999999992E-9</v>
      </c>
      <c r="B58" s="16">
        <v>568.96299999999997</v>
      </c>
      <c r="C58" s="16">
        <v>3.2997609646870901E-2</v>
      </c>
      <c r="D58">
        <f t="shared" si="0"/>
        <v>18.774418977512607</v>
      </c>
      <c r="F58" s="3">
        <v>7.7665999999999992E-9</v>
      </c>
      <c r="G58" s="3">
        <v>568.96299999999997</v>
      </c>
      <c r="H58" s="16">
        <v>0</v>
      </c>
      <c r="I58">
        <f t="shared" si="1"/>
        <v>0</v>
      </c>
      <c r="K58" s="3">
        <v>7.7665999999999992E-9</v>
      </c>
      <c r="L58" s="3">
        <v>568.96299999999997</v>
      </c>
      <c r="M58" s="16">
        <v>0</v>
      </c>
      <c r="N58">
        <f t="shared" si="2"/>
        <v>0</v>
      </c>
      <c r="P58" s="3">
        <v>7.7665999999999992E-9</v>
      </c>
      <c r="Q58" s="3">
        <v>568.96299999999997</v>
      </c>
      <c r="R58" s="16">
        <v>0</v>
      </c>
      <c r="S58">
        <f t="shared" si="3"/>
        <v>0</v>
      </c>
      <c r="U58" s="3">
        <v>7.7665999999999992E-9</v>
      </c>
      <c r="V58" s="3">
        <v>568.96299999999997</v>
      </c>
      <c r="W58" s="16">
        <v>0</v>
      </c>
      <c r="X58">
        <f t="shared" si="4"/>
        <v>0</v>
      </c>
      <c r="Z58" s="3">
        <v>7.7665999999999992E-9</v>
      </c>
      <c r="AA58" s="3">
        <v>568.96299999999997</v>
      </c>
      <c r="AB58" s="16">
        <v>0</v>
      </c>
      <c r="AC58">
        <f t="shared" si="5"/>
        <v>0</v>
      </c>
      <c r="AE58" s="3">
        <v>7.7665999999999992E-9</v>
      </c>
      <c r="AF58" s="3">
        <v>568.96299999999997</v>
      </c>
      <c r="AG58" s="16">
        <v>0</v>
      </c>
      <c r="AH58">
        <f t="shared" si="6"/>
        <v>0</v>
      </c>
      <c r="AJ58" s="3">
        <v>7.7665999999999992E-9</v>
      </c>
      <c r="AK58" s="3">
        <v>568.96299999999997</v>
      </c>
      <c r="AL58" s="16">
        <v>4.8719701668931198E-3</v>
      </c>
      <c r="AM58">
        <f t="shared" si="7"/>
        <v>2.7719707620660099</v>
      </c>
      <c r="AO58" s="3">
        <v>7.7665999999999992E-9</v>
      </c>
      <c r="AP58" s="3">
        <v>568.96299999999997</v>
      </c>
      <c r="AQ58" s="17">
        <v>6.4301679528231895E-5</v>
      </c>
      <c r="AR58">
        <f t="shared" si="8"/>
        <v>3.6585276489421399E-2</v>
      </c>
      <c r="AT58" s="3">
        <v>7.7665999999999992E-9</v>
      </c>
      <c r="AU58" s="3">
        <v>568.96299999999997</v>
      </c>
      <c r="AV58" s="16">
        <v>0</v>
      </c>
      <c r="AW58">
        <f t="shared" si="9"/>
        <v>0</v>
      </c>
    </row>
    <row r="59" spans="1:49" x14ac:dyDescent="0.3">
      <c r="A59" s="3">
        <v>8.7655E-9</v>
      </c>
      <c r="B59" s="16">
        <v>636.67899999999997</v>
      </c>
      <c r="C59" s="16">
        <v>3.0679841011876301E-2</v>
      </c>
      <c r="D59">
        <f t="shared" si="0"/>
        <v>19.53321049560039</v>
      </c>
      <c r="F59" s="3">
        <v>8.7655E-9</v>
      </c>
      <c r="G59" s="3">
        <v>636.67899999999997</v>
      </c>
      <c r="H59" s="16">
        <v>0</v>
      </c>
      <c r="I59">
        <f t="shared" si="1"/>
        <v>0</v>
      </c>
      <c r="K59" s="3">
        <v>8.7655E-9</v>
      </c>
      <c r="L59" s="3">
        <v>636.67899999999997</v>
      </c>
      <c r="M59" s="16">
        <v>0</v>
      </c>
      <c r="N59">
        <f t="shared" si="2"/>
        <v>0</v>
      </c>
      <c r="P59" s="3">
        <v>8.7655E-9</v>
      </c>
      <c r="Q59" s="3">
        <v>636.67899999999997</v>
      </c>
      <c r="R59" s="16">
        <v>0</v>
      </c>
      <c r="S59">
        <f t="shared" si="3"/>
        <v>0</v>
      </c>
      <c r="U59" s="3">
        <v>8.7655E-9</v>
      </c>
      <c r="V59" s="3">
        <v>636.67899999999997</v>
      </c>
      <c r="W59" s="16">
        <v>0</v>
      </c>
      <c r="X59">
        <f t="shared" si="4"/>
        <v>0</v>
      </c>
      <c r="Z59" s="3">
        <v>8.7655E-9</v>
      </c>
      <c r="AA59" s="3">
        <v>636.67899999999997</v>
      </c>
      <c r="AB59" s="16">
        <v>0</v>
      </c>
      <c r="AC59">
        <f t="shared" si="5"/>
        <v>0</v>
      </c>
      <c r="AE59" s="3">
        <v>8.7655E-9</v>
      </c>
      <c r="AF59" s="3">
        <v>636.67899999999997</v>
      </c>
      <c r="AG59" s="16">
        <v>0</v>
      </c>
      <c r="AH59">
        <f t="shared" si="6"/>
        <v>0</v>
      </c>
      <c r="AJ59" s="3">
        <v>8.7655E-9</v>
      </c>
      <c r="AK59" s="3">
        <v>636.67899999999997</v>
      </c>
      <c r="AL59" s="16">
        <v>4.5278409167672203E-3</v>
      </c>
      <c r="AM59">
        <f t="shared" si="7"/>
        <v>2.8827812270464368</v>
      </c>
      <c r="AO59" s="3">
        <v>8.7655E-9</v>
      </c>
      <c r="AP59" s="3">
        <v>636.67899999999997</v>
      </c>
      <c r="AQ59" s="17">
        <v>5.9760828654561002E-5</v>
      </c>
      <c r="AR59">
        <f t="shared" si="8"/>
        <v>3.804846462695724E-2</v>
      </c>
      <c r="AT59" s="3">
        <v>8.7655E-9</v>
      </c>
      <c r="AU59" s="3">
        <v>636.67899999999997</v>
      </c>
      <c r="AV59" s="16">
        <v>0</v>
      </c>
      <c r="AW59">
        <f t="shared" si="9"/>
        <v>0</v>
      </c>
    </row>
    <row r="60" spans="1:49" x14ac:dyDescent="0.3">
      <c r="A60" s="3">
        <v>9.8929999999999996E-9</v>
      </c>
      <c r="B60" s="16">
        <v>913.44299999999998</v>
      </c>
      <c r="C60" s="16">
        <v>2.8509564306679998E-2</v>
      </c>
      <c r="D60">
        <f t="shared" si="0"/>
        <v>26.041861948986696</v>
      </c>
      <c r="F60" s="3">
        <v>9.8929999999999996E-9</v>
      </c>
      <c r="G60" s="3">
        <v>913.44299999999998</v>
      </c>
      <c r="H60" s="16">
        <v>0</v>
      </c>
      <c r="I60">
        <f t="shared" si="1"/>
        <v>0</v>
      </c>
      <c r="K60" s="3">
        <v>9.8929999999999996E-9</v>
      </c>
      <c r="L60" s="3">
        <v>913.44299999999998</v>
      </c>
      <c r="M60" s="16">
        <v>0</v>
      </c>
      <c r="N60">
        <f t="shared" si="2"/>
        <v>0</v>
      </c>
      <c r="P60" s="3">
        <v>9.8929999999999996E-9</v>
      </c>
      <c r="Q60" s="3">
        <v>913.44299999999998</v>
      </c>
      <c r="R60" s="16">
        <v>0</v>
      </c>
      <c r="S60">
        <f t="shared" si="3"/>
        <v>0</v>
      </c>
      <c r="U60" s="3">
        <v>9.8929999999999996E-9</v>
      </c>
      <c r="V60" s="3">
        <v>913.44299999999998</v>
      </c>
      <c r="W60" s="16">
        <v>0</v>
      </c>
      <c r="X60">
        <f t="shared" si="4"/>
        <v>0</v>
      </c>
      <c r="Z60" s="3">
        <v>9.8929999999999996E-9</v>
      </c>
      <c r="AA60" s="3">
        <v>913.44299999999998</v>
      </c>
      <c r="AB60" s="16">
        <v>0</v>
      </c>
      <c r="AC60">
        <f t="shared" si="5"/>
        <v>0</v>
      </c>
      <c r="AE60" s="3">
        <v>9.8929999999999996E-9</v>
      </c>
      <c r="AF60" s="3">
        <v>913.44299999999998</v>
      </c>
      <c r="AG60" s="16">
        <v>0</v>
      </c>
      <c r="AH60">
        <f t="shared" si="6"/>
        <v>0</v>
      </c>
      <c r="AJ60" s="3">
        <v>9.8929999999999996E-9</v>
      </c>
      <c r="AK60" s="3">
        <v>913.44299999999998</v>
      </c>
      <c r="AL60" s="16">
        <v>4.2054964966572001E-3</v>
      </c>
      <c r="AM60">
        <f t="shared" si="7"/>
        <v>3.8414813363960429</v>
      </c>
      <c r="AO60" s="3">
        <v>9.8929999999999996E-9</v>
      </c>
      <c r="AP60" s="3">
        <v>913.44299999999998</v>
      </c>
      <c r="AQ60" s="17">
        <v>5.5507344905587302E-5</v>
      </c>
      <c r="AR60">
        <f t="shared" si="8"/>
        <v>5.0702795652594383E-2</v>
      </c>
      <c r="AT60" s="3">
        <v>9.8929999999999996E-9</v>
      </c>
      <c r="AU60" s="3">
        <v>913.44299999999998</v>
      </c>
      <c r="AV60" s="16">
        <v>0</v>
      </c>
      <c r="AW60">
        <f t="shared" si="9"/>
        <v>0</v>
      </c>
    </row>
    <row r="61" spans="1:49" x14ac:dyDescent="0.3">
      <c r="A61" s="3">
        <v>1.1164999999999999E-8</v>
      </c>
      <c r="B61" s="16">
        <v>757.88400000000001</v>
      </c>
      <c r="C61" s="16">
        <v>2.71551414458895E-2</v>
      </c>
      <c r="D61">
        <f t="shared" si="0"/>
        <v>20.580447219576516</v>
      </c>
      <c r="F61" s="3">
        <v>1.1164999999999999E-8</v>
      </c>
      <c r="G61" s="3">
        <v>757.88400000000001</v>
      </c>
      <c r="H61" s="16">
        <v>0</v>
      </c>
      <c r="I61">
        <f t="shared" si="1"/>
        <v>0</v>
      </c>
      <c r="K61" s="3">
        <v>1.1164999999999999E-8</v>
      </c>
      <c r="L61" s="3">
        <v>757.88400000000001</v>
      </c>
      <c r="M61" s="16">
        <v>0</v>
      </c>
      <c r="N61">
        <f t="shared" si="2"/>
        <v>0</v>
      </c>
      <c r="P61" s="3">
        <v>1.1164999999999999E-8</v>
      </c>
      <c r="Q61" s="3">
        <v>757.88400000000001</v>
      </c>
      <c r="R61" s="16">
        <v>0</v>
      </c>
      <c r="S61">
        <f t="shared" si="3"/>
        <v>0</v>
      </c>
      <c r="U61" s="3">
        <v>1.1164999999999999E-8</v>
      </c>
      <c r="V61" s="3">
        <v>757.88400000000001</v>
      </c>
      <c r="W61" s="16">
        <v>0</v>
      </c>
      <c r="X61">
        <f t="shared" si="4"/>
        <v>0</v>
      </c>
      <c r="Z61" s="3">
        <v>1.1164999999999999E-8</v>
      </c>
      <c r="AA61" s="3">
        <v>757.88400000000001</v>
      </c>
      <c r="AB61" s="16">
        <v>0</v>
      </c>
      <c r="AC61">
        <f t="shared" si="5"/>
        <v>0</v>
      </c>
      <c r="AE61" s="3">
        <v>1.1164999999999999E-8</v>
      </c>
      <c r="AF61" s="3">
        <v>757.88400000000001</v>
      </c>
      <c r="AG61" s="16">
        <v>0</v>
      </c>
      <c r="AH61">
        <f t="shared" si="6"/>
        <v>0</v>
      </c>
      <c r="AJ61" s="3">
        <v>1.1164999999999999E-8</v>
      </c>
      <c r="AK61" s="3">
        <v>757.88400000000001</v>
      </c>
      <c r="AL61" s="16">
        <v>4.0042575978311498E-3</v>
      </c>
      <c r="AM61">
        <f t="shared" si="7"/>
        <v>3.0347627652746634</v>
      </c>
      <c r="AO61" s="3">
        <v>1.1164999999999999E-8</v>
      </c>
      <c r="AP61" s="3">
        <v>757.88400000000001</v>
      </c>
      <c r="AQ61" s="17">
        <v>5.2852024886080801E-5</v>
      </c>
      <c r="AR61">
        <f t="shared" si="8"/>
        <v>4.0055704028762462E-2</v>
      </c>
      <c r="AT61" s="3">
        <v>1.1164999999999999E-8</v>
      </c>
      <c r="AU61" s="3">
        <v>757.88400000000001</v>
      </c>
      <c r="AV61" s="16">
        <v>0</v>
      </c>
      <c r="AW61">
        <f t="shared" si="9"/>
        <v>0</v>
      </c>
    </row>
    <row r="62" spans="1:49" x14ac:dyDescent="0.3">
      <c r="A62" s="3">
        <v>1.2601999999999999E-8</v>
      </c>
      <c r="B62" s="16">
        <v>1221.73</v>
      </c>
      <c r="C62" s="16">
        <v>2.5866151368500401E-2</v>
      </c>
      <c r="D62">
        <f t="shared" si="0"/>
        <v>31.601453111437994</v>
      </c>
      <c r="F62" s="3">
        <v>1.2601999999999999E-8</v>
      </c>
      <c r="G62" s="3">
        <v>1221.73</v>
      </c>
      <c r="H62" s="16">
        <v>0</v>
      </c>
      <c r="I62">
        <f t="shared" si="1"/>
        <v>0</v>
      </c>
      <c r="K62" s="3">
        <v>1.2601999999999999E-8</v>
      </c>
      <c r="L62" s="3">
        <v>1221.73</v>
      </c>
      <c r="M62" s="16">
        <v>0</v>
      </c>
      <c r="N62">
        <f t="shared" si="2"/>
        <v>0</v>
      </c>
      <c r="P62" s="3">
        <v>1.2601999999999999E-8</v>
      </c>
      <c r="Q62" s="3">
        <v>1221.73</v>
      </c>
      <c r="R62" s="16">
        <v>0</v>
      </c>
      <c r="S62">
        <f t="shared" si="3"/>
        <v>0</v>
      </c>
      <c r="U62" s="3">
        <v>1.2601999999999999E-8</v>
      </c>
      <c r="V62" s="3">
        <v>1221.73</v>
      </c>
      <c r="W62" s="16">
        <v>0</v>
      </c>
      <c r="X62">
        <f t="shared" si="4"/>
        <v>0</v>
      </c>
      <c r="Z62" s="3">
        <v>1.2601999999999999E-8</v>
      </c>
      <c r="AA62" s="3">
        <v>1221.73</v>
      </c>
      <c r="AB62" s="16">
        <v>0</v>
      </c>
      <c r="AC62">
        <f t="shared" si="5"/>
        <v>0</v>
      </c>
      <c r="AE62" s="3">
        <v>1.2601999999999999E-8</v>
      </c>
      <c r="AF62" s="3">
        <v>1221.73</v>
      </c>
      <c r="AG62" s="16">
        <v>0</v>
      </c>
      <c r="AH62">
        <f t="shared" si="6"/>
        <v>0</v>
      </c>
      <c r="AJ62" s="3">
        <v>1.2601999999999999E-8</v>
      </c>
      <c r="AK62" s="3">
        <v>1221.73</v>
      </c>
      <c r="AL62" s="16">
        <v>3.8126540141482299E-3</v>
      </c>
      <c r="AM62">
        <f t="shared" si="7"/>
        <v>4.6580337887053167</v>
      </c>
      <c r="AO62" s="3">
        <v>1.2601999999999999E-8</v>
      </c>
      <c r="AP62" s="3">
        <v>1221.73</v>
      </c>
      <c r="AQ62" s="17">
        <v>5.0323984517263598E-5</v>
      </c>
      <c r="AR62">
        <f t="shared" si="8"/>
        <v>6.1482321604276455E-2</v>
      </c>
      <c r="AT62" s="3">
        <v>1.2601999999999999E-8</v>
      </c>
      <c r="AU62" s="3">
        <v>1221.73</v>
      </c>
      <c r="AV62" s="16">
        <v>0</v>
      </c>
      <c r="AW62">
        <f t="shared" si="9"/>
        <v>0</v>
      </c>
    </row>
    <row r="63" spans="1:49" x14ac:dyDescent="0.3">
      <c r="A63" s="3">
        <v>1.4222999999999999E-8</v>
      </c>
      <c r="B63" s="16">
        <v>1417.48</v>
      </c>
      <c r="C63" s="16">
        <v>2.4055397415818601E-2</v>
      </c>
      <c r="D63">
        <f t="shared" si="0"/>
        <v>34.09804472897455</v>
      </c>
      <c r="F63" s="3">
        <v>1.4222999999999999E-8</v>
      </c>
      <c r="G63" s="3">
        <v>1417.48</v>
      </c>
      <c r="H63" s="16">
        <v>0</v>
      </c>
      <c r="I63">
        <f t="shared" si="1"/>
        <v>0</v>
      </c>
      <c r="K63" s="3">
        <v>1.4222999999999999E-8</v>
      </c>
      <c r="L63" s="3">
        <v>1417.48</v>
      </c>
      <c r="M63" s="16">
        <v>0</v>
      </c>
      <c r="N63">
        <f t="shared" si="2"/>
        <v>0</v>
      </c>
      <c r="P63" s="3">
        <v>1.4222999999999999E-8</v>
      </c>
      <c r="Q63" s="3">
        <v>1417.48</v>
      </c>
      <c r="R63" s="16">
        <v>0</v>
      </c>
      <c r="S63">
        <f t="shared" si="3"/>
        <v>0</v>
      </c>
      <c r="U63" s="3">
        <v>1.4222999999999999E-8</v>
      </c>
      <c r="V63" s="3">
        <v>1417.48</v>
      </c>
      <c r="W63" s="16">
        <v>0</v>
      </c>
      <c r="X63">
        <f t="shared" si="4"/>
        <v>0</v>
      </c>
      <c r="Z63" s="3">
        <v>1.4222999999999999E-8</v>
      </c>
      <c r="AA63" s="3">
        <v>1417.48</v>
      </c>
      <c r="AB63" s="16">
        <v>0</v>
      </c>
      <c r="AC63">
        <f t="shared" si="5"/>
        <v>0</v>
      </c>
      <c r="AE63" s="3">
        <v>1.4222999999999999E-8</v>
      </c>
      <c r="AF63" s="3">
        <v>1417.48</v>
      </c>
      <c r="AG63" s="16">
        <v>0</v>
      </c>
      <c r="AH63">
        <f t="shared" si="6"/>
        <v>0</v>
      </c>
      <c r="AJ63" s="3">
        <v>1.4222999999999999E-8</v>
      </c>
      <c r="AK63" s="3">
        <v>1417.48</v>
      </c>
      <c r="AL63" s="16">
        <v>3.5433675399891302E-3</v>
      </c>
      <c r="AM63">
        <f t="shared" si="7"/>
        <v>5.0226526205837922</v>
      </c>
      <c r="AO63" s="3">
        <v>1.4222999999999999E-8</v>
      </c>
      <c r="AP63" s="3">
        <v>1417.48</v>
      </c>
      <c r="AQ63" s="17">
        <v>4.6771274036398997E-5</v>
      </c>
      <c r="AR63">
        <f t="shared" si="8"/>
        <v>6.6297345521114853E-2</v>
      </c>
      <c r="AT63" s="3">
        <v>1.4222999999999999E-8</v>
      </c>
      <c r="AU63" s="3">
        <v>1417.48</v>
      </c>
      <c r="AV63" s="16">
        <v>0</v>
      </c>
      <c r="AW63">
        <f t="shared" si="9"/>
        <v>0</v>
      </c>
    </row>
    <row r="64" spans="1:49" x14ac:dyDescent="0.3">
      <c r="A64" s="3">
        <v>1.6052E-8</v>
      </c>
      <c r="B64" s="16">
        <v>1678.14</v>
      </c>
      <c r="C64" s="16">
        <v>2.2360491669814801E-2</v>
      </c>
      <c r="D64">
        <f t="shared" si="0"/>
        <v>37.524035490783014</v>
      </c>
      <c r="F64" s="3">
        <v>1.6052E-8</v>
      </c>
      <c r="G64" s="3">
        <v>1678.14</v>
      </c>
      <c r="H64" s="16">
        <v>0</v>
      </c>
      <c r="I64">
        <f t="shared" si="1"/>
        <v>0</v>
      </c>
      <c r="K64" s="3">
        <v>1.6052E-8</v>
      </c>
      <c r="L64" s="3">
        <v>1678.14</v>
      </c>
      <c r="M64" s="16">
        <v>0</v>
      </c>
      <c r="N64">
        <f t="shared" si="2"/>
        <v>0</v>
      </c>
      <c r="P64" s="3">
        <v>1.6052E-8</v>
      </c>
      <c r="Q64" s="3">
        <v>1678.14</v>
      </c>
      <c r="R64" s="16">
        <v>0</v>
      </c>
      <c r="S64">
        <f t="shared" si="3"/>
        <v>0</v>
      </c>
      <c r="U64" s="3">
        <v>1.6052E-8</v>
      </c>
      <c r="V64" s="3">
        <v>1678.14</v>
      </c>
      <c r="W64" s="16">
        <v>0</v>
      </c>
      <c r="X64">
        <f t="shared" si="4"/>
        <v>0</v>
      </c>
      <c r="Z64" s="3">
        <v>1.6052E-8</v>
      </c>
      <c r="AA64" s="3">
        <v>1678.14</v>
      </c>
      <c r="AB64" s="16">
        <v>0</v>
      </c>
      <c r="AC64">
        <f t="shared" si="5"/>
        <v>0</v>
      </c>
      <c r="AE64" s="3">
        <v>1.6052E-8</v>
      </c>
      <c r="AF64" s="3">
        <v>1678.14</v>
      </c>
      <c r="AG64" s="16">
        <v>0</v>
      </c>
      <c r="AH64">
        <f t="shared" si="6"/>
        <v>0</v>
      </c>
      <c r="AJ64" s="3">
        <v>1.6052E-8</v>
      </c>
      <c r="AK64" s="3">
        <v>1678.14</v>
      </c>
      <c r="AL64" s="16">
        <v>3.2911217528863099E-3</v>
      </c>
      <c r="AM64">
        <f t="shared" si="7"/>
        <v>5.5229630583886324</v>
      </c>
      <c r="AO64" s="3">
        <v>1.6052E-8</v>
      </c>
      <c r="AP64" s="3">
        <v>1678.14</v>
      </c>
      <c r="AQ64" s="17">
        <v>4.3443899081520101E-5</v>
      </c>
      <c r="AR64">
        <f t="shared" si="8"/>
        <v>7.2904944804662142E-2</v>
      </c>
      <c r="AT64" s="3">
        <v>1.6052E-8</v>
      </c>
      <c r="AU64" s="3">
        <v>1678.14</v>
      </c>
      <c r="AV64" s="16">
        <v>0</v>
      </c>
      <c r="AW64">
        <f t="shared" si="9"/>
        <v>0</v>
      </c>
    </row>
    <row r="65" spans="1:49" x14ac:dyDescent="0.3">
      <c r="A65" s="3">
        <v>1.8116999999999999E-8</v>
      </c>
      <c r="B65" s="16">
        <v>1770.65</v>
      </c>
      <c r="C65" s="16">
        <v>2.13031980057816E-2</v>
      </c>
      <c r="D65">
        <f t="shared" si="0"/>
        <v>37.720507548937192</v>
      </c>
      <c r="F65" s="3">
        <v>1.8116999999999999E-8</v>
      </c>
      <c r="G65" s="3">
        <v>1770.65</v>
      </c>
      <c r="H65" s="16">
        <v>0</v>
      </c>
      <c r="I65">
        <f t="shared" si="1"/>
        <v>0</v>
      </c>
      <c r="K65" s="3">
        <v>1.8116999999999999E-8</v>
      </c>
      <c r="L65" s="3">
        <v>1770.65</v>
      </c>
      <c r="M65" s="16">
        <v>0</v>
      </c>
      <c r="N65">
        <f t="shared" si="2"/>
        <v>0</v>
      </c>
      <c r="P65" s="3">
        <v>1.8116999999999999E-8</v>
      </c>
      <c r="Q65" s="3">
        <v>1770.65</v>
      </c>
      <c r="R65" s="16">
        <v>0</v>
      </c>
      <c r="S65">
        <f t="shared" si="3"/>
        <v>0</v>
      </c>
      <c r="U65" s="3">
        <v>1.8116999999999999E-8</v>
      </c>
      <c r="V65" s="3">
        <v>1770.65</v>
      </c>
      <c r="W65" s="16">
        <v>0</v>
      </c>
      <c r="X65">
        <f t="shared" si="4"/>
        <v>0</v>
      </c>
      <c r="Z65" s="3">
        <v>1.8116999999999999E-8</v>
      </c>
      <c r="AA65" s="3">
        <v>1770.65</v>
      </c>
      <c r="AB65" s="16">
        <v>0</v>
      </c>
      <c r="AC65">
        <f t="shared" si="5"/>
        <v>0</v>
      </c>
      <c r="AE65" s="3">
        <v>1.8116999999999999E-8</v>
      </c>
      <c r="AF65" s="3">
        <v>1770.65</v>
      </c>
      <c r="AG65" s="16">
        <v>0</v>
      </c>
      <c r="AH65">
        <f t="shared" si="6"/>
        <v>0</v>
      </c>
      <c r="AJ65" s="3">
        <v>1.8116999999999999E-8</v>
      </c>
      <c r="AK65" s="3">
        <v>1770.65</v>
      </c>
      <c r="AL65" s="16">
        <v>3.1336485530572798E-3</v>
      </c>
      <c r="AM65">
        <f t="shared" si="7"/>
        <v>5.5485948104708731</v>
      </c>
      <c r="AO65" s="3">
        <v>1.8116999999999999E-8</v>
      </c>
      <c r="AP65" s="3">
        <v>1770.65</v>
      </c>
      <c r="AQ65" s="17">
        <v>4.1366713562003698E-5</v>
      </c>
      <c r="AR65">
        <f t="shared" si="8"/>
        <v>7.3245971368561855E-2</v>
      </c>
      <c r="AT65" s="3">
        <v>1.8116999999999999E-8</v>
      </c>
      <c r="AU65" s="3">
        <v>1770.65</v>
      </c>
      <c r="AV65" s="16">
        <v>0</v>
      </c>
      <c r="AW65">
        <f t="shared" si="9"/>
        <v>0</v>
      </c>
    </row>
    <row r="66" spans="1:49" x14ac:dyDescent="0.3">
      <c r="A66" s="3">
        <v>2.0447000000000001E-8</v>
      </c>
      <c r="B66" s="16">
        <v>2184.0100000000002</v>
      </c>
      <c r="C66" s="16">
        <v>2.0297034877411899E-2</v>
      </c>
      <c r="D66">
        <f t="shared" si="0"/>
        <v>44.328927142616365</v>
      </c>
      <c r="F66" s="3">
        <v>2.0447000000000001E-8</v>
      </c>
      <c r="G66" s="3">
        <v>2184.0100000000002</v>
      </c>
      <c r="H66" s="16">
        <v>0</v>
      </c>
      <c r="I66">
        <f t="shared" si="1"/>
        <v>0</v>
      </c>
      <c r="K66" s="3">
        <v>2.0447000000000001E-8</v>
      </c>
      <c r="L66" s="3">
        <v>2184.0100000000002</v>
      </c>
      <c r="M66" s="16">
        <v>0</v>
      </c>
      <c r="N66">
        <f t="shared" si="2"/>
        <v>0</v>
      </c>
      <c r="P66" s="3">
        <v>2.0447000000000001E-8</v>
      </c>
      <c r="Q66" s="3">
        <v>2184.0100000000002</v>
      </c>
      <c r="R66" s="16">
        <v>0</v>
      </c>
      <c r="S66">
        <f t="shared" si="3"/>
        <v>0</v>
      </c>
      <c r="U66" s="3">
        <v>2.0447000000000001E-8</v>
      </c>
      <c r="V66" s="3">
        <v>2184.0100000000002</v>
      </c>
      <c r="W66" s="16">
        <v>0</v>
      </c>
      <c r="X66">
        <f t="shared" si="4"/>
        <v>0</v>
      </c>
      <c r="Z66" s="3">
        <v>2.0447000000000001E-8</v>
      </c>
      <c r="AA66" s="3">
        <v>2184.0100000000002</v>
      </c>
      <c r="AB66" s="16">
        <v>0</v>
      </c>
      <c r="AC66">
        <f t="shared" si="5"/>
        <v>0</v>
      </c>
      <c r="AE66" s="3">
        <v>2.0447000000000001E-8</v>
      </c>
      <c r="AF66" s="3">
        <v>2184.0100000000002</v>
      </c>
      <c r="AG66" s="16">
        <v>0</v>
      </c>
      <c r="AH66">
        <f t="shared" si="6"/>
        <v>0</v>
      </c>
      <c r="AJ66" s="3">
        <v>2.0447000000000001E-8</v>
      </c>
      <c r="AK66" s="3">
        <v>2184.0100000000002</v>
      </c>
      <c r="AL66" s="16">
        <v>2.9837081504688399E-3</v>
      </c>
      <c r="AM66">
        <f t="shared" si="7"/>
        <v>6.5164484377054519</v>
      </c>
      <c r="AO66" s="3">
        <v>2.0447000000000001E-8</v>
      </c>
      <c r="AP66" s="3">
        <v>2184.0100000000002</v>
      </c>
      <c r="AQ66" s="17">
        <v>3.9388870499090301E-5</v>
      </c>
      <c r="AR66">
        <f t="shared" si="8"/>
        <v>8.6025687058718214E-2</v>
      </c>
      <c r="AT66" s="3">
        <v>2.0447000000000001E-8</v>
      </c>
      <c r="AU66" s="3">
        <v>2184.0100000000002</v>
      </c>
      <c r="AV66" s="16">
        <v>0</v>
      </c>
      <c r="AW66">
        <f t="shared" si="9"/>
        <v>0</v>
      </c>
    </row>
    <row r="67" spans="1:49" x14ac:dyDescent="0.3">
      <c r="A67" s="3">
        <v>2.3076999999999999E-8</v>
      </c>
      <c r="B67" s="16">
        <v>2661</v>
      </c>
      <c r="C67" s="16">
        <v>1.93396781694481E-2</v>
      </c>
      <c r="D67">
        <f t="shared" si="0"/>
        <v>51.462883608901393</v>
      </c>
      <c r="F67" s="3">
        <v>2.3076999999999999E-8</v>
      </c>
      <c r="G67" s="3">
        <v>2661</v>
      </c>
      <c r="H67" s="16">
        <v>0</v>
      </c>
      <c r="I67">
        <f t="shared" si="1"/>
        <v>0</v>
      </c>
      <c r="K67" s="3">
        <v>2.3076999999999999E-8</v>
      </c>
      <c r="L67" s="3">
        <v>2661</v>
      </c>
      <c r="M67" s="16">
        <v>0</v>
      </c>
      <c r="N67">
        <f t="shared" si="2"/>
        <v>0</v>
      </c>
      <c r="P67" s="3">
        <v>2.3076999999999999E-8</v>
      </c>
      <c r="Q67" s="3">
        <v>2661</v>
      </c>
      <c r="R67" s="16">
        <v>0</v>
      </c>
      <c r="S67">
        <f t="shared" si="3"/>
        <v>0</v>
      </c>
      <c r="U67" s="3">
        <v>2.3076999999999999E-8</v>
      </c>
      <c r="V67" s="3">
        <v>2661</v>
      </c>
      <c r="W67" s="16">
        <v>0</v>
      </c>
      <c r="X67">
        <f t="shared" si="4"/>
        <v>0</v>
      </c>
      <c r="Z67" s="3">
        <v>2.3076999999999999E-8</v>
      </c>
      <c r="AA67" s="3">
        <v>2661</v>
      </c>
      <c r="AB67" s="16">
        <v>0</v>
      </c>
      <c r="AC67">
        <f t="shared" si="5"/>
        <v>0</v>
      </c>
      <c r="AE67" s="3">
        <v>2.3076999999999999E-8</v>
      </c>
      <c r="AF67" s="3">
        <v>2661</v>
      </c>
      <c r="AG67" s="16">
        <v>0</v>
      </c>
      <c r="AH67">
        <f t="shared" si="6"/>
        <v>0</v>
      </c>
      <c r="AJ67" s="3">
        <v>2.3076999999999999E-8</v>
      </c>
      <c r="AK67" s="3">
        <v>2661</v>
      </c>
      <c r="AL67" s="16">
        <v>2.84093787303522E-3</v>
      </c>
      <c r="AM67">
        <f t="shared" si="7"/>
        <v>7.5597356801467201</v>
      </c>
      <c r="AO67" s="3">
        <v>2.3076999999999999E-8</v>
      </c>
      <c r="AP67" s="3">
        <v>2661</v>
      </c>
      <c r="AQ67" s="17">
        <v>3.7505499263547802E-5</v>
      </c>
      <c r="AR67">
        <f t="shared" si="8"/>
        <v>9.9802133540300708E-2</v>
      </c>
      <c r="AT67" s="3">
        <v>2.3076999999999999E-8</v>
      </c>
      <c r="AU67" s="3">
        <v>2661</v>
      </c>
      <c r="AV67" s="16">
        <v>0</v>
      </c>
      <c r="AW67">
        <f t="shared" si="9"/>
        <v>0</v>
      </c>
    </row>
    <row r="68" spans="1:49" x14ac:dyDescent="0.3">
      <c r="A68" s="3">
        <v>2.6044999999999999E-8</v>
      </c>
      <c r="B68" s="16">
        <v>3048.27</v>
      </c>
      <c r="C68" s="16">
        <v>1.7911986085349701E-2</v>
      </c>
      <c r="D68">
        <f t="shared" ref="D68:D131" si="10">B68*C68</f>
        <v>54.600569824388934</v>
      </c>
      <c r="F68" s="3">
        <v>2.6044999999999999E-8</v>
      </c>
      <c r="G68" s="3">
        <v>3048.27</v>
      </c>
      <c r="H68" s="16">
        <v>0</v>
      </c>
      <c r="I68">
        <f t="shared" ref="I68:I131" si="11">G68*H68</f>
        <v>0</v>
      </c>
      <c r="K68" s="3">
        <v>2.6044999999999999E-8</v>
      </c>
      <c r="L68" s="3">
        <v>3048.27</v>
      </c>
      <c r="M68" s="16">
        <v>0</v>
      </c>
      <c r="N68">
        <f t="shared" ref="N68:N131" si="12">L68*M68</f>
        <v>0</v>
      </c>
      <c r="P68" s="3">
        <v>2.6044999999999999E-8</v>
      </c>
      <c r="Q68" s="3">
        <v>3048.27</v>
      </c>
      <c r="R68" s="16">
        <v>0</v>
      </c>
      <c r="S68">
        <f t="shared" ref="S68:S131" si="13">Q68*R68</f>
        <v>0</v>
      </c>
      <c r="U68" s="3">
        <v>2.6044999999999999E-8</v>
      </c>
      <c r="V68" s="3">
        <v>3048.27</v>
      </c>
      <c r="W68" s="16">
        <v>0</v>
      </c>
      <c r="X68">
        <f t="shared" ref="X68:X131" si="14">V68*W68</f>
        <v>0</v>
      </c>
      <c r="Z68" s="3">
        <v>2.6044999999999999E-8</v>
      </c>
      <c r="AA68" s="3">
        <v>3048.27</v>
      </c>
      <c r="AB68" s="16">
        <v>0</v>
      </c>
      <c r="AC68">
        <f t="shared" ref="AC68:AC131" si="15">AA68*AB68</f>
        <v>0</v>
      </c>
      <c r="AE68" s="3">
        <v>2.6044999999999999E-8</v>
      </c>
      <c r="AF68" s="3">
        <v>3048.27</v>
      </c>
      <c r="AG68" s="16">
        <v>0</v>
      </c>
      <c r="AH68">
        <f t="shared" ref="AH68:AH131" si="16">AF68*AG68</f>
        <v>0</v>
      </c>
      <c r="AJ68" s="3">
        <v>2.6044999999999999E-8</v>
      </c>
      <c r="AK68" s="3">
        <v>3048.27</v>
      </c>
      <c r="AL68" s="16">
        <v>2.6278026763332301E-3</v>
      </c>
      <c r="AM68">
        <f t="shared" ref="AM68:AM131" si="17">AK68*AL68</f>
        <v>8.0102520641862949</v>
      </c>
      <c r="AO68" s="3">
        <v>2.6044999999999999E-8</v>
      </c>
      <c r="AP68" s="3">
        <v>3048.27</v>
      </c>
      <c r="AQ68" s="17">
        <v>3.46934307548531E-5</v>
      </c>
      <c r="AR68">
        <f t="shared" ref="AR68:AR131" si="18">AP68*AQ68</f>
        <v>0.10575494416709606</v>
      </c>
      <c r="AT68" s="3">
        <v>2.6044999999999999E-8</v>
      </c>
      <c r="AU68" s="3">
        <v>3048.27</v>
      </c>
      <c r="AV68" s="16">
        <v>0</v>
      </c>
      <c r="AW68">
        <f t="shared" ref="AW68:AW131" si="19">AU68*AV68</f>
        <v>0</v>
      </c>
    </row>
    <row r="69" spans="1:49" x14ac:dyDescent="0.3">
      <c r="A69" s="3">
        <v>2.9395E-8</v>
      </c>
      <c r="B69" s="16">
        <v>3405.76</v>
      </c>
      <c r="C69" s="16">
        <v>1.6815563855213201E-2</v>
      </c>
      <c r="D69">
        <f t="shared" si="10"/>
        <v>57.269774755530918</v>
      </c>
      <c r="F69" s="3">
        <v>2.9395E-8</v>
      </c>
      <c r="G69" s="3">
        <v>3405.76</v>
      </c>
      <c r="H69" s="16">
        <v>0</v>
      </c>
      <c r="I69">
        <f t="shared" si="11"/>
        <v>0</v>
      </c>
      <c r="K69" s="3">
        <v>2.9395E-8</v>
      </c>
      <c r="L69" s="3">
        <v>3405.76</v>
      </c>
      <c r="M69" s="16">
        <v>0</v>
      </c>
      <c r="N69">
        <f t="shared" si="12"/>
        <v>0</v>
      </c>
      <c r="P69" s="3">
        <v>2.9395E-8</v>
      </c>
      <c r="Q69" s="3">
        <v>3405.76</v>
      </c>
      <c r="R69" s="16">
        <v>0</v>
      </c>
      <c r="S69">
        <f t="shared" si="13"/>
        <v>0</v>
      </c>
      <c r="U69" s="3">
        <v>2.9395E-8</v>
      </c>
      <c r="V69" s="3">
        <v>3405.76</v>
      </c>
      <c r="W69" s="16">
        <v>0</v>
      </c>
      <c r="X69">
        <f t="shared" si="14"/>
        <v>0</v>
      </c>
      <c r="Z69" s="3">
        <v>2.9395E-8</v>
      </c>
      <c r="AA69" s="3">
        <v>3405.76</v>
      </c>
      <c r="AB69" s="16">
        <v>0</v>
      </c>
      <c r="AC69">
        <f t="shared" si="15"/>
        <v>0</v>
      </c>
      <c r="AE69" s="3">
        <v>2.9395E-8</v>
      </c>
      <c r="AF69" s="3">
        <v>3405.76</v>
      </c>
      <c r="AG69" s="16">
        <v>0</v>
      </c>
      <c r="AH69">
        <f t="shared" si="16"/>
        <v>0</v>
      </c>
      <c r="AJ69" s="3">
        <v>2.9395E-8</v>
      </c>
      <c r="AK69" s="3">
        <v>3405.76</v>
      </c>
      <c r="AL69" s="16">
        <v>2.46390593307545E-3</v>
      </c>
      <c r="AM69">
        <f t="shared" si="17"/>
        <v>8.3914722706310449</v>
      </c>
      <c r="AO69" s="3">
        <v>2.9395E-8</v>
      </c>
      <c r="AP69" s="3">
        <v>3405.76</v>
      </c>
      <c r="AQ69" s="17">
        <v>3.2530840742888701E-5</v>
      </c>
      <c r="AR69">
        <f t="shared" si="18"/>
        <v>0.11079223616850063</v>
      </c>
      <c r="AT69" s="3">
        <v>2.9395E-8</v>
      </c>
      <c r="AU69" s="3">
        <v>3405.76</v>
      </c>
      <c r="AV69" s="16">
        <v>0</v>
      </c>
      <c r="AW69">
        <f t="shared" si="19"/>
        <v>0</v>
      </c>
    </row>
    <row r="70" spans="1:49" x14ac:dyDescent="0.3">
      <c r="A70" s="3">
        <v>3.3175999999999999E-8</v>
      </c>
      <c r="B70" s="16">
        <v>3762.67</v>
      </c>
      <c r="C70" s="16">
        <v>1.6027974827899801E-2</v>
      </c>
      <c r="D70">
        <f t="shared" si="10"/>
        <v>60.307980045693746</v>
      </c>
      <c r="F70" s="3">
        <v>3.3175999999999999E-8</v>
      </c>
      <c r="G70" s="3">
        <v>3762.67</v>
      </c>
      <c r="H70" s="16">
        <v>0</v>
      </c>
      <c r="I70">
        <f t="shared" si="11"/>
        <v>0</v>
      </c>
      <c r="K70" s="3">
        <v>3.3175999999999999E-8</v>
      </c>
      <c r="L70" s="3">
        <v>3762.67</v>
      </c>
      <c r="M70" s="16">
        <v>0</v>
      </c>
      <c r="N70">
        <f t="shared" si="12"/>
        <v>0</v>
      </c>
      <c r="P70" s="3">
        <v>3.3175999999999999E-8</v>
      </c>
      <c r="Q70" s="3">
        <v>3762.67</v>
      </c>
      <c r="R70" s="16">
        <v>0</v>
      </c>
      <c r="S70">
        <f t="shared" si="13"/>
        <v>0</v>
      </c>
      <c r="U70" s="3">
        <v>3.3175999999999999E-8</v>
      </c>
      <c r="V70" s="3">
        <v>3762.67</v>
      </c>
      <c r="W70" s="16">
        <v>0</v>
      </c>
      <c r="X70">
        <f t="shared" si="14"/>
        <v>0</v>
      </c>
      <c r="Z70" s="3">
        <v>3.3175999999999999E-8</v>
      </c>
      <c r="AA70" s="3">
        <v>3762.67</v>
      </c>
      <c r="AB70" s="16">
        <v>0</v>
      </c>
      <c r="AC70">
        <f t="shared" si="15"/>
        <v>0</v>
      </c>
      <c r="AE70" s="3">
        <v>3.3175999999999999E-8</v>
      </c>
      <c r="AF70" s="3">
        <v>3762.67</v>
      </c>
      <c r="AG70" s="16">
        <v>0</v>
      </c>
      <c r="AH70">
        <f t="shared" si="16"/>
        <v>0</v>
      </c>
      <c r="AJ70" s="3">
        <v>3.3175999999999999E-8</v>
      </c>
      <c r="AK70" s="3">
        <v>3762.67</v>
      </c>
      <c r="AL70" s="16">
        <v>2.3460375052055402E-3</v>
      </c>
      <c r="AM70">
        <f t="shared" si="17"/>
        <v>8.82736493971173</v>
      </c>
      <c r="AO70" s="3">
        <v>3.3175999999999999E-8</v>
      </c>
      <c r="AP70" s="3">
        <v>3762.67</v>
      </c>
      <c r="AQ70" s="17">
        <v>3.0975363943201301E-5</v>
      </c>
      <c r="AR70">
        <f t="shared" si="18"/>
        <v>0.11655007264816523</v>
      </c>
      <c r="AT70" s="3">
        <v>3.3175999999999999E-8</v>
      </c>
      <c r="AU70" s="3">
        <v>3762.67</v>
      </c>
      <c r="AV70" s="16">
        <v>0</v>
      </c>
      <c r="AW70">
        <f t="shared" si="19"/>
        <v>0</v>
      </c>
    </row>
    <row r="71" spans="1:49" x14ac:dyDescent="0.3">
      <c r="A71" s="3">
        <v>3.7443E-8</v>
      </c>
      <c r="B71" s="16">
        <v>4327.57</v>
      </c>
      <c r="C71" s="16">
        <v>1.5278894602620999E-2</v>
      </c>
      <c r="D71">
        <f t="shared" si="10"/>
        <v>66.120485915464556</v>
      </c>
      <c r="F71" s="3">
        <v>3.7443E-8</v>
      </c>
      <c r="G71" s="3">
        <v>4327.57</v>
      </c>
      <c r="H71" s="16">
        <v>0</v>
      </c>
      <c r="I71">
        <f t="shared" si="11"/>
        <v>0</v>
      </c>
      <c r="K71" s="3">
        <v>3.7443E-8</v>
      </c>
      <c r="L71" s="3">
        <v>4327.57</v>
      </c>
      <c r="M71" s="16">
        <v>0</v>
      </c>
      <c r="N71">
        <f t="shared" si="12"/>
        <v>0</v>
      </c>
      <c r="P71" s="3">
        <v>3.7443E-8</v>
      </c>
      <c r="Q71" s="3">
        <v>4327.57</v>
      </c>
      <c r="R71" s="16">
        <v>0</v>
      </c>
      <c r="S71">
        <f t="shared" si="13"/>
        <v>0</v>
      </c>
      <c r="U71" s="3">
        <v>3.7443E-8</v>
      </c>
      <c r="V71" s="3">
        <v>4327.57</v>
      </c>
      <c r="W71" s="16">
        <v>0</v>
      </c>
      <c r="X71">
        <f t="shared" si="14"/>
        <v>0</v>
      </c>
      <c r="Z71" s="3">
        <v>3.7443E-8</v>
      </c>
      <c r="AA71" s="3">
        <v>4327.57</v>
      </c>
      <c r="AB71" s="16">
        <v>0</v>
      </c>
      <c r="AC71">
        <f t="shared" si="15"/>
        <v>0</v>
      </c>
      <c r="AE71" s="3">
        <v>3.7443E-8</v>
      </c>
      <c r="AF71" s="3">
        <v>4327.57</v>
      </c>
      <c r="AG71" s="16">
        <v>0</v>
      </c>
      <c r="AH71">
        <f t="shared" si="16"/>
        <v>0</v>
      </c>
      <c r="AJ71" s="3">
        <v>3.7443E-8</v>
      </c>
      <c r="AK71" s="3">
        <v>4327.57</v>
      </c>
      <c r="AL71" s="16">
        <v>2.2338346034319898E-3</v>
      </c>
      <c r="AM71">
        <f t="shared" si="17"/>
        <v>9.6670756147741752</v>
      </c>
      <c r="AO71" s="3">
        <v>3.7443E-8</v>
      </c>
      <c r="AP71" s="3">
        <v>4327.57</v>
      </c>
      <c r="AQ71" s="17">
        <v>2.94943250619676E-5</v>
      </c>
      <c r="AR71">
        <f t="shared" si="18"/>
        <v>0.12763875630841912</v>
      </c>
      <c r="AT71" s="3">
        <v>3.7443E-8</v>
      </c>
      <c r="AU71" s="3">
        <v>4327.57</v>
      </c>
      <c r="AV71" s="16">
        <v>0</v>
      </c>
      <c r="AW71">
        <f t="shared" si="19"/>
        <v>0</v>
      </c>
    </row>
    <row r="72" spans="1:49" x14ac:dyDescent="0.3">
      <c r="A72" s="3">
        <v>4.2260000000000003E-8</v>
      </c>
      <c r="B72" s="16">
        <v>4673.2</v>
      </c>
      <c r="C72" s="16">
        <v>1.4227974377736E-2</v>
      </c>
      <c r="D72">
        <f t="shared" si="10"/>
        <v>66.49016986203587</v>
      </c>
      <c r="F72" s="3">
        <v>4.2260000000000003E-8</v>
      </c>
      <c r="G72" s="3">
        <v>4673.2</v>
      </c>
      <c r="H72" s="16">
        <v>0</v>
      </c>
      <c r="I72">
        <f t="shared" si="11"/>
        <v>0</v>
      </c>
      <c r="K72" s="3">
        <v>4.2260000000000003E-8</v>
      </c>
      <c r="L72" s="3">
        <v>4673.2</v>
      </c>
      <c r="M72" s="16">
        <v>0</v>
      </c>
      <c r="N72">
        <f t="shared" si="12"/>
        <v>0</v>
      </c>
      <c r="P72" s="3">
        <v>4.2260000000000003E-8</v>
      </c>
      <c r="Q72" s="3">
        <v>4673.2</v>
      </c>
      <c r="R72" s="16">
        <v>0</v>
      </c>
      <c r="S72">
        <f t="shared" si="13"/>
        <v>0</v>
      </c>
      <c r="U72" s="3">
        <v>4.2260000000000003E-8</v>
      </c>
      <c r="V72" s="3">
        <v>4673.2</v>
      </c>
      <c r="W72" s="16">
        <v>0</v>
      </c>
      <c r="X72">
        <f t="shared" si="14"/>
        <v>0</v>
      </c>
      <c r="Z72" s="3">
        <v>4.2260000000000003E-8</v>
      </c>
      <c r="AA72" s="3">
        <v>4673.2</v>
      </c>
      <c r="AB72" s="16">
        <v>0</v>
      </c>
      <c r="AC72">
        <f t="shared" si="15"/>
        <v>0</v>
      </c>
      <c r="AE72" s="3">
        <v>4.2260000000000003E-8</v>
      </c>
      <c r="AF72" s="3">
        <v>4673.2</v>
      </c>
      <c r="AG72" s="16">
        <v>0</v>
      </c>
      <c r="AH72">
        <f t="shared" si="16"/>
        <v>0</v>
      </c>
      <c r="AJ72" s="3">
        <v>4.2260000000000003E-8</v>
      </c>
      <c r="AK72" s="3">
        <v>4673.2</v>
      </c>
      <c r="AL72" s="16">
        <v>2.0762045724307399E-3</v>
      </c>
      <c r="AM72">
        <f t="shared" si="17"/>
        <v>9.7025192078833324</v>
      </c>
      <c r="AO72" s="3">
        <v>4.2260000000000003E-8</v>
      </c>
      <c r="AP72" s="3">
        <v>4673.2</v>
      </c>
      <c r="AQ72" s="17">
        <v>2.7412820305207602E-5</v>
      </c>
      <c r="AR72">
        <f t="shared" si="18"/>
        <v>0.12810559185029616</v>
      </c>
      <c r="AT72" s="3">
        <v>4.2260000000000003E-8</v>
      </c>
      <c r="AU72" s="3">
        <v>4673.2</v>
      </c>
      <c r="AV72" s="16">
        <v>0</v>
      </c>
      <c r="AW72">
        <f t="shared" si="19"/>
        <v>0</v>
      </c>
    </row>
    <row r="73" spans="1:49" x14ac:dyDescent="0.3">
      <c r="A73" s="3">
        <v>4.7694999999999998E-8</v>
      </c>
      <c r="B73" s="16">
        <v>5660.06</v>
      </c>
      <c r="C73" s="16">
        <v>1.32455797973259E-2</v>
      </c>
      <c r="D73">
        <f t="shared" si="10"/>
        <v>74.970776387652435</v>
      </c>
      <c r="F73" s="3">
        <v>4.7694999999999998E-8</v>
      </c>
      <c r="G73" s="3">
        <v>5660.06</v>
      </c>
      <c r="H73" s="16">
        <v>0</v>
      </c>
      <c r="I73">
        <f t="shared" si="11"/>
        <v>0</v>
      </c>
      <c r="K73" s="3">
        <v>4.7694999999999998E-8</v>
      </c>
      <c r="L73" s="3">
        <v>5660.06</v>
      </c>
      <c r="M73" s="16">
        <v>0</v>
      </c>
      <c r="N73">
        <f t="shared" si="12"/>
        <v>0</v>
      </c>
      <c r="P73" s="3">
        <v>4.7694999999999998E-8</v>
      </c>
      <c r="Q73" s="3">
        <v>5660.06</v>
      </c>
      <c r="R73" s="16">
        <v>0</v>
      </c>
      <c r="S73">
        <f t="shared" si="13"/>
        <v>0</v>
      </c>
      <c r="U73" s="3">
        <v>4.7694999999999998E-8</v>
      </c>
      <c r="V73" s="3">
        <v>5660.06</v>
      </c>
      <c r="W73" s="16">
        <v>0</v>
      </c>
      <c r="X73">
        <f t="shared" si="14"/>
        <v>0</v>
      </c>
      <c r="Z73" s="3">
        <v>4.7694999999999998E-8</v>
      </c>
      <c r="AA73" s="3">
        <v>5660.06</v>
      </c>
      <c r="AB73" s="16">
        <v>0</v>
      </c>
      <c r="AC73">
        <f t="shared" si="15"/>
        <v>0</v>
      </c>
      <c r="AE73" s="3">
        <v>4.7694999999999998E-8</v>
      </c>
      <c r="AF73" s="3">
        <v>5660.06</v>
      </c>
      <c r="AG73" s="16">
        <v>0</v>
      </c>
      <c r="AH73">
        <f t="shared" si="16"/>
        <v>0</v>
      </c>
      <c r="AJ73" s="3">
        <v>4.7694999999999998E-8</v>
      </c>
      <c r="AK73" s="3">
        <v>5660.06</v>
      </c>
      <c r="AL73" s="16">
        <v>1.92860193450317E-3</v>
      </c>
      <c r="AM73">
        <f t="shared" si="17"/>
        <v>10.916002665404013</v>
      </c>
      <c r="AO73" s="3">
        <v>4.7694999999999998E-8</v>
      </c>
      <c r="AP73" s="3">
        <v>5660.06</v>
      </c>
      <c r="AQ73" s="17">
        <v>2.54631901323748E-5</v>
      </c>
      <c r="AR73">
        <f t="shared" si="18"/>
        <v>0.14412318394064932</v>
      </c>
      <c r="AT73" s="3">
        <v>4.7694999999999998E-8</v>
      </c>
      <c r="AU73" s="3">
        <v>5660.06</v>
      </c>
      <c r="AV73" s="16">
        <v>0</v>
      </c>
      <c r="AW73">
        <f t="shared" si="19"/>
        <v>0</v>
      </c>
    </row>
    <row r="74" spans="1:49" x14ac:dyDescent="0.3">
      <c r="A74" s="3">
        <v>5.383E-8</v>
      </c>
      <c r="B74" s="16">
        <v>5536.33</v>
      </c>
      <c r="C74" s="16">
        <v>1.26337296390934E-2</v>
      </c>
      <c r="D74">
        <f t="shared" si="10"/>
        <v>69.944496412801954</v>
      </c>
      <c r="F74" s="3">
        <v>5.383E-8</v>
      </c>
      <c r="G74" s="3">
        <v>5536.33</v>
      </c>
      <c r="H74" s="16">
        <v>0</v>
      </c>
      <c r="I74">
        <f t="shared" si="11"/>
        <v>0</v>
      </c>
      <c r="K74" s="3">
        <v>5.383E-8</v>
      </c>
      <c r="L74" s="3">
        <v>5536.33</v>
      </c>
      <c r="M74" s="16">
        <v>0</v>
      </c>
      <c r="N74">
        <f t="shared" si="12"/>
        <v>0</v>
      </c>
      <c r="P74" s="3">
        <v>5.383E-8</v>
      </c>
      <c r="Q74" s="3">
        <v>5536.33</v>
      </c>
      <c r="R74" s="16">
        <v>0</v>
      </c>
      <c r="S74">
        <f t="shared" si="13"/>
        <v>0</v>
      </c>
      <c r="U74" s="3">
        <v>5.383E-8</v>
      </c>
      <c r="V74" s="3">
        <v>5536.33</v>
      </c>
      <c r="W74" s="16">
        <v>0</v>
      </c>
      <c r="X74">
        <f t="shared" si="14"/>
        <v>0</v>
      </c>
      <c r="Z74" s="3">
        <v>5.383E-8</v>
      </c>
      <c r="AA74" s="3">
        <v>5536.33</v>
      </c>
      <c r="AB74" s="16">
        <v>0</v>
      </c>
      <c r="AC74">
        <f t="shared" si="15"/>
        <v>0</v>
      </c>
      <c r="AE74" s="3">
        <v>5.383E-8</v>
      </c>
      <c r="AF74" s="3">
        <v>5536.33</v>
      </c>
      <c r="AG74" s="16">
        <v>0</v>
      </c>
      <c r="AH74">
        <f t="shared" si="16"/>
        <v>0</v>
      </c>
      <c r="AJ74" s="3">
        <v>5.383E-8</v>
      </c>
      <c r="AK74" s="3">
        <v>5536.33</v>
      </c>
      <c r="AL74" s="16">
        <v>1.83644891790283E-3</v>
      </c>
      <c r="AM74">
        <f t="shared" si="17"/>
        <v>10.167187237652975</v>
      </c>
      <c r="AO74" s="3">
        <v>5.383E-8</v>
      </c>
      <c r="AP74" s="3">
        <v>5536.33</v>
      </c>
      <c r="AQ74" s="17">
        <v>2.4246084216324999E-5</v>
      </c>
      <c r="AR74">
        <f t="shared" si="18"/>
        <v>0.13423432342936659</v>
      </c>
      <c r="AT74" s="3">
        <v>5.383E-8</v>
      </c>
      <c r="AU74" s="3">
        <v>5536.33</v>
      </c>
      <c r="AV74" s="16">
        <v>0</v>
      </c>
      <c r="AW74">
        <f t="shared" si="19"/>
        <v>0</v>
      </c>
    </row>
    <row r="75" spans="1:49" x14ac:dyDescent="0.3">
      <c r="A75" s="3">
        <v>6.0754000000000003E-8</v>
      </c>
      <c r="B75" s="16">
        <v>5627.42</v>
      </c>
      <c r="C75" s="16">
        <v>1.20523075129235E-2</v>
      </c>
      <c r="D75">
        <f t="shared" si="10"/>
        <v>67.823396344375965</v>
      </c>
      <c r="F75" s="3">
        <v>6.0754000000000003E-8</v>
      </c>
      <c r="G75" s="3">
        <v>5627.42</v>
      </c>
      <c r="H75" s="16">
        <v>0</v>
      </c>
      <c r="I75">
        <f t="shared" si="11"/>
        <v>0</v>
      </c>
      <c r="K75" s="3">
        <v>6.0754000000000003E-8</v>
      </c>
      <c r="L75" s="3">
        <v>5627.42</v>
      </c>
      <c r="M75" s="16">
        <v>0</v>
      </c>
      <c r="N75">
        <f t="shared" si="12"/>
        <v>0</v>
      </c>
      <c r="P75" s="3">
        <v>6.0754000000000003E-8</v>
      </c>
      <c r="Q75" s="3">
        <v>5627.42</v>
      </c>
      <c r="R75" s="16">
        <v>0</v>
      </c>
      <c r="S75">
        <f t="shared" si="13"/>
        <v>0</v>
      </c>
      <c r="U75" s="3">
        <v>6.0754000000000003E-8</v>
      </c>
      <c r="V75" s="3">
        <v>5627.42</v>
      </c>
      <c r="W75" s="16">
        <v>0</v>
      </c>
      <c r="X75">
        <f t="shared" si="14"/>
        <v>0</v>
      </c>
      <c r="Z75" s="3">
        <v>6.0754000000000003E-8</v>
      </c>
      <c r="AA75" s="3">
        <v>5627.42</v>
      </c>
      <c r="AB75" s="16">
        <v>0</v>
      </c>
      <c r="AC75">
        <f t="shared" si="15"/>
        <v>0</v>
      </c>
      <c r="AE75" s="3">
        <v>6.0754000000000003E-8</v>
      </c>
      <c r="AF75" s="3">
        <v>5627.42</v>
      </c>
      <c r="AG75" s="16">
        <v>0</v>
      </c>
      <c r="AH75">
        <f t="shared" si="16"/>
        <v>0</v>
      </c>
      <c r="AJ75" s="3">
        <v>6.0754000000000003E-8</v>
      </c>
      <c r="AK75" s="3">
        <v>5627.42</v>
      </c>
      <c r="AL75" s="16">
        <v>1.74867737217633E-3</v>
      </c>
      <c r="AM75">
        <f t="shared" si="17"/>
        <v>9.840542017732524</v>
      </c>
      <c r="AO75" s="3">
        <v>6.0754000000000003E-8</v>
      </c>
      <c r="AP75" s="3">
        <v>5627.42</v>
      </c>
      <c r="AQ75" s="17">
        <v>2.3087242053731501E-5</v>
      </c>
      <c r="AR75">
        <f t="shared" si="18"/>
        <v>0.12992160767800973</v>
      </c>
      <c r="AT75" s="3">
        <v>6.0754000000000003E-8</v>
      </c>
      <c r="AU75" s="3">
        <v>5627.42</v>
      </c>
      <c r="AV75" s="16">
        <v>0</v>
      </c>
      <c r="AW75">
        <f t="shared" si="19"/>
        <v>0</v>
      </c>
    </row>
    <row r="76" spans="1:49" x14ac:dyDescent="0.3">
      <c r="A76" s="3">
        <v>6.8567999999999996E-8</v>
      </c>
      <c r="B76" s="16">
        <v>6337.43</v>
      </c>
      <c r="C76" s="16">
        <v>1.1237678298480399E-2</v>
      </c>
      <c r="D76">
        <f t="shared" si="10"/>
        <v>71.217999579138635</v>
      </c>
      <c r="F76" s="3">
        <v>6.8567999999999996E-8</v>
      </c>
      <c r="G76" s="3">
        <v>6337.43</v>
      </c>
      <c r="H76" s="16">
        <v>0</v>
      </c>
      <c r="I76">
        <f t="shared" si="11"/>
        <v>0</v>
      </c>
      <c r="K76" s="3">
        <v>6.8567999999999996E-8</v>
      </c>
      <c r="L76" s="3">
        <v>6337.43</v>
      </c>
      <c r="M76" s="16">
        <v>0</v>
      </c>
      <c r="N76">
        <f t="shared" si="12"/>
        <v>0</v>
      </c>
      <c r="P76" s="3">
        <v>6.8567999999999996E-8</v>
      </c>
      <c r="Q76" s="3">
        <v>6337.43</v>
      </c>
      <c r="R76" s="16">
        <v>0</v>
      </c>
      <c r="S76">
        <f t="shared" si="13"/>
        <v>0</v>
      </c>
      <c r="U76" s="3">
        <v>6.8567999999999996E-8</v>
      </c>
      <c r="V76" s="3">
        <v>6337.43</v>
      </c>
      <c r="W76" s="16">
        <v>0</v>
      </c>
      <c r="X76">
        <f t="shared" si="14"/>
        <v>0</v>
      </c>
      <c r="Z76" s="3">
        <v>6.8567999999999996E-8</v>
      </c>
      <c r="AA76" s="3">
        <v>6337.43</v>
      </c>
      <c r="AB76" s="16">
        <v>0</v>
      </c>
      <c r="AC76">
        <f t="shared" si="15"/>
        <v>0</v>
      </c>
      <c r="AE76" s="3">
        <v>6.8567999999999996E-8</v>
      </c>
      <c r="AF76" s="3">
        <v>6337.43</v>
      </c>
      <c r="AG76" s="16">
        <v>0</v>
      </c>
      <c r="AH76">
        <f t="shared" si="16"/>
        <v>0</v>
      </c>
      <c r="AJ76" s="3">
        <v>6.8567999999999996E-8</v>
      </c>
      <c r="AK76" s="3">
        <v>6337.43</v>
      </c>
      <c r="AL76" s="16">
        <v>1.62525123964095E-3</v>
      </c>
      <c r="AM76">
        <f t="shared" si="17"/>
        <v>10.299915963637746</v>
      </c>
      <c r="AO76" s="3">
        <v>6.8567999999999996E-8</v>
      </c>
      <c r="AP76" s="3">
        <v>6337.43</v>
      </c>
      <c r="AQ76" s="17">
        <v>2.1458797714226601E-5</v>
      </c>
      <c r="AR76">
        <f t="shared" si="18"/>
        <v>0.13599362839807108</v>
      </c>
      <c r="AT76" s="3">
        <v>6.8567999999999996E-8</v>
      </c>
      <c r="AU76" s="3">
        <v>6337.43</v>
      </c>
      <c r="AV76" s="16">
        <v>0</v>
      </c>
      <c r="AW76">
        <f t="shared" si="19"/>
        <v>0</v>
      </c>
    </row>
    <row r="77" spans="1:49" x14ac:dyDescent="0.3">
      <c r="A77" s="3">
        <v>7.7388000000000004E-8</v>
      </c>
      <c r="B77" s="16">
        <v>7453.72</v>
      </c>
      <c r="C77" s="16">
        <v>1.0442571652199599E-2</v>
      </c>
      <c r="D77">
        <f t="shared" si="10"/>
        <v>77.836005175433201</v>
      </c>
      <c r="F77" s="3">
        <v>7.7388000000000004E-8</v>
      </c>
      <c r="G77" s="3">
        <v>7453.72</v>
      </c>
      <c r="H77" s="16">
        <v>0</v>
      </c>
      <c r="I77">
        <f t="shared" si="11"/>
        <v>0</v>
      </c>
      <c r="K77" s="3">
        <v>7.7388000000000004E-8</v>
      </c>
      <c r="L77" s="3">
        <v>7453.72</v>
      </c>
      <c r="M77" s="16">
        <v>0</v>
      </c>
      <c r="N77">
        <f t="shared" si="12"/>
        <v>0</v>
      </c>
      <c r="P77" s="3">
        <v>7.7388000000000004E-8</v>
      </c>
      <c r="Q77" s="3">
        <v>7453.72</v>
      </c>
      <c r="R77" s="16">
        <v>0</v>
      </c>
      <c r="S77">
        <f t="shared" si="13"/>
        <v>0</v>
      </c>
      <c r="U77" s="3">
        <v>7.7388000000000004E-8</v>
      </c>
      <c r="V77" s="3">
        <v>7453.72</v>
      </c>
      <c r="W77" s="16">
        <v>0</v>
      </c>
      <c r="X77">
        <f t="shared" si="14"/>
        <v>0</v>
      </c>
      <c r="Z77" s="3">
        <v>7.7388000000000004E-8</v>
      </c>
      <c r="AA77" s="3">
        <v>7453.72</v>
      </c>
      <c r="AB77" s="16">
        <v>0</v>
      </c>
      <c r="AC77">
        <f t="shared" si="15"/>
        <v>0</v>
      </c>
      <c r="AE77" s="3">
        <v>7.7388000000000004E-8</v>
      </c>
      <c r="AF77" s="3">
        <v>7453.72</v>
      </c>
      <c r="AG77" s="16">
        <v>0</v>
      </c>
      <c r="AH77">
        <f t="shared" si="16"/>
        <v>0</v>
      </c>
      <c r="AJ77" s="3">
        <v>7.7388000000000004E-8</v>
      </c>
      <c r="AK77" s="3">
        <v>7453.72</v>
      </c>
      <c r="AL77" s="16">
        <v>1.5095931511044801E-3</v>
      </c>
      <c r="AM77">
        <f t="shared" si="17"/>
        <v>11.252084662250486</v>
      </c>
      <c r="AO77" s="3">
        <v>7.7388000000000004E-8</v>
      </c>
      <c r="AP77" s="3">
        <v>7453.72</v>
      </c>
      <c r="AQ77" s="17">
        <v>1.99334636765797E-5</v>
      </c>
      <c r="AR77">
        <f t="shared" si="18"/>
        <v>0.14857845687539564</v>
      </c>
      <c r="AT77" s="3">
        <v>7.7388000000000004E-8</v>
      </c>
      <c r="AU77" s="3">
        <v>7453.72</v>
      </c>
      <c r="AV77" s="16">
        <v>0</v>
      </c>
      <c r="AW77">
        <f t="shared" si="19"/>
        <v>0</v>
      </c>
    </row>
    <row r="78" spans="1:49" x14ac:dyDescent="0.3">
      <c r="A78" s="3">
        <v>8.7342000000000002E-8</v>
      </c>
      <c r="B78" s="16">
        <v>7757.78</v>
      </c>
      <c r="C78" s="16">
        <v>9.9389895093439495E-3</v>
      </c>
      <c r="D78">
        <f t="shared" si="10"/>
        <v>77.104494035798297</v>
      </c>
      <c r="F78" s="3">
        <v>8.7342000000000002E-8</v>
      </c>
      <c r="G78" s="3">
        <v>7757.78</v>
      </c>
      <c r="H78" s="16">
        <v>0</v>
      </c>
      <c r="I78">
        <f t="shared" si="11"/>
        <v>0</v>
      </c>
      <c r="K78" s="3">
        <v>8.7342000000000002E-8</v>
      </c>
      <c r="L78" s="3">
        <v>7757.78</v>
      </c>
      <c r="M78" s="16">
        <v>0</v>
      </c>
      <c r="N78">
        <f t="shared" si="12"/>
        <v>0</v>
      </c>
      <c r="P78" s="3">
        <v>8.7342000000000002E-8</v>
      </c>
      <c r="Q78" s="3">
        <v>7757.78</v>
      </c>
      <c r="R78" s="16">
        <v>0</v>
      </c>
      <c r="S78">
        <f t="shared" si="13"/>
        <v>0</v>
      </c>
      <c r="U78" s="3">
        <v>8.7342000000000002E-8</v>
      </c>
      <c r="V78" s="3">
        <v>7757.78</v>
      </c>
      <c r="W78" s="16">
        <v>0</v>
      </c>
      <c r="X78">
        <f t="shared" si="14"/>
        <v>0</v>
      </c>
      <c r="Z78" s="3">
        <v>8.7342000000000002E-8</v>
      </c>
      <c r="AA78" s="3">
        <v>7757.78</v>
      </c>
      <c r="AB78" s="16">
        <v>0</v>
      </c>
      <c r="AC78">
        <f t="shared" si="15"/>
        <v>0</v>
      </c>
      <c r="AE78" s="3">
        <v>8.7342000000000002E-8</v>
      </c>
      <c r="AF78" s="3">
        <v>7757.78</v>
      </c>
      <c r="AG78" s="16">
        <v>0</v>
      </c>
      <c r="AH78">
        <f t="shared" si="16"/>
        <v>0</v>
      </c>
      <c r="AJ78" s="3">
        <v>8.7342000000000002E-8</v>
      </c>
      <c r="AK78" s="3">
        <v>7757.78</v>
      </c>
      <c r="AL78" s="16">
        <v>1.4373772972723401E-3</v>
      </c>
      <c r="AM78">
        <f t="shared" si="17"/>
        <v>11.150856849233413</v>
      </c>
      <c r="AO78" s="3">
        <v>8.7342000000000002E-8</v>
      </c>
      <c r="AP78" s="3">
        <v>7757.78</v>
      </c>
      <c r="AQ78" s="17">
        <v>1.8981393509690799E-5</v>
      </c>
      <c r="AR78">
        <f t="shared" si="18"/>
        <v>0.14725347494160909</v>
      </c>
      <c r="AT78" s="3">
        <v>8.7342000000000002E-8</v>
      </c>
      <c r="AU78" s="3">
        <v>7757.78</v>
      </c>
      <c r="AV78" s="16">
        <v>0</v>
      </c>
      <c r="AW78">
        <f t="shared" si="19"/>
        <v>0</v>
      </c>
    </row>
    <row r="79" spans="1:49" x14ac:dyDescent="0.3">
      <c r="A79" s="3">
        <v>9.8575999999999995E-8</v>
      </c>
      <c r="B79" s="16">
        <v>8423.1299999999992</v>
      </c>
      <c r="C79" s="16">
        <v>9.4628140487162306E-3</v>
      </c>
      <c r="D79">
        <f t="shared" si="10"/>
        <v>79.70651289816314</v>
      </c>
      <c r="F79" s="3">
        <v>9.8575999999999995E-8</v>
      </c>
      <c r="G79" s="3">
        <v>8423.1299999999992</v>
      </c>
      <c r="H79" s="16">
        <v>0</v>
      </c>
      <c r="I79">
        <f t="shared" si="11"/>
        <v>0</v>
      </c>
      <c r="K79" s="3">
        <v>9.8575999999999995E-8</v>
      </c>
      <c r="L79" s="3">
        <v>8423.1299999999992</v>
      </c>
      <c r="M79" s="16">
        <v>0</v>
      </c>
      <c r="N79">
        <f t="shared" si="12"/>
        <v>0</v>
      </c>
      <c r="P79" s="3">
        <v>9.8575999999999995E-8</v>
      </c>
      <c r="Q79" s="3">
        <v>8423.1299999999992</v>
      </c>
      <c r="R79" s="16">
        <v>0</v>
      </c>
      <c r="S79">
        <f t="shared" si="13"/>
        <v>0</v>
      </c>
      <c r="U79" s="3">
        <v>9.8575999999999995E-8</v>
      </c>
      <c r="V79" s="3">
        <v>8423.1299999999992</v>
      </c>
      <c r="W79" s="16">
        <v>0</v>
      </c>
      <c r="X79">
        <f t="shared" si="14"/>
        <v>0</v>
      </c>
      <c r="Z79" s="3">
        <v>9.8575999999999995E-8</v>
      </c>
      <c r="AA79" s="3">
        <v>8423.1299999999992</v>
      </c>
      <c r="AB79" s="16">
        <v>0</v>
      </c>
      <c r="AC79">
        <f t="shared" si="15"/>
        <v>0</v>
      </c>
      <c r="AE79" s="3">
        <v>9.8575999999999995E-8</v>
      </c>
      <c r="AF79" s="3">
        <v>8423.1299999999992</v>
      </c>
      <c r="AG79" s="16">
        <v>0</v>
      </c>
      <c r="AH79">
        <f t="shared" si="16"/>
        <v>0</v>
      </c>
      <c r="AJ79" s="3">
        <v>9.8575999999999995E-8</v>
      </c>
      <c r="AK79" s="3">
        <v>8423.1299999999992</v>
      </c>
      <c r="AL79" s="16">
        <v>1.36862153117724E-3</v>
      </c>
      <c r="AM79">
        <f t="shared" si="17"/>
        <v>11.528077077904944</v>
      </c>
      <c r="AO79" s="3">
        <v>9.8575999999999995E-8</v>
      </c>
      <c r="AP79" s="3">
        <v>8423.1299999999992</v>
      </c>
      <c r="AQ79" s="17">
        <v>1.8074905080521699E-5</v>
      </c>
      <c r="AR79">
        <f t="shared" si="18"/>
        <v>0.15224727523089474</v>
      </c>
      <c r="AT79" s="3">
        <v>9.8575999999999995E-8</v>
      </c>
      <c r="AU79" s="3">
        <v>8423.1299999999992</v>
      </c>
      <c r="AV79" s="16">
        <v>0</v>
      </c>
      <c r="AW79">
        <f t="shared" si="19"/>
        <v>0</v>
      </c>
    </row>
    <row r="80" spans="1:49" x14ac:dyDescent="0.3">
      <c r="A80" s="3">
        <v>1.1126E-7</v>
      </c>
      <c r="B80" s="16">
        <v>8485.5400000000009</v>
      </c>
      <c r="C80" s="16">
        <v>9.0131692576425407E-3</v>
      </c>
      <c r="D80">
        <f t="shared" si="10"/>
        <v>76.481608262496096</v>
      </c>
      <c r="F80" s="3">
        <v>1.1126E-7</v>
      </c>
      <c r="G80" s="3">
        <v>8485.5400000000009</v>
      </c>
      <c r="H80" s="16">
        <v>0</v>
      </c>
      <c r="I80">
        <f t="shared" si="11"/>
        <v>0</v>
      </c>
      <c r="K80" s="3">
        <v>1.1126E-7</v>
      </c>
      <c r="L80" s="3">
        <v>8485.5400000000009</v>
      </c>
      <c r="M80" s="16">
        <v>0</v>
      </c>
      <c r="N80">
        <f t="shared" si="12"/>
        <v>0</v>
      </c>
      <c r="P80" s="3">
        <v>1.1126E-7</v>
      </c>
      <c r="Q80" s="3">
        <v>8485.5400000000009</v>
      </c>
      <c r="R80" s="16">
        <v>0</v>
      </c>
      <c r="S80">
        <f t="shared" si="13"/>
        <v>0</v>
      </c>
      <c r="U80" s="3">
        <v>1.1126E-7</v>
      </c>
      <c r="V80" s="3">
        <v>8485.5400000000009</v>
      </c>
      <c r="W80" s="16">
        <v>0</v>
      </c>
      <c r="X80">
        <f t="shared" si="14"/>
        <v>0</v>
      </c>
      <c r="Z80" s="3">
        <v>1.1126E-7</v>
      </c>
      <c r="AA80" s="3">
        <v>8485.5400000000009</v>
      </c>
      <c r="AB80" s="16">
        <v>0</v>
      </c>
      <c r="AC80">
        <f t="shared" si="15"/>
        <v>0</v>
      </c>
      <c r="AE80" s="3">
        <v>1.1126E-7</v>
      </c>
      <c r="AF80" s="3">
        <v>8485.5400000000009</v>
      </c>
      <c r="AG80" s="16">
        <v>0</v>
      </c>
      <c r="AH80">
        <f t="shared" si="16"/>
        <v>0</v>
      </c>
      <c r="AJ80" s="3">
        <v>1.1126E-7</v>
      </c>
      <c r="AK80" s="3">
        <v>8485.5400000000009</v>
      </c>
      <c r="AL80" s="16">
        <v>1.27194981642738E-3</v>
      </c>
      <c r="AM80">
        <f t="shared" si="17"/>
        <v>10.793181045287191</v>
      </c>
      <c r="AO80" s="3">
        <v>1.1126E-7</v>
      </c>
      <c r="AP80" s="3">
        <v>8485.5400000000009</v>
      </c>
      <c r="AQ80" s="17">
        <v>1.68010517389841E-5</v>
      </c>
      <c r="AR80">
        <f t="shared" si="18"/>
        <v>0.14256599657321917</v>
      </c>
      <c r="AT80" s="3">
        <v>1.1126E-7</v>
      </c>
      <c r="AU80" s="3">
        <v>8485.5400000000009</v>
      </c>
      <c r="AV80" s="16">
        <v>0</v>
      </c>
      <c r="AW80">
        <f t="shared" si="19"/>
        <v>0</v>
      </c>
    </row>
    <row r="81" spans="1:49" x14ac:dyDescent="0.3">
      <c r="A81" s="3">
        <v>1.2557000000000001E-7</v>
      </c>
      <c r="B81" s="16">
        <v>8431</v>
      </c>
      <c r="C81" s="16">
        <v>8.5884461332523393E-3</v>
      </c>
      <c r="D81">
        <f t="shared" si="10"/>
        <v>72.409189349450472</v>
      </c>
      <c r="F81" s="3">
        <v>1.2557000000000001E-7</v>
      </c>
      <c r="G81" s="3">
        <v>8431</v>
      </c>
      <c r="H81" s="16">
        <v>0</v>
      </c>
      <c r="I81">
        <f t="shared" si="11"/>
        <v>0</v>
      </c>
      <c r="K81" s="3">
        <v>1.2557000000000001E-7</v>
      </c>
      <c r="L81" s="3">
        <v>8431</v>
      </c>
      <c r="M81" s="16">
        <v>0</v>
      </c>
      <c r="N81">
        <f t="shared" si="12"/>
        <v>0</v>
      </c>
      <c r="P81" s="3">
        <v>1.2557000000000001E-7</v>
      </c>
      <c r="Q81" s="3">
        <v>8431</v>
      </c>
      <c r="R81" s="16">
        <v>0</v>
      </c>
      <c r="S81">
        <f t="shared" si="13"/>
        <v>0</v>
      </c>
      <c r="U81" s="3">
        <v>1.2557000000000001E-7</v>
      </c>
      <c r="V81" s="3">
        <v>8431</v>
      </c>
      <c r="W81" s="16">
        <v>0</v>
      </c>
      <c r="X81">
        <f t="shared" si="14"/>
        <v>0</v>
      </c>
      <c r="Z81" s="3">
        <v>1.2557000000000001E-7</v>
      </c>
      <c r="AA81" s="3">
        <v>8431</v>
      </c>
      <c r="AB81" s="16">
        <v>0</v>
      </c>
      <c r="AC81">
        <f t="shared" si="15"/>
        <v>0</v>
      </c>
      <c r="AE81" s="3">
        <v>1.2557000000000001E-7</v>
      </c>
      <c r="AF81" s="3">
        <v>8431</v>
      </c>
      <c r="AG81" s="16">
        <v>0</v>
      </c>
      <c r="AH81">
        <f t="shared" si="16"/>
        <v>0</v>
      </c>
      <c r="AJ81" s="3">
        <v>1.2557000000000001E-7</v>
      </c>
      <c r="AK81" s="3">
        <v>8431</v>
      </c>
      <c r="AL81" s="16">
        <v>1.1813896164198901E-3</v>
      </c>
      <c r="AM81">
        <f t="shared" si="17"/>
        <v>9.9602958560360939</v>
      </c>
      <c r="AO81" s="3">
        <v>1.2557000000000001E-7</v>
      </c>
      <c r="AP81" s="3">
        <v>8431</v>
      </c>
      <c r="AQ81" s="17">
        <v>1.5607977323768299E-5</v>
      </c>
      <c r="AR81">
        <f t="shared" si="18"/>
        <v>0.13159085681669053</v>
      </c>
      <c r="AT81" s="3">
        <v>1.2557000000000001E-7</v>
      </c>
      <c r="AU81" s="3">
        <v>8431</v>
      </c>
      <c r="AV81" s="16">
        <v>0</v>
      </c>
      <c r="AW81">
        <f t="shared" si="19"/>
        <v>0</v>
      </c>
    </row>
    <row r="82" spans="1:49" x14ac:dyDescent="0.3">
      <c r="A82" s="3">
        <v>1.4172E-7</v>
      </c>
      <c r="B82" s="16">
        <v>8758.6200000000008</v>
      </c>
      <c r="C82" s="16">
        <v>7.9990594428733502E-3</v>
      </c>
      <c r="D82">
        <f t="shared" si="10"/>
        <v>70.060722017539391</v>
      </c>
      <c r="F82" s="3">
        <v>1.4172E-7</v>
      </c>
      <c r="G82" s="3">
        <v>8758.6200000000008</v>
      </c>
      <c r="H82" s="16">
        <v>0</v>
      </c>
      <c r="I82">
        <f t="shared" si="11"/>
        <v>0</v>
      </c>
      <c r="K82" s="3">
        <v>1.4172E-7</v>
      </c>
      <c r="L82" s="3">
        <v>8758.6200000000008</v>
      </c>
      <c r="M82" s="16">
        <v>0</v>
      </c>
      <c r="N82">
        <f t="shared" si="12"/>
        <v>0</v>
      </c>
      <c r="P82" s="3">
        <v>1.4172E-7</v>
      </c>
      <c r="Q82" s="3">
        <v>8758.6200000000008</v>
      </c>
      <c r="R82" s="16">
        <v>0</v>
      </c>
      <c r="S82">
        <f t="shared" si="13"/>
        <v>0</v>
      </c>
      <c r="U82" s="3">
        <v>1.4172E-7</v>
      </c>
      <c r="V82" s="3">
        <v>8758.6200000000008</v>
      </c>
      <c r="W82" s="16">
        <v>0</v>
      </c>
      <c r="X82">
        <f t="shared" si="14"/>
        <v>0</v>
      </c>
      <c r="Z82" s="3">
        <v>1.4172E-7</v>
      </c>
      <c r="AA82" s="3">
        <v>8758.6200000000008</v>
      </c>
      <c r="AB82" s="16">
        <v>0</v>
      </c>
      <c r="AC82">
        <f t="shared" si="15"/>
        <v>0</v>
      </c>
      <c r="AE82" s="3">
        <v>1.4172E-7</v>
      </c>
      <c r="AF82" s="3">
        <v>8758.6200000000008</v>
      </c>
      <c r="AG82" s="16">
        <v>0</v>
      </c>
      <c r="AH82">
        <f t="shared" si="16"/>
        <v>0</v>
      </c>
      <c r="AJ82" s="3">
        <v>1.4172E-7</v>
      </c>
      <c r="AK82" s="3">
        <v>8758.6200000000008</v>
      </c>
      <c r="AL82" s="16">
        <v>1.12487648370604E-3</v>
      </c>
      <c r="AM82">
        <f t="shared" si="17"/>
        <v>9.8523656677173967</v>
      </c>
      <c r="AO82" s="3">
        <v>1.4172E-7</v>
      </c>
      <c r="AP82" s="3">
        <v>8758.6200000000008</v>
      </c>
      <c r="AQ82" s="17">
        <v>1.48633224432374E-5</v>
      </c>
      <c r="AR82">
        <f t="shared" si="18"/>
        <v>0.13018219321778798</v>
      </c>
      <c r="AT82" s="3">
        <v>1.4172E-7</v>
      </c>
      <c r="AU82" s="3">
        <v>8758.6200000000008</v>
      </c>
      <c r="AV82" s="16">
        <v>0</v>
      </c>
      <c r="AW82">
        <f t="shared" si="19"/>
        <v>0</v>
      </c>
    </row>
    <row r="83" spans="1:49" x14ac:dyDescent="0.3">
      <c r="A83" s="3">
        <v>1.5993999999999999E-7</v>
      </c>
      <c r="B83" s="16">
        <v>9971.1200000000008</v>
      </c>
      <c r="C83" s="16">
        <v>7.45459968820141E-3</v>
      </c>
      <c r="D83">
        <f t="shared" si="10"/>
        <v>74.330708043018845</v>
      </c>
      <c r="F83" s="3">
        <v>1.5993999999999999E-7</v>
      </c>
      <c r="G83" s="3">
        <v>9971.1200000000008</v>
      </c>
      <c r="H83" s="16">
        <v>0</v>
      </c>
      <c r="I83">
        <f t="shared" si="11"/>
        <v>0</v>
      </c>
      <c r="K83" s="3">
        <v>1.5993999999999999E-7</v>
      </c>
      <c r="L83" s="3">
        <v>9971.1200000000008</v>
      </c>
      <c r="M83" s="16">
        <v>0</v>
      </c>
      <c r="N83">
        <f t="shared" si="12"/>
        <v>0</v>
      </c>
      <c r="P83" s="3">
        <v>1.5993999999999999E-7</v>
      </c>
      <c r="Q83" s="3">
        <v>9971.1200000000008</v>
      </c>
      <c r="R83" s="16">
        <v>0</v>
      </c>
      <c r="S83">
        <f t="shared" si="13"/>
        <v>0</v>
      </c>
      <c r="U83" s="3">
        <v>1.5993999999999999E-7</v>
      </c>
      <c r="V83" s="3">
        <v>9971.1200000000008</v>
      </c>
      <c r="W83" s="16">
        <v>0</v>
      </c>
      <c r="X83">
        <f t="shared" si="14"/>
        <v>0</v>
      </c>
      <c r="Z83" s="3">
        <v>1.5993999999999999E-7</v>
      </c>
      <c r="AA83" s="3">
        <v>9971.1200000000008</v>
      </c>
      <c r="AB83" s="16">
        <v>0</v>
      </c>
      <c r="AC83">
        <f t="shared" si="15"/>
        <v>0</v>
      </c>
      <c r="AE83" s="3">
        <v>1.5993999999999999E-7</v>
      </c>
      <c r="AF83" s="3">
        <v>9971.1200000000008</v>
      </c>
      <c r="AG83" s="16">
        <v>0</v>
      </c>
      <c r="AH83">
        <f t="shared" si="16"/>
        <v>0</v>
      </c>
      <c r="AJ83" s="3">
        <v>1.5993999999999999E-7</v>
      </c>
      <c r="AK83" s="3">
        <v>9971.1200000000008</v>
      </c>
      <c r="AL83" s="16">
        <v>1.0710490848164301E-3</v>
      </c>
      <c r="AM83">
        <f t="shared" si="17"/>
        <v>10.679558950594803</v>
      </c>
      <c r="AO83" s="3">
        <v>1.5993999999999999E-7</v>
      </c>
      <c r="AP83" s="3">
        <v>9971.1200000000008</v>
      </c>
      <c r="AQ83" s="17">
        <v>1.41544161432972E-5</v>
      </c>
      <c r="AR83">
        <f t="shared" si="18"/>
        <v>0.14113538189475358</v>
      </c>
      <c r="AT83" s="3">
        <v>1.5993999999999999E-7</v>
      </c>
      <c r="AU83" s="3">
        <v>9971.1200000000008</v>
      </c>
      <c r="AV83" s="16">
        <v>0</v>
      </c>
      <c r="AW83">
        <f t="shared" si="19"/>
        <v>0</v>
      </c>
    </row>
    <row r="84" spans="1:49" x14ac:dyDescent="0.3">
      <c r="A84" s="3">
        <v>1.8052E-7</v>
      </c>
      <c r="B84" s="16">
        <v>10800.2</v>
      </c>
      <c r="C84" s="16">
        <v>7.1199092133220603E-3</v>
      </c>
      <c r="D84">
        <f t="shared" si="10"/>
        <v>76.896443485720923</v>
      </c>
      <c r="F84" s="3">
        <v>1.8052E-7</v>
      </c>
      <c r="G84" s="3">
        <v>10800.2</v>
      </c>
      <c r="H84" s="16">
        <v>0</v>
      </c>
      <c r="I84">
        <f t="shared" si="11"/>
        <v>0</v>
      </c>
      <c r="K84" s="3">
        <v>1.8052E-7</v>
      </c>
      <c r="L84" s="3">
        <v>10800.2</v>
      </c>
      <c r="M84" s="16">
        <v>0</v>
      </c>
      <c r="N84">
        <f t="shared" si="12"/>
        <v>0</v>
      </c>
      <c r="P84" s="3">
        <v>1.8052E-7</v>
      </c>
      <c r="Q84" s="3">
        <v>10800.2</v>
      </c>
      <c r="R84" s="16">
        <v>0</v>
      </c>
      <c r="S84">
        <f t="shared" si="13"/>
        <v>0</v>
      </c>
      <c r="U84" s="3">
        <v>1.8052E-7</v>
      </c>
      <c r="V84" s="3">
        <v>10800.2</v>
      </c>
      <c r="W84" s="16">
        <v>0</v>
      </c>
      <c r="X84">
        <f t="shared" si="14"/>
        <v>0</v>
      </c>
      <c r="Z84" s="3">
        <v>1.8052E-7</v>
      </c>
      <c r="AA84" s="3">
        <v>10800.2</v>
      </c>
      <c r="AB84" s="16">
        <v>0</v>
      </c>
      <c r="AC84">
        <f t="shared" si="15"/>
        <v>0</v>
      </c>
      <c r="AE84" s="3">
        <v>1.8052E-7</v>
      </c>
      <c r="AF84" s="3">
        <v>10800.2</v>
      </c>
      <c r="AG84" s="16">
        <v>0</v>
      </c>
      <c r="AH84">
        <f t="shared" si="16"/>
        <v>0</v>
      </c>
      <c r="AJ84" s="3">
        <v>1.8052E-7</v>
      </c>
      <c r="AK84" s="3">
        <v>10800.2</v>
      </c>
      <c r="AL84" s="16">
        <v>9.9539029665669104E-4</v>
      </c>
      <c r="AM84">
        <f t="shared" si="17"/>
        <v>10.750414281951596</v>
      </c>
      <c r="AO84" s="3">
        <v>1.8052E-7</v>
      </c>
      <c r="AP84" s="3">
        <v>10800.2</v>
      </c>
      <c r="AQ84" s="17">
        <v>1.3158280566656999E-5</v>
      </c>
      <c r="AR84">
        <f t="shared" si="18"/>
        <v>0.14211206177600894</v>
      </c>
      <c r="AT84" s="3">
        <v>1.8052E-7</v>
      </c>
      <c r="AU84" s="3">
        <v>10800.2</v>
      </c>
      <c r="AV84" s="16">
        <v>0</v>
      </c>
      <c r="AW84">
        <f t="shared" si="19"/>
        <v>0</v>
      </c>
    </row>
    <row r="85" spans="1:49" x14ac:dyDescent="0.3">
      <c r="A85" s="3">
        <v>2.0374E-7</v>
      </c>
      <c r="B85" s="16">
        <v>11800.6</v>
      </c>
      <c r="C85" s="16">
        <v>6.8055994414693904E-3</v>
      </c>
      <c r="D85">
        <f t="shared" si="10"/>
        <v>80.310156769003697</v>
      </c>
      <c r="F85" s="3">
        <v>2.0374E-7</v>
      </c>
      <c r="G85" s="3">
        <v>11800.6</v>
      </c>
      <c r="H85" s="16">
        <v>0</v>
      </c>
      <c r="I85">
        <f t="shared" si="11"/>
        <v>0</v>
      </c>
      <c r="K85" s="3">
        <v>2.0374E-7</v>
      </c>
      <c r="L85" s="3">
        <v>11800.6</v>
      </c>
      <c r="M85" s="16">
        <v>0</v>
      </c>
      <c r="N85">
        <f t="shared" si="12"/>
        <v>0</v>
      </c>
      <c r="P85" s="3">
        <v>2.0374E-7</v>
      </c>
      <c r="Q85" s="3">
        <v>11800.6</v>
      </c>
      <c r="R85" s="16">
        <v>0</v>
      </c>
      <c r="S85">
        <f t="shared" si="13"/>
        <v>0</v>
      </c>
      <c r="U85" s="3">
        <v>2.0374E-7</v>
      </c>
      <c r="V85" s="3">
        <v>11800.6</v>
      </c>
      <c r="W85" s="16">
        <v>0</v>
      </c>
      <c r="X85">
        <f t="shared" si="14"/>
        <v>0</v>
      </c>
      <c r="Z85" s="3">
        <v>2.0374E-7</v>
      </c>
      <c r="AA85" s="3">
        <v>11800.6</v>
      </c>
      <c r="AB85" s="16">
        <v>0</v>
      </c>
      <c r="AC85">
        <f t="shared" si="15"/>
        <v>0</v>
      </c>
      <c r="AE85" s="3">
        <v>2.0374E-7</v>
      </c>
      <c r="AF85" s="3">
        <v>11800.6</v>
      </c>
      <c r="AG85" s="16">
        <v>0</v>
      </c>
      <c r="AH85">
        <f t="shared" si="16"/>
        <v>0</v>
      </c>
      <c r="AJ85" s="3">
        <v>2.0374E-7</v>
      </c>
      <c r="AK85" s="3">
        <v>11800.6</v>
      </c>
      <c r="AL85" s="16">
        <v>9.2454426509438103E-4</v>
      </c>
      <c r="AM85">
        <f t="shared" si="17"/>
        <v>10.910177054672753</v>
      </c>
      <c r="AO85" s="3">
        <v>2.0374E-7</v>
      </c>
      <c r="AP85" s="3">
        <v>11800.6</v>
      </c>
      <c r="AQ85" s="17">
        <v>1.22253712713701E-5</v>
      </c>
      <c r="AR85">
        <f t="shared" si="18"/>
        <v>0.14426671622493001</v>
      </c>
      <c r="AT85" s="3">
        <v>2.0374E-7</v>
      </c>
      <c r="AU85" s="3">
        <v>11800.6</v>
      </c>
      <c r="AV85" s="16">
        <v>0</v>
      </c>
      <c r="AW85">
        <f t="shared" si="19"/>
        <v>0</v>
      </c>
    </row>
    <row r="86" spans="1:49" x14ac:dyDescent="0.3">
      <c r="A86" s="3">
        <v>2.2994000000000001E-7</v>
      </c>
      <c r="B86" s="16">
        <v>11251.5</v>
      </c>
      <c r="C86" s="16">
        <v>6.5106334596823799E-3</v>
      </c>
      <c r="D86">
        <f t="shared" si="10"/>
        <v>73.254392371616291</v>
      </c>
      <c r="F86" s="3">
        <v>2.2994000000000001E-7</v>
      </c>
      <c r="G86" s="3">
        <v>11251.5</v>
      </c>
      <c r="H86" s="16">
        <v>0</v>
      </c>
      <c r="I86">
        <f t="shared" si="11"/>
        <v>0</v>
      </c>
      <c r="K86" s="3">
        <v>2.2994000000000001E-7</v>
      </c>
      <c r="L86" s="3">
        <v>11251.5</v>
      </c>
      <c r="M86" s="16">
        <v>0</v>
      </c>
      <c r="N86">
        <f t="shared" si="12"/>
        <v>0</v>
      </c>
      <c r="P86" s="3">
        <v>2.2994000000000001E-7</v>
      </c>
      <c r="Q86" s="3">
        <v>11251.5</v>
      </c>
      <c r="R86" s="16">
        <v>0</v>
      </c>
      <c r="S86">
        <f t="shared" si="13"/>
        <v>0</v>
      </c>
      <c r="U86" s="3">
        <v>2.2994000000000001E-7</v>
      </c>
      <c r="V86" s="3">
        <v>11251.5</v>
      </c>
      <c r="W86" s="16">
        <v>0</v>
      </c>
      <c r="X86">
        <f t="shared" si="14"/>
        <v>0</v>
      </c>
      <c r="Z86" s="3">
        <v>2.2994000000000001E-7</v>
      </c>
      <c r="AA86" s="3">
        <v>11251.5</v>
      </c>
      <c r="AB86" s="16">
        <v>0</v>
      </c>
      <c r="AC86">
        <f t="shared" si="15"/>
        <v>0</v>
      </c>
      <c r="AE86" s="3">
        <v>2.2994000000000001E-7</v>
      </c>
      <c r="AF86" s="3">
        <v>11251.5</v>
      </c>
      <c r="AG86" s="16">
        <v>0</v>
      </c>
      <c r="AH86">
        <f t="shared" si="16"/>
        <v>0</v>
      </c>
      <c r="AJ86" s="3">
        <v>2.2994000000000001E-7</v>
      </c>
      <c r="AK86" s="3">
        <v>11251.5</v>
      </c>
      <c r="AL86" s="16">
        <v>8.8028356771004904E-4</v>
      </c>
      <c r="AM86">
        <f t="shared" si="17"/>
        <v>9.9045105620896177</v>
      </c>
      <c r="AO86" s="3">
        <v>2.2994000000000001E-7</v>
      </c>
      <c r="AP86" s="3">
        <v>11251.5</v>
      </c>
      <c r="AQ86" s="17">
        <v>1.16431932301306E-5</v>
      </c>
      <c r="AR86">
        <f t="shared" si="18"/>
        <v>0.13100338862881444</v>
      </c>
      <c r="AT86" s="3">
        <v>2.2994000000000001E-7</v>
      </c>
      <c r="AU86" s="3">
        <v>11251.5</v>
      </c>
      <c r="AV86" s="16">
        <v>0</v>
      </c>
      <c r="AW86">
        <f t="shared" si="19"/>
        <v>0</v>
      </c>
    </row>
    <row r="87" spans="1:49" x14ac:dyDescent="0.3">
      <c r="A87" s="3">
        <v>2.5951999999999998E-7</v>
      </c>
      <c r="B87" s="16">
        <v>12242.6</v>
      </c>
      <c r="C87" s="16">
        <v>6.2346000783385898E-3</v>
      </c>
      <c r="D87">
        <f t="shared" si="10"/>
        <v>76.327714919068029</v>
      </c>
      <c r="F87" s="3">
        <v>2.5951999999999998E-7</v>
      </c>
      <c r="G87" s="3">
        <v>12242.6</v>
      </c>
      <c r="H87" s="16">
        <v>0</v>
      </c>
      <c r="I87">
        <f t="shared" si="11"/>
        <v>0</v>
      </c>
      <c r="K87" s="3">
        <v>2.5951999999999998E-7</v>
      </c>
      <c r="L87" s="3">
        <v>12242.6</v>
      </c>
      <c r="M87" s="16">
        <v>0</v>
      </c>
      <c r="N87">
        <f t="shared" si="12"/>
        <v>0</v>
      </c>
      <c r="P87" s="3">
        <v>2.5951999999999998E-7</v>
      </c>
      <c r="Q87" s="3">
        <v>12242.6</v>
      </c>
      <c r="R87" s="16">
        <v>0</v>
      </c>
      <c r="S87">
        <f t="shared" si="13"/>
        <v>0</v>
      </c>
      <c r="U87" s="3">
        <v>2.5951999999999998E-7</v>
      </c>
      <c r="V87" s="3">
        <v>12242.6</v>
      </c>
      <c r="W87" s="16">
        <v>0</v>
      </c>
      <c r="X87">
        <f t="shared" si="14"/>
        <v>0</v>
      </c>
      <c r="Z87" s="3">
        <v>2.5951999999999998E-7</v>
      </c>
      <c r="AA87" s="3">
        <v>12242.6</v>
      </c>
      <c r="AB87" s="16">
        <v>0</v>
      </c>
      <c r="AC87">
        <f t="shared" si="15"/>
        <v>0</v>
      </c>
      <c r="AE87" s="3">
        <v>2.5951999999999998E-7</v>
      </c>
      <c r="AF87" s="3">
        <v>12242.6</v>
      </c>
      <c r="AG87" s="16">
        <v>0</v>
      </c>
      <c r="AH87">
        <f t="shared" si="16"/>
        <v>0</v>
      </c>
      <c r="AJ87" s="3">
        <v>2.5951999999999998E-7</v>
      </c>
      <c r="AK87" s="3">
        <v>12242.6</v>
      </c>
      <c r="AL87" s="16">
        <v>8.3814989309891996E-4</v>
      </c>
      <c r="AM87">
        <f t="shared" si="17"/>
        <v>10.261133881252837</v>
      </c>
      <c r="AO87" s="3">
        <v>2.5951999999999998E-7</v>
      </c>
      <c r="AP87" s="3">
        <v>12242.6</v>
      </c>
      <c r="AQ87" s="17">
        <v>1.1088952382977399E-5</v>
      </c>
      <c r="AR87">
        <f t="shared" si="18"/>
        <v>0.13575760844383911</v>
      </c>
      <c r="AT87" s="3">
        <v>2.5951999999999998E-7</v>
      </c>
      <c r="AU87" s="3">
        <v>12242.6</v>
      </c>
      <c r="AV87" s="16">
        <v>0</v>
      </c>
      <c r="AW87">
        <f t="shared" si="19"/>
        <v>0</v>
      </c>
    </row>
    <row r="88" spans="1:49" x14ac:dyDescent="0.3">
      <c r="A88" s="3">
        <v>2.9289999999999998E-7</v>
      </c>
      <c r="B88" s="16">
        <v>13197</v>
      </c>
      <c r="C88" s="16">
        <v>5.9766411625737101E-3</v>
      </c>
      <c r="D88">
        <f t="shared" si="10"/>
        <v>78.873733422485259</v>
      </c>
      <c r="F88" s="3">
        <v>2.9289999999999998E-7</v>
      </c>
      <c r="G88" s="3">
        <v>13197</v>
      </c>
      <c r="H88" s="16">
        <v>0</v>
      </c>
      <c r="I88">
        <f t="shared" si="11"/>
        <v>0</v>
      </c>
      <c r="K88" s="3">
        <v>2.9289999999999998E-7</v>
      </c>
      <c r="L88" s="3">
        <v>13197</v>
      </c>
      <c r="M88" s="16">
        <v>0</v>
      </c>
      <c r="N88">
        <f t="shared" si="12"/>
        <v>0</v>
      </c>
      <c r="P88" s="3">
        <v>2.9289999999999998E-7</v>
      </c>
      <c r="Q88" s="3">
        <v>13197</v>
      </c>
      <c r="R88" s="16">
        <v>0</v>
      </c>
      <c r="S88">
        <f t="shared" si="13"/>
        <v>0</v>
      </c>
      <c r="U88" s="3">
        <v>2.9289999999999998E-7</v>
      </c>
      <c r="V88" s="3">
        <v>13197</v>
      </c>
      <c r="W88" s="16">
        <v>0</v>
      </c>
      <c r="X88">
        <f t="shared" si="14"/>
        <v>0</v>
      </c>
      <c r="Z88" s="3">
        <v>2.9289999999999998E-7</v>
      </c>
      <c r="AA88" s="3">
        <v>13197</v>
      </c>
      <c r="AB88" s="16">
        <v>0</v>
      </c>
      <c r="AC88">
        <f t="shared" si="15"/>
        <v>0</v>
      </c>
      <c r="AE88" s="3">
        <v>2.9289999999999998E-7</v>
      </c>
      <c r="AF88" s="3">
        <v>13197</v>
      </c>
      <c r="AG88" s="16">
        <v>0</v>
      </c>
      <c r="AH88">
        <f t="shared" si="16"/>
        <v>0</v>
      </c>
      <c r="AJ88" s="3">
        <v>2.9289999999999998E-7</v>
      </c>
      <c r="AK88" s="3">
        <v>13197</v>
      </c>
      <c r="AL88" s="16">
        <v>7.9810893444207196E-4</v>
      </c>
      <c r="AM88">
        <f t="shared" si="17"/>
        <v>10.532643607832023</v>
      </c>
      <c r="AO88" s="3">
        <v>2.9289999999999998E-7</v>
      </c>
      <c r="AP88" s="3">
        <v>13197</v>
      </c>
      <c r="AQ88" s="17">
        <v>1.05614540472687E-5</v>
      </c>
      <c r="AR88">
        <f t="shared" si="18"/>
        <v>0.13937950906180505</v>
      </c>
      <c r="AT88" s="3">
        <v>2.9289999999999998E-7</v>
      </c>
      <c r="AU88" s="3">
        <v>13197</v>
      </c>
      <c r="AV88" s="16">
        <v>0</v>
      </c>
      <c r="AW88">
        <f t="shared" si="19"/>
        <v>0</v>
      </c>
    </row>
    <row r="89" spans="1:49" x14ac:dyDescent="0.3">
      <c r="A89" s="3">
        <v>3.3056999999999997E-7</v>
      </c>
      <c r="B89" s="16">
        <v>14162.7</v>
      </c>
      <c r="C89" s="16">
        <v>5.6249578296006198E-3</v>
      </c>
      <c r="D89">
        <f t="shared" si="10"/>
        <v>79.6645902532847</v>
      </c>
      <c r="F89" s="3">
        <v>3.3056999999999997E-7</v>
      </c>
      <c r="G89" s="3">
        <v>14162.7</v>
      </c>
      <c r="H89" s="16">
        <v>0</v>
      </c>
      <c r="I89">
        <f t="shared" si="11"/>
        <v>0</v>
      </c>
      <c r="K89" s="3">
        <v>3.3056999999999997E-7</v>
      </c>
      <c r="L89" s="3">
        <v>14162.7</v>
      </c>
      <c r="M89" s="16">
        <v>0</v>
      </c>
      <c r="N89">
        <f t="shared" si="12"/>
        <v>0</v>
      </c>
      <c r="P89" s="3">
        <v>3.3056999999999997E-7</v>
      </c>
      <c r="Q89" s="3">
        <v>14162.7</v>
      </c>
      <c r="R89" s="16">
        <v>0</v>
      </c>
      <c r="S89">
        <f t="shared" si="13"/>
        <v>0</v>
      </c>
      <c r="U89" s="3">
        <v>3.3056999999999997E-7</v>
      </c>
      <c r="V89" s="3">
        <v>14162.7</v>
      </c>
      <c r="W89" s="16">
        <v>0</v>
      </c>
      <c r="X89">
        <f t="shared" si="14"/>
        <v>0</v>
      </c>
      <c r="Z89" s="3">
        <v>3.3056999999999997E-7</v>
      </c>
      <c r="AA89" s="3">
        <v>14162.7</v>
      </c>
      <c r="AB89" s="16">
        <v>0</v>
      </c>
      <c r="AC89">
        <f t="shared" si="15"/>
        <v>0</v>
      </c>
      <c r="AE89" s="3">
        <v>3.3056999999999997E-7</v>
      </c>
      <c r="AF89" s="3">
        <v>14162.7</v>
      </c>
      <c r="AG89" s="16">
        <v>0</v>
      </c>
      <c r="AH89">
        <f t="shared" si="16"/>
        <v>0</v>
      </c>
      <c r="AJ89" s="3">
        <v>3.3056999999999997E-7</v>
      </c>
      <c r="AK89" s="3">
        <v>14162.7</v>
      </c>
      <c r="AL89" s="16">
        <v>7.4175508338751096E-4</v>
      </c>
      <c r="AM89">
        <f t="shared" si="17"/>
        <v>10.505254719492301</v>
      </c>
      <c r="AO89" s="3">
        <v>3.3056999999999997E-7</v>
      </c>
      <c r="AP89" s="3">
        <v>14162.7</v>
      </c>
      <c r="AQ89" s="17">
        <v>9.8203372653309898E-6</v>
      </c>
      <c r="AR89">
        <f t="shared" si="18"/>
        <v>0.13908249058770322</v>
      </c>
      <c r="AT89" s="3">
        <v>3.3056999999999997E-7</v>
      </c>
      <c r="AU89" s="3">
        <v>14162.7</v>
      </c>
      <c r="AV89" s="16">
        <v>0</v>
      </c>
      <c r="AW89">
        <f t="shared" si="19"/>
        <v>0</v>
      </c>
    </row>
    <row r="90" spans="1:49" x14ac:dyDescent="0.3">
      <c r="A90" s="3">
        <v>3.7309000000000001E-7</v>
      </c>
      <c r="B90" s="16">
        <v>14518.1</v>
      </c>
      <c r="C90" s="16">
        <v>5.30747474653107E-3</v>
      </c>
      <c r="D90">
        <f t="shared" si="10"/>
        <v>77.054449117612734</v>
      </c>
      <c r="F90" s="3">
        <v>3.7309000000000001E-7</v>
      </c>
      <c r="G90" s="3">
        <v>14518.1</v>
      </c>
      <c r="H90" s="16">
        <v>0</v>
      </c>
      <c r="I90">
        <f t="shared" si="11"/>
        <v>0</v>
      </c>
      <c r="K90" s="3">
        <v>3.7309000000000001E-7</v>
      </c>
      <c r="L90" s="3">
        <v>14518.1</v>
      </c>
      <c r="M90" s="16">
        <v>0</v>
      </c>
      <c r="N90">
        <f t="shared" si="12"/>
        <v>0</v>
      </c>
      <c r="P90" s="3">
        <v>3.7309000000000001E-7</v>
      </c>
      <c r="Q90" s="3">
        <v>14518.1</v>
      </c>
      <c r="R90" s="16">
        <v>0</v>
      </c>
      <c r="S90">
        <f t="shared" si="13"/>
        <v>0</v>
      </c>
      <c r="U90" s="3">
        <v>3.7309000000000001E-7</v>
      </c>
      <c r="V90" s="3">
        <v>14518.1</v>
      </c>
      <c r="W90" s="16">
        <v>0</v>
      </c>
      <c r="X90">
        <f t="shared" si="14"/>
        <v>0</v>
      </c>
      <c r="Z90" s="3">
        <v>3.7309000000000001E-7</v>
      </c>
      <c r="AA90" s="3">
        <v>14518.1</v>
      </c>
      <c r="AB90" s="16">
        <v>0</v>
      </c>
      <c r="AC90">
        <f t="shared" si="15"/>
        <v>0</v>
      </c>
      <c r="AE90" s="3">
        <v>3.7309000000000001E-7</v>
      </c>
      <c r="AF90" s="3">
        <v>14518.1</v>
      </c>
      <c r="AG90" s="16">
        <v>0</v>
      </c>
      <c r="AH90">
        <f t="shared" si="16"/>
        <v>0</v>
      </c>
      <c r="AJ90" s="3">
        <v>3.7309000000000001E-7</v>
      </c>
      <c r="AK90" s="3">
        <v>14518.1</v>
      </c>
      <c r="AL90" s="16">
        <v>6.8896914150090301E-4</v>
      </c>
      <c r="AM90">
        <f t="shared" si="17"/>
        <v>10.00252289322426</v>
      </c>
      <c r="AO90" s="3">
        <v>3.7309000000000001E-7</v>
      </c>
      <c r="AP90" s="3">
        <v>14518.1</v>
      </c>
      <c r="AQ90" s="17">
        <v>9.1264380173456798E-6</v>
      </c>
      <c r="AR90">
        <f t="shared" si="18"/>
        <v>0.13249853977962631</v>
      </c>
      <c r="AT90" s="3">
        <v>3.7309000000000001E-7</v>
      </c>
      <c r="AU90" s="3">
        <v>14518.1</v>
      </c>
      <c r="AV90" s="16">
        <v>0</v>
      </c>
      <c r="AW90">
        <f t="shared" si="19"/>
        <v>0</v>
      </c>
    </row>
    <row r="91" spans="1:49" x14ac:dyDescent="0.3">
      <c r="A91" s="3">
        <v>4.2108000000000001E-7</v>
      </c>
      <c r="B91" s="16">
        <v>15513.6</v>
      </c>
      <c r="C91" s="16">
        <v>5.1061348539990902E-3</v>
      </c>
      <c r="D91">
        <f t="shared" si="10"/>
        <v>79.214533671000282</v>
      </c>
      <c r="F91" s="3">
        <v>4.2108000000000001E-7</v>
      </c>
      <c r="G91" s="3">
        <v>15513.6</v>
      </c>
      <c r="H91" s="16">
        <v>0</v>
      </c>
      <c r="I91">
        <f t="shared" si="11"/>
        <v>0</v>
      </c>
      <c r="K91" s="3">
        <v>4.2108000000000001E-7</v>
      </c>
      <c r="L91" s="3">
        <v>15513.6</v>
      </c>
      <c r="M91" s="16">
        <v>0</v>
      </c>
      <c r="N91">
        <f t="shared" si="12"/>
        <v>0</v>
      </c>
      <c r="P91" s="3">
        <v>4.2108000000000001E-7</v>
      </c>
      <c r="Q91" s="3">
        <v>15513.6</v>
      </c>
      <c r="R91" s="16">
        <v>0</v>
      </c>
      <c r="S91">
        <f t="shared" si="13"/>
        <v>0</v>
      </c>
      <c r="U91" s="3">
        <v>4.2108000000000001E-7</v>
      </c>
      <c r="V91" s="3">
        <v>15513.6</v>
      </c>
      <c r="W91" s="16">
        <v>0</v>
      </c>
      <c r="X91">
        <f t="shared" si="14"/>
        <v>0</v>
      </c>
      <c r="Z91" s="3">
        <v>4.2108000000000001E-7</v>
      </c>
      <c r="AA91" s="3">
        <v>15513.6</v>
      </c>
      <c r="AB91" s="16">
        <v>0</v>
      </c>
      <c r="AC91">
        <f t="shared" si="15"/>
        <v>0</v>
      </c>
      <c r="AE91" s="3">
        <v>4.2108000000000001E-7</v>
      </c>
      <c r="AF91" s="3">
        <v>15513.6</v>
      </c>
      <c r="AG91" s="16">
        <v>0</v>
      </c>
      <c r="AH91">
        <f t="shared" si="16"/>
        <v>0</v>
      </c>
      <c r="AJ91" s="3">
        <v>4.2108000000000001E-7</v>
      </c>
      <c r="AK91" s="3">
        <v>15513.6</v>
      </c>
      <c r="AL91" s="16">
        <v>6.5600028851624996E-4</v>
      </c>
      <c r="AM91">
        <f t="shared" si="17"/>
        <v>10.176926075925696</v>
      </c>
      <c r="AO91" s="3">
        <v>4.2108000000000001E-7</v>
      </c>
      <c r="AP91" s="3">
        <v>15513.6</v>
      </c>
      <c r="AQ91" s="17">
        <v>8.6934850279396101E-6</v>
      </c>
      <c r="AR91">
        <f t="shared" si="18"/>
        <v>0.13486724932944394</v>
      </c>
      <c r="AT91" s="3">
        <v>4.2108000000000001E-7</v>
      </c>
      <c r="AU91" s="3">
        <v>15513.6</v>
      </c>
      <c r="AV91" s="16">
        <v>0</v>
      </c>
      <c r="AW91">
        <f t="shared" si="19"/>
        <v>0</v>
      </c>
    </row>
    <row r="92" spans="1:49" x14ac:dyDescent="0.3">
      <c r="A92" s="3">
        <v>4.7524000000000001E-7</v>
      </c>
      <c r="B92" s="16">
        <v>16221</v>
      </c>
      <c r="C92" s="16">
        <v>4.9237275619103101E-3</v>
      </c>
      <c r="D92">
        <f t="shared" si="10"/>
        <v>79.867784781747133</v>
      </c>
      <c r="F92" s="3">
        <v>4.7524000000000001E-7</v>
      </c>
      <c r="G92" s="3">
        <v>16221</v>
      </c>
      <c r="H92" s="16">
        <v>0</v>
      </c>
      <c r="I92">
        <f t="shared" si="11"/>
        <v>0</v>
      </c>
      <c r="K92" s="3">
        <v>4.7524000000000001E-7</v>
      </c>
      <c r="L92" s="3">
        <v>16221</v>
      </c>
      <c r="M92" s="16">
        <v>0</v>
      </c>
      <c r="N92">
        <f t="shared" si="12"/>
        <v>0</v>
      </c>
      <c r="P92" s="3">
        <v>4.7524000000000001E-7</v>
      </c>
      <c r="Q92" s="3">
        <v>16221</v>
      </c>
      <c r="R92" s="16">
        <v>0</v>
      </c>
      <c r="S92">
        <f t="shared" si="13"/>
        <v>0</v>
      </c>
      <c r="U92" s="3">
        <v>4.7524000000000001E-7</v>
      </c>
      <c r="V92" s="3">
        <v>16221</v>
      </c>
      <c r="W92" s="16">
        <v>0</v>
      </c>
      <c r="X92">
        <f t="shared" si="14"/>
        <v>0</v>
      </c>
      <c r="Z92" s="3">
        <v>4.7524000000000001E-7</v>
      </c>
      <c r="AA92" s="3">
        <v>16221</v>
      </c>
      <c r="AB92" s="16">
        <v>0</v>
      </c>
      <c r="AC92">
        <f t="shared" si="15"/>
        <v>0</v>
      </c>
      <c r="AE92" s="3">
        <v>4.7524000000000001E-7</v>
      </c>
      <c r="AF92" s="3">
        <v>16221</v>
      </c>
      <c r="AG92" s="16">
        <v>0</v>
      </c>
      <c r="AH92">
        <f t="shared" si="16"/>
        <v>0</v>
      </c>
      <c r="AJ92" s="3">
        <v>4.7524000000000001E-7</v>
      </c>
      <c r="AK92" s="3">
        <v>16221</v>
      </c>
      <c r="AL92" s="16">
        <v>6.2462915309856499E-4</v>
      </c>
      <c r="AM92">
        <f t="shared" si="17"/>
        <v>10.132109492411823</v>
      </c>
      <c r="AO92" s="3">
        <v>4.7524000000000001E-7</v>
      </c>
      <c r="AP92" s="3">
        <v>16221</v>
      </c>
      <c r="AQ92" s="17">
        <v>8.2814481746323707E-6</v>
      </c>
      <c r="AR92">
        <f t="shared" si="18"/>
        <v>0.13433337084071167</v>
      </c>
      <c r="AT92" s="3">
        <v>4.7524000000000001E-7</v>
      </c>
      <c r="AU92" s="3">
        <v>16221</v>
      </c>
      <c r="AV92" s="16">
        <v>0</v>
      </c>
      <c r="AW92">
        <f t="shared" si="19"/>
        <v>0</v>
      </c>
    </row>
    <row r="93" spans="1:49" x14ac:dyDescent="0.3">
      <c r="A93" s="3">
        <v>5.3636999999999998E-7</v>
      </c>
      <c r="B93" s="16">
        <v>16443.400000000001</v>
      </c>
      <c r="C93" s="16">
        <v>4.7603243815034198E-3</v>
      </c>
      <c r="D93">
        <f t="shared" si="10"/>
        <v>78.275917934813336</v>
      </c>
      <c r="F93" s="3">
        <v>5.3636999999999998E-7</v>
      </c>
      <c r="G93" s="3">
        <v>16443.400000000001</v>
      </c>
      <c r="H93" s="16">
        <v>0</v>
      </c>
      <c r="I93">
        <f t="shared" si="11"/>
        <v>0</v>
      </c>
      <c r="K93" s="3">
        <v>5.3636999999999998E-7</v>
      </c>
      <c r="L93" s="3">
        <v>16443.400000000001</v>
      </c>
      <c r="M93" s="16">
        <v>0</v>
      </c>
      <c r="N93">
        <f t="shared" si="12"/>
        <v>0</v>
      </c>
      <c r="P93" s="3">
        <v>5.3636999999999998E-7</v>
      </c>
      <c r="Q93" s="3">
        <v>16443.400000000001</v>
      </c>
      <c r="R93" s="16">
        <v>0</v>
      </c>
      <c r="S93">
        <f t="shared" si="13"/>
        <v>0</v>
      </c>
      <c r="U93" s="3">
        <v>5.3636999999999998E-7</v>
      </c>
      <c r="V93" s="3">
        <v>16443.400000000001</v>
      </c>
      <c r="W93" s="16">
        <v>0</v>
      </c>
      <c r="X93">
        <f t="shared" si="14"/>
        <v>0</v>
      </c>
      <c r="Z93" s="3">
        <v>5.3636999999999998E-7</v>
      </c>
      <c r="AA93" s="3">
        <v>16443.400000000001</v>
      </c>
      <c r="AB93" s="16">
        <v>0</v>
      </c>
      <c r="AC93">
        <f t="shared" si="15"/>
        <v>0</v>
      </c>
      <c r="AE93" s="3">
        <v>5.3636999999999998E-7</v>
      </c>
      <c r="AF93" s="3">
        <v>16443.400000000001</v>
      </c>
      <c r="AG93" s="16">
        <v>0</v>
      </c>
      <c r="AH93">
        <f t="shared" si="16"/>
        <v>0</v>
      </c>
      <c r="AJ93" s="3">
        <v>5.3636999999999998E-7</v>
      </c>
      <c r="AK93" s="3">
        <v>16443.400000000001</v>
      </c>
      <c r="AL93" s="16">
        <v>5.8054979175711004E-4</v>
      </c>
      <c r="AM93">
        <f t="shared" si="17"/>
        <v>9.5462124457788633</v>
      </c>
      <c r="AO93" s="3">
        <v>5.3636999999999998E-7</v>
      </c>
      <c r="AP93" s="3">
        <v>16443.400000000001</v>
      </c>
      <c r="AQ93" s="17">
        <v>7.7027439029207208E-6</v>
      </c>
      <c r="AR93">
        <f t="shared" si="18"/>
        <v>0.1266592990932866</v>
      </c>
      <c r="AT93" s="3">
        <v>5.3636999999999998E-7</v>
      </c>
      <c r="AU93" s="3">
        <v>16443.400000000001</v>
      </c>
      <c r="AV93" s="16">
        <v>0</v>
      </c>
      <c r="AW93">
        <f t="shared" si="19"/>
        <v>0</v>
      </c>
    </row>
    <row r="94" spans="1:49" x14ac:dyDescent="0.3">
      <c r="A94" s="3">
        <v>6.0536000000000002E-7</v>
      </c>
      <c r="B94" s="16">
        <v>18023.599999999999</v>
      </c>
      <c r="C94" s="16">
        <v>4.6163007467815596E-3</v>
      </c>
      <c r="D94">
        <f t="shared" si="10"/>
        <v>83.202358139692109</v>
      </c>
      <c r="F94" s="3">
        <v>6.0536000000000002E-7</v>
      </c>
      <c r="G94" s="3">
        <v>18023.599999999999</v>
      </c>
      <c r="H94" s="16">
        <v>0</v>
      </c>
      <c r="I94">
        <f t="shared" si="11"/>
        <v>0</v>
      </c>
      <c r="K94" s="3">
        <v>6.0536000000000002E-7</v>
      </c>
      <c r="L94" s="3">
        <v>18023.599999999999</v>
      </c>
      <c r="M94" s="16">
        <v>0</v>
      </c>
      <c r="N94">
        <f t="shared" si="12"/>
        <v>0</v>
      </c>
      <c r="P94" s="3">
        <v>6.0536000000000002E-7</v>
      </c>
      <c r="Q94" s="3">
        <v>18023.599999999999</v>
      </c>
      <c r="R94" s="16">
        <v>0</v>
      </c>
      <c r="S94">
        <f t="shared" si="13"/>
        <v>0</v>
      </c>
      <c r="U94" s="3">
        <v>6.0536000000000002E-7</v>
      </c>
      <c r="V94" s="3">
        <v>18023.599999999999</v>
      </c>
      <c r="W94" s="16">
        <v>0</v>
      </c>
      <c r="X94">
        <f t="shared" si="14"/>
        <v>0</v>
      </c>
      <c r="Z94" s="3">
        <v>6.0536000000000002E-7</v>
      </c>
      <c r="AA94" s="3">
        <v>18023.599999999999</v>
      </c>
      <c r="AB94" s="16">
        <v>0</v>
      </c>
      <c r="AC94">
        <f t="shared" si="15"/>
        <v>0</v>
      </c>
      <c r="AE94" s="3">
        <v>6.0536000000000002E-7</v>
      </c>
      <c r="AF94" s="3">
        <v>18023.599999999999</v>
      </c>
      <c r="AG94" s="16">
        <v>0</v>
      </c>
      <c r="AH94">
        <f t="shared" si="16"/>
        <v>0</v>
      </c>
      <c r="AJ94" s="3">
        <v>6.0536000000000002E-7</v>
      </c>
      <c r="AK94" s="3">
        <v>18023.599999999999</v>
      </c>
      <c r="AL94" s="16">
        <v>5.3916596618814705E-4</v>
      </c>
      <c r="AM94">
        <f t="shared" si="17"/>
        <v>9.7177117081886859</v>
      </c>
      <c r="AO94" s="3">
        <v>6.0536000000000002E-7</v>
      </c>
      <c r="AP94" s="3">
        <v>18023.599999999999</v>
      </c>
      <c r="AQ94" s="17">
        <v>7.1611023627058197E-6</v>
      </c>
      <c r="AR94">
        <f t="shared" si="18"/>
        <v>0.1290688445444646</v>
      </c>
      <c r="AT94" s="3">
        <v>6.0536000000000002E-7</v>
      </c>
      <c r="AU94" s="3">
        <v>18023.599999999999</v>
      </c>
      <c r="AV94" s="16">
        <v>0</v>
      </c>
      <c r="AW94">
        <f t="shared" si="19"/>
        <v>0</v>
      </c>
    </row>
    <row r="95" spans="1:49" x14ac:dyDescent="0.3">
      <c r="A95" s="3">
        <v>6.8322999999999996E-7</v>
      </c>
      <c r="B95" s="16">
        <v>18843.900000000001</v>
      </c>
      <c r="C95" s="16">
        <v>4.4923538923219396E-3</v>
      </c>
      <c r="D95">
        <f t="shared" si="10"/>
        <v>84.653467511525406</v>
      </c>
      <c r="F95" s="3">
        <v>6.8322999999999996E-7</v>
      </c>
      <c r="G95" s="3">
        <v>18843.900000000001</v>
      </c>
      <c r="H95" s="16">
        <v>0</v>
      </c>
      <c r="I95">
        <f t="shared" si="11"/>
        <v>0</v>
      </c>
      <c r="K95" s="3">
        <v>6.8322999999999996E-7</v>
      </c>
      <c r="L95" s="3">
        <v>18843.900000000001</v>
      </c>
      <c r="M95" s="16">
        <v>0</v>
      </c>
      <c r="N95">
        <f t="shared" si="12"/>
        <v>0</v>
      </c>
      <c r="P95" s="3">
        <v>6.8322999999999996E-7</v>
      </c>
      <c r="Q95" s="3">
        <v>18843.900000000001</v>
      </c>
      <c r="R95" s="16">
        <v>0</v>
      </c>
      <c r="S95">
        <f t="shared" si="13"/>
        <v>0</v>
      </c>
      <c r="U95" s="3">
        <v>6.8322999999999996E-7</v>
      </c>
      <c r="V95" s="3">
        <v>18843.900000000001</v>
      </c>
      <c r="W95" s="16">
        <v>0</v>
      </c>
      <c r="X95">
        <f t="shared" si="14"/>
        <v>0</v>
      </c>
      <c r="Z95" s="3">
        <v>6.8322999999999996E-7</v>
      </c>
      <c r="AA95" s="3">
        <v>18843.900000000001</v>
      </c>
      <c r="AB95" s="16">
        <v>0</v>
      </c>
      <c r="AC95">
        <f t="shared" si="15"/>
        <v>0</v>
      </c>
      <c r="AE95" s="3">
        <v>6.8322999999999996E-7</v>
      </c>
      <c r="AF95" s="3">
        <v>18843.900000000001</v>
      </c>
      <c r="AG95" s="16">
        <v>0</v>
      </c>
      <c r="AH95">
        <f t="shared" si="16"/>
        <v>0</v>
      </c>
      <c r="AJ95" s="3">
        <v>6.8322999999999996E-7</v>
      </c>
      <c r="AK95" s="3">
        <v>18843.900000000001</v>
      </c>
      <c r="AL95" s="16">
        <v>5.1337213933245703E-4</v>
      </c>
      <c r="AM95">
        <f t="shared" si="17"/>
        <v>9.6739332563668885</v>
      </c>
      <c r="AO95" s="3">
        <v>6.8322999999999996E-7</v>
      </c>
      <c r="AP95" s="3">
        <v>18843.900000000001</v>
      </c>
      <c r="AQ95" s="17">
        <v>6.8232644913238804E-6</v>
      </c>
      <c r="AR95">
        <f t="shared" si="18"/>
        <v>0.12857691374805807</v>
      </c>
      <c r="AT95" s="3">
        <v>6.8322999999999996E-7</v>
      </c>
      <c r="AU95" s="3">
        <v>18843.900000000001</v>
      </c>
      <c r="AV95" s="16">
        <v>0</v>
      </c>
      <c r="AW95">
        <f t="shared" si="19"/>
        <v>0</v>
      </c>
    </row>
    <row r="96" spans="1:49" x14ac:dyDescent="0.3">
      <c r="A96" s="3">
        <v>7.7110999999999997E-7</v>
      </c>
      <c r="B96" s="16">
        <v>18692.599999999999</v>
      </c>
      <c r="C96" s="16">
        <v>4.3894849754662199E-3</v>
      </c>
      <c r="D96">
        <f t="shared" si="10"/>
        <v>82.050886852399856</v>
      </c>
      <c r="F96" s="3">
        <v>7.7110999999999997E-7</v>
      </c>
      <c r="G96" s="3">
        <v>18692.599999999999</v>
      </c>
      <c r="H96" s="16">
        <v>0</v>
      </c>
      <c r="I96">
        <f t="shared" si="11"/>
        <v>0</v>
      </c>
      <c r="K96" s="3">
        <v>7.7110999999999997E-7</v>
      </c>
      <c r="L96" s="3">
        <v>18692.599999999999</v>
      </c>
      <c r="M96" s="16">
        <v>0</v>
      </c>
      <c r="N96">
        <f t="shared" si="12"/>
        <v>0</v>
      </c>
      <c r="P96" s="3">
        <v>7.7110999999999997E-7</v>
      </c>
      <c r="Q96" s="3">
        <v>18692.599999999999</v>
      </c>
      <c r="R96" s="16">
        <v>0</v>
      </c>
      <c r="S96">
        <f t="shared" si="13"/>
        <v>0</v>
      </c>
      <c r="U96" s="3">
        <v>7.7110999999999997E-7</v>
      </c>
      <c r="V96" s="3">
        <v>18692.599999999999</v>
      </c>
      <c r="W96" s="16">
        <v>0</v>
      </c>
      <c r="X96">
        <f t="shared" si="14"/>
        <v>0</v>
      </c>
      <c r="Z96" s="3">
        <v>7.7110999999999997E-7</v>
      </c>
      <c r="AA96" s="3">
        <v>18692.599999999999</v>
      </c>
      <c r="AB96" s="16">
        <v>0</v>
      </c>
      <c r="AC96">
        <f t="shared" si="15"/>
        <v>0</v>
      </c>
      <c r="AE96" s="3">
        <v>7.7110999999999997E-7</v>
      </c>
      <c r="AF96" s="3">
        <v>18692.599999999999</v>
      </c>
      <c r="AG96" s="16">
        <v>0</v>
      </c>
      <c r="AH96">
        <f t="shared" si="16"/>
        <v>0</v>
      </c>
      <c r="AJ96" s="3">
        <v>7.7110999999999997E-7</v>
      </c>
      <c r="AK96" s="3">
        <v>18692.599999999999</v>
      </c>
      <c r="AL96" s="16">
        <v>4.87174472208305E-4</v>
      </c>
      <c r="AM96">
        <f t="shared" si="17"/>
        <v>9.1065575392009617</v>
      </c>
      <c r="AO96" s="3">
        <v>7.7110999999999997E-7</v>
      </c>
      <c r="AP96" s="3">
        <v>18692.599999999999</v>
      </c>
      <c r="AQ96" s="17">
        <v>6.50183972146765E-6</v>
      </c>
      <c r="AR96">
        <f t="shared" si="18"/>
        <v>0.12153628917750618</v>
      </c>
      <c r="AT96" s="3">
        <v>7.7110999999999997E-7</v>
      </c>
      <c r="AU96" s="3">
        <v>18692.599999999999</v>
      </c>
      <c r="AV96" s="16">
        <v>0</v>
      </c>
      <c r="AW96">
        <f t="shared" si="19"/>
        <v>0</v>
      </c>
    </row>
    <row r="97" spans="1:49" x14ac:dyDescent="0.3">
      <c r="A97" s="3">
        <v>8.7028999999999999E-7</v>
      </c>
      <c r="B97" s="16">
        <v>20338.900000000001</v>
      </c>
      <c r="C97" s="16">
        <v>4.3093387547042897E-3</v>
      </c>
      <c r="D97">
        <f t="shared" si="10"/>
        <v>87.647209998055089</v>
      </c>
      <c r="F97" s="3">
        <v>8.7028999999999999E-7</v>
      </c>
      <c r="G97" s="3">
        <v>20338.900000000001</v>
      </c>
      <c r="H97" s="16">
        <v>0</v>
      </c>
      <c r="I97">
        <f t="shared" si="11"/>
        <v>0</v>
      </c>
      <c r="K97" s="3">
        <v>8.7028999999999999E-7</v>
      </c>
      <c r="L97" s="3">
        <v>20338.900000000001</v>
      </c>
      <c r="M97" s="16">
        <v>0</v>
      </c>
      <c r="N97">
        <f t="shared" si="12"/>
        <v>0</v>
      </c>
      <c r="P97" s="3">
        <v>8.7028999999999999E-7</v>
      </c>
      <c r="Q97" s="3">
        <v>20338.900000000001</v>
      </c>
      <c r="R97" s="16">
        <v>0</v>
      </c>
      <c r="S97">
        <f t="shared" si="13"/>
        <v>0</v>
      </c>
      <c r="U97" s="3">
        <v>8.7028999999999999E-7</v>
      </c>
      <c r="V97" s="3">
        <v>20338.900000000001</v>
      </c>
      <c r="W97" s="16">
        <v>0</v>
      </c>
      <c r="X97">
        <f t="shared" si="14"/>
        <v>0</v>
      </c>
      <c r="Z97" s="3">
        <v>8.7028999999999999E-7</v>
      </c>
      <c r="AA97" s="3">
        <v>20338.900000000001</v>
      </c>
      <c r="AB97" s="16">
        <v>0</v>
      </c>
      <c r="AC97">
        <f t="shared" si="15"/>
        <v>0</v>
      </c>
      <c r="AE97" s="3">
        <v>8.7028999999999999E-7</v>
      </c>
      <c r="AF97" s="3">
        <v>20338.900000000001</v>
      </c>
      <c r="AG97" s="16">
        <v>0</v>
      </c>
      <c r="AH97">
        <f t="shared" si="16"/>
        <v>0</v>
      </c>
      <c r="AJ97" s="3">
        <v>8.7028999999999999E-7</v>
      </c>
      <c r="AK97" s="3">
        <v>20338.900000000001</v>
      </c>
      <c r="AL97" s="16">
        <v>4.5268778753503199E-4</v>
      </c>
      <c r="AM97">
        <f t="shared" si="17"/>
        <v>9.207171641896263</v>
      </c>
      <c r="AO97" s="3">
        <v>8.7028999999999999E-7</v>
      </c>
      <c r="AP97" s="3">
        <v>20338.900000000001</v>
      </c>
      <c r="AQ97" s="17">
        <v>6.0506310623074801E-6</v>
      </c>
      <c r="AR97">
        <f t="shared" si="18"/>
        <v>0.12306318011316561</v>
      </c>
      <c r="AT97" s="3">
        <v>8.7028999999999999E-7</v>
      </c>
      <c r="AU97" s="3">
        <v>20338.900000000001</v>
      </c>
      <c r="AV97" s="16">
        <v>0</v>
      </c>
      <c r="AW97">
        <f t="shared" si="19"/>
        <v>0</v>
      </c>
    </row>
    <row r="98" spans="1:49" x14ac:dyDescent="0.3">
      <c r="A98" s="3">
        <v>9.8223000000000008E-7</v>
      </c>
      <c r="B98" s="16">
        <v>20229.400000000001</v>
      </c>
      <c r="C98" s="16">
        <v>4.2540963228161798E-3</v>
      </c>
      <c r="D98">
        <f t="shared" si="10"/>
        <v>86.057816152777633</v>
      </c>
      <c r="F98" s="3">
        <v>9.8223000000000008E-7</v>
      </c>
      <c r="G98" s="3">
        <v>20229.400000000001</v>
      </c>
      <c r="H98" s="16">
        <v>0</v>
      </c>
      <c r="I98">
        <f t="shared" si="11"/>
        <v>0</v>
      </c>
      <c r="K98" s="3">
        <v>9.8223000000000008E-7</v>
      </c>
      <c r="L98" s="3">
        <v>20229.400000000001</v>
      </c>
      <c r="M98" s="16">
        <v>0</v>
      </c>
      <c r="N98">
        <f t="shared" si="12"/>
        <v>0</v>
      </c>
      <c r="P98" s="3">
        <v>9.8223000000000008E-7</v>
      </c>
      <c r="Q98" s="3">
        <v>20229.400000000001</v>
      </c>
      <c r="R98" s="16">
        <v>0</v>
      </c>
      <c r="S98">
        <f t="shared" si="13"/>
        <v>0</v>
      </c>
      <c r="U98" s="3">
        <v>9.8223000000000008E-7</v>
      </c>
      <c r="V98" s="3">
        <v>20229.400000000001</v>
      </c>
      <c r="W98" s="16">
        <v>0</v>
      </c>
      <c r="X98">
        <f t="shared" si="14"/>
        <v>0</v>
      </c>
      <c r="Z98" s="3">
        <v>9.8223000000000008E-7</v>
      </c>
      <c r="AA98" s="3">
        <v>20229.400000000001</v>
      </c>
      <c r="AB98" s="16">
        <v>0</v>
      </c>
      <c r="AC98">
        <f t="shared" si="15"/>
        <v>0</v>
      </c>
      <c r="AE98" s="3">
        <v>9.8223000000000008E-7</v>
      </c>
      <c r="AF98" s="3">
        <v>20229.400000000001</v>
      </c>
      <c r="AG98" s="16">
        <v>0</v>
      </c>
      <c r="AH98">
        <f t="shared" si="16"/>
        <v>0</v>
      </c>
      <c r="AJ98" s="3">
        <v>9.8223000000000008E-7</v>
      </c>
      <c r="AK98" s="3">
        <v>20229.400000000001</v>
      </c>
      <c r="AL98" s="16">
        <v>4.2050063992440202E-4</v>
      </c>
      <c r="AM98">
        <f t="shared" si="17"/>
        <v>8.5064756452866988</v>
      </c>
      <c r="AO98" s="3">
        <v>9.8223000000000008E-7</v>
      </c>
      <c r="AP98" s="3">
        <v>20229.400000000001</v>
      </c>
      <c r="AQ98" s="17">
        <v>5.628545090009E-6</v>
      </c>
      <c r="AR98">
        <f t="shared" si="18"/>
        <v>0.11386209004382808</v>
      </c>
      <c r="AT98" s="3">
        <v>9.8223000000000008E-7</v>
      </c>
      <c r="AU98" s="3">
        <v>20229.400000000001</v>
      </c>
      <c r="AV98" s="16">
        <v>0</v>
      </c>
      <c r="AW98">
        <f t="shared" si="19"/>
        <v>0</v>
      </c>
    </row>
    <row r="99" spans="1:49" x14ac:dyDescent="0.3">
      <c r="A99" s="3">
        <v>1.1086000000000001E-6</v>
      </c>
      <c r="B99" s="16">
        <v>21068.5</v>
      </c>
      <c r="C99" s="16">
        <v>4.2259745282012999E-3</v>
      </c>
      <c r="D99">
        <f t="shared" si="10"/>
        <v>89.034944347409095</v>
      </c>
      <c r="F99" s="3">
        <v>1.1086000000000001E-6</v>
      </c>
      <c r="G99" s="3">
        <v>21068.5</v>
      </c>
      <c r="H99" s="16">
        <v>0</v>
      </c>
      <c r="I99">
        <f t="shared" si="11"/>
        <v>0</v>
      </c>
      <c r="K99" s="3">
        <v>1.1086000000000001E-6</v>
      </c>
      <c r="L99" s="3">
        <v>21068.5</v>
      </c>
      <c r="M99" s="16">
        <v>0</v>
      </c>
      <c r="N99">
        <f t="shared" si="12"/>
        <v>0</v>
      </c>
      <c r="P99" s="3">
        <v>1.1086000000000001E-6</v>
      </c>
      <c r="Q99" s="3">
        <v>21068.5</v>
      </c>
      <c r="R99" s="16">
        <v>0</v>
      </c>
      <c r="S99">
        <f t="shared" si="13"/>
        <v>0</v>
      </c>
      <c r="U99" s="3">
        <v>1.1086000000000001E-6</v>
      </c>
      <c r="V99" s="3">
        <v>21068.5</v>
      </c>
      <c r="W99" s="16">
        <v>0</v>
      </c>
      <c r="X99">
        <f t="shared" si="14"/>
        <v>0</v>
      </c>
      <c r="Z99" s="3">
        <v>1.1086000000000001E-6</v>
      </c>
      <c r="AA99" s="3">
        <v>21068.5</v>
      </c>
      <c r="AB99" s="16">
        <v>0</v>
      </c>
      <c r="AC99">
        <f t="shared" si="15"/>
        <v>0</v>
      </c>
      <c r="AE99" s="3">
        <v>1.1086000000000001E-6</v>
      </c>
      <c r="AF99" s="3">
        <v>21068.5</v>
      </c>
      <c r="AG99" s="16">
        <v>0</v>
      </c>
      <c r="AH99">
        <f t="shared" si="16"/>
        <v>0</v>
      </c>
      <c r="AJ99" s="3">
        <v>1.1086000000000001E-6</v>
      </c>
      <c r="AK99" s="3">
        <v>21068.5</v>
      </c>
      <c r="AL99" s="16">
        <v>4.0043654192620497E-4</v>
      </c>
      <c r="AM99">
        <f t="shared" si="17"/>
        <v>8.4365972835722491</v>
      </c>
      <c r="AO99" s="3">
        <v>1.1086000000000001E-6</v>
      </c>
      <c r="AP99" s="3">
        <v>21068.5</v>
      </c>
      <c r="AQ99" s="17">
        <v>5.3654392128079498E-6</v>
      </c>
      <c r="AR99">
        <f t="shared" si="18"/>
        <v>0.1130417560550443</v>
      </c>
      <c r="AT99" s="3">
        <v>1.1086000000000001E-6</v>
      </c>
      <c r="AU99" s="3">
        <v>21068.5</v>
      </c>
      <c r="AV99" s="16">
        <v>0</v>
      </c>
      <c r="AW99">
        <f t="shared" si="19"/>
        <v>0</v>
      </c>
    </row>
    <row r="100" spans="1:49" x14ac:dyDescent="0.3">
      <c r="A100" s="3">
        <v>1.2512E-6</v>
      </c>
      <c r="B100" s="16">
        <v>21002.9</v>
      </c>
      <c r="C100" s="16">
        <v>4.2412958110906599E-3</v>
      </c>
      <c r="D100">
        <f t="shared" si="10"/>
        <v>89.07951179075603</v>
      </c>
      <c r="F100" s="3">
        <v>1.2512E-6</v>
      </c>
      <c r="G100" s="3">
        <v>21002.9</v>
      </c>
      <c r="H100" s="16">
        <v>0</v>
      </c>
      <c r="I100">
        <f t="shared" si="11"/>
        <v>0</v>
      </c>
      <c r="K100" s="3">
        <v>1.2512E-6</v>
      </c>
      <c r="L100" s="3">
        <v>21002.9</v>
      </c>
      <c r="M100" s="16">
        <v>0</v>
      </c>
      <c r="N100">
        <f t="shared" si="12"/>
        <v>0</v>
      </c>
      <c r="P100" s="3">
        <v>1.2512E-6</v>
      </c>
      <c r="Q100" s="3">
        <v>21002.9</v>
      </c>
      <c r="R100" s="16">
        <v>0</v>
      </c>
      <c r="S100">
        <f t="shared" si="13"/>
        <v>0</v>
      </c>
      <c r="U100" s="3">
        <v>1.2512E-6</v>
      </c>
      <c r="V100" s="3">
        <v>21002.9</v>
      </c>
      <c r="W100" s="16">
        <v>0</v>
      </c>
      <c r="X100">
        <f t="shared" si="14"/>
        <v>0</v>
      </c>
      <c r="Z100" s="3">
        <v>1.2512E-6</v>
      </c>
      <c r="AA100" s="3">
        <v>21002.9</v>
      </c>
      <c r="AB100" s="16">
        <v>0</v>
      </c>
      <c r="AC100">
        <f t="shared" si="15"/>
        <v>0</v>
      </c>
      <c r="AE100" s="3">
        <v>1.2512E-6</v>
      </c>
      <c r="AF100" s="3">
        <v>21002.9</v>
      </c>
      <c r="AG100" s="16">
        <v>0</v>
      </c>
      <c r="AH100">
        <f t="shared" si="16"/>
        <v>0</v>
      </c>
      <c r="AJ100" s="3">
        <v>1.2512E-6</v>
      </c>
      <c r="AK100" s="3">
        <v>21002.9</v>
      </c>
      <c r="AL100" s="16">
        <v>3.8134185661127897E-4</v>
      </c>
      <c r="AM100">
        <f t="shared" si="17"/>
        <v>8.0092848802210312</v>
      </c>
      <c r="AO100" s="3">
        <v>1.2512E-6</v>
      </c>
      <c r="AP100" s="3">
        <v>21002.9</v>
      </c>
      <c r="AQ100" s="17">
        <v>5.1152542878718204E-6</v>
      </c>
      <c r="AR100">
        <f t="shared" si="18"/>
        <v>0.10743517428274306</v>
      </c>
      <c r="AT100" s="3">
        <v>1.2512E-6</v>
      </c>
      <c r="AU100" s="3">
        <v>21002.9</v>
      </c>
      <c r="AV100" s="16">
        <v>0</v>
      </c>
      <c r="AW100">
        <f t="shared" si="19"/>
        <v>0</v>
      </c>
    </row>
    <row r="101" spans="1:49" x14ac:dyDescent="0.3">
      <c r="A101" s="3">
        <v>1.4121E-6</v>
      </c>
      <c r="B101" s="16">
        <v>21619.5</v>
      </c>
      <c r="C101" s="16">
        <v>4.3295317407294103E-3</v>
      </c>
      <c r="D101">
        <f t="shared" si="10"/>
        <v>93.602311468699483</v>
      </c>
      <c r="F101" s="3">
        <v>1.4121E-6</v>
      </c>
      <c r="G101" s="3">
        <v>21619.5</v>
      </c>
      <c r="H101" s="16">
        <v>0</v>
      </c>
      <c r="I101">
        <f t="shared" si="11"/>
        <v>0</v>
      </c>
      <c r="K101" s="3">
        <v>1.4121E-6</v>
      </c>
      <c r="L101" s="3">
        <v>21619.5</v>
      </c>
      <c r="M101" s="16">
        <v>0</v>
      </c>
      <c r="N101">
        <f t="shared" si="12"/>
        <v>0</v>
      </c>
      <c r="P101" s="3">
        <v>1.4121E-6</v>
      </c>
      <c r="Q101" s="3">
        <v>21619.5</v>
      </c>
      <c r="R101" s="16">
        <v>0</v>
      </c>
      <c r="S101">
        <f t="shared" si="13"/>
        <v>0</v>
      </c>
      <c r="U101" s="3">
        <v>1.4121E-6</v>
      </c>
      <c r="V101" s="3">
        <v>21619.5</v>
      </c>
      <c r="W101" s="16">
        <v>0</v>
      </c>
      <c r="X101">
        <f t="shared" si="14"/>
        <v>0</v>
      </c>
      <c r="Z101" s="3">
        <v>1.4121E-6</v>
      </c>
      <c r="AA101" s="3">
        <v>21619.5</v>
      </c>
      <c r="AB101" s="16">
        <v>0</v>
      </c>
      <c r="AC101">
        <f t="shared" si="15"/>
        <v>0</v>
      </c>
      <c r="AE101" s="3">
        <v>1.4121E-6</v>
      </c>
      <c r="AF101" s="3">
        <v>21619.5</v>
      </c>
      <c r="AG101" s="16">
        <v>0</v>
      </c>
      <c r="AH101">
        <f t="shared" si="16"/>
        <v>0</v>
      </c>
      <c r="AJ101" s="3">
        <v>1.4121E-6</v>
      </c>
      <c r="AK101" s="3">
        <v>21619.5</v>
      </c>
      <c r="AL101" s="16">
        <v>3.6319256920637802E-4</v>
      </c>
      <c r="AM101">
        <f t="shared" si="17"/>
        <v>7.8520417499572899</v>
      </c>
      <c r="AO101" s="3">
        <v>1.4121E-6</v>
      </c>
      <c r="AP101" s="3">
        <v>21619.5</v>
      </c>
      <c r="AQ101" s="17">
        <v>4.7643300466284004E-6</v>
      </c>
      <c r="AR101">
        <f t="shared" si="18"/>
        <v>0.1030024334430827</v>
      </c>
      <c r="AT101" s="3">
        <v>1.4121E-6</v>
      </c>
      <c r="AU101" s="3">
        <v>21619.5</v>
      </c>
      <c r="AV101" s="16">
        <v>0</v>
      </c>
      <c r="AW101">
        <f t="shared" si="19"/>
        <v>0</v>
      </c>
    </row>
    <row r="102" spans="1:49" x14ac:dyDescent="0.3">
      <c r="A102" s="3">
        <v>1.5937000000000001E-6</v>
      </c>
      <c r="B102" s="16">
        <v>22094.9</v>
      </c>
      <c r="C102" s="16">
        <v>4.4905124779256698E-3</v>
      </c>
      <c r="D102">
        <f t="shared" si="10"/>
        <v>99.217424148519896</v>
      </c>
      <c r="F102" s="3">
        <v>1.5937000000000001E-6</v>
      </c>
      <c r="G102" s="3">
        <v>22094.9</v>
      </c>
      <c r="H102" s="16">
        <v>0</v>
      </c>
      <c r="I102">
        <f t="shared" si="11"/>
        <v>0</v>
      </c>
      <c r="K102" s="3">
        <v>1.5937000000000001E-6</v>
      </c>
      <c r="L102" s="3">
        <v>22094.9</v>
      </c>
      <c r="M102" s="16">
        <v>0</v>
      </c>
      <c r="N102">
        <f t="shared" si="12"/>
        <v>0</v>
      </c>
      <c r="P102" s="3">
        <v>1.5937000000000001E-6</v>
      </c>
      <c r="Q102" s="3">
        <v>22094.9</v>
      </c>
      <c r="R102" s="16">
        <v>0</v>
      </c>
      <c r="S102">
        <f t="shared" si="13"/>
        <v>0</v>
      </c>
      <c r="U102" s="3">
        <v>1.5937000000000001E-6</v>
      </c>
      <c r="V102" s="3">
        <v>22094.9</v>
      </c>
      <c r="W102" s="16">
        <v>0</v>
      </c>
      <c r="X102">
        <f t="shared" si="14"/>
        <v>0</v>
      </c>
      <c r="Z102" s="3">
        <v>1.5937000000000001E-6</v>
      </c>
      <c r="AA102" s="3">
        <v>22094.9</v>
      </c>
      <c r="AB102" s="16">
        <v>0</v>
      </c>
      <c r="AC102">
        <f t="shared" si="15"/>
        <v>0</v>
      </c>
      <c r="AE102" s="3">
        <v>1.5937000000000001E-6</v>
      </c>
      <c r="AF102" s="3">
        <v>22094.9</v>
      </c>
      <c r="AG102" s="16">
        <v>0</v>
      </c>
      <c r="AH102">
        <f t="shared" si="16"/>
        <v>0</v>
      </c>
      <c r="AJ102" s="3">
        <v>1.5937000000000001E-6</v>
      </c>
      <c r="AK102" s="3">
        <v>22094.9</v>
      </c>
      <c r="AL102" s="16">
        <v>3.3657292820947802E-4</v>
      </c>
      <c r="AM102">
        <f t="shared" si="17"/>
        <v>7.436545191495596</v>
      </c>
      <c r="AO102" s="3">
        <v>1.5937000000000001E-6</v>
      </c>
      <c r="AP102" s="3">
        <v>22094.9</v>
      </c>
      <c r="AQ102" s="17">
        <v>4.4363712817079001E-6</v>
      </c>
      <c r="AR102">
        <f t="shared" si="18"/>
        <v>9.8021179832207886E-2</v>
      </c>
      <c r="AT102" s="3">
        <v>1.5937000000000001E-6</v>
      </c>
      <c r="AU102" s="3">
        <v>22094.9</v>
      </c>
      <c r="AV102" s="16">
        <v>0</v>
      </c>
      <c r="AW102">
        <f t="shared" si="19"/>
        <v>0</v>
      </c>
    </row>
    <row r="103" spans="1:49" x14ac:dyDescent="0.3">
      <c r="A103" s="3">
        <v>1.7987E-6</v>
      </c>
      <c r="B103" s="16">
        <v>22863.5</v>
      </c>
      <c r="C103" s="16">
        <v>4.7292348704828999E-3</v>
      </c>
      <c r="D103">
        <f t="shared" si="10"/>
        <v>108.12686146128578</v>
      </c>
      <c r="F103" s="3">
        <v>1.7987E-6</v>
      </c>
      <c r="G103" s="3">
        <v>22863.5</v>
      </c>
      <c r="H103" s="16">
        <v>0</v>
      </c>
      <c r="I103">
        <f t="shared" si="11"/>
        <v>0</v>
      </c>
      <c r="K103" s="3">
        <v>1.7987E-6</v>
      </c>
      <c r="L103" s="3">
        <v>22863.5</v>
      </c>
      <c r="M103" s="16">
        <v>0</v>
      </c>
      <c r="N103">
        <f t="shared" si="12"/>
        <v>0</v>
      </c>
      <c r="P103" s="3">
        <v>1.7987E-6</v>
      </c>
      <c r="Q103" s="3">
        <v>22863.5</v>
      </c>
      <c r="R103" s="16">
        <v>0</v>
      </c>
      <c r="S103">
        <f t="shared" si="13"/>
        <v>0</v>
      </c>
      <c r="U103" s="3">
        <v>1.7987E-6</v>
      </c>
      <c r="V103" s="3">
        <v>22863.5</v>
      </c>
      <c r="W103" s="16">
        <v>0</v>
      </c>
      <c r="X103">
        <f t="shared" si="14"/>
        <v>0</v>
      </c>
      <c r="Z103" s="3">
        <v>1.7987E-6</v>
      </c>
      <c r="AA103" s="3">
        <v>22863.5</v>
      </c>
      <c r="AB103" s="16">
        <v>0</v>
      </c>
      <c r="AC103">
        <f t="shared" si="15"/>
        <v>0</v>
      </c>
      <c r="AE103" s="3">
        <v>1.7987E-6</v>
      </c>
      <c r="AF103" s="3">
        <v>22863.5</v>
      </c>
      <c r="AG103" s="16">
        <v>0</v>
      </c>
      <c r="AH103">
        <f t="shared" si="16"/>
        <v>0</v>
      </c>
      <c r="AJ103" s="3">
        <v>1.7987E-6</v>
      </c>
      <c r="AK103" s="3">
        <v>22863.5</v>
      </c>
      <c r="AL103" s="16">
        <v>3.1274586227288099E-4</v>
      </c>
      <c r="AM103">
        <f t="shared" si="17"/>
        <v>7.1504650220760144</v>
      </c>
      <c r="AO103" s="3">
        <v>1.7987E-6</v>
      </c>
      <c r="AP103" s="3">
        <v>22863.5</v>
      </c>
      <c r="AQ103" s="17">
        <v>4.2321632587500098E-6</v>
      </c>
      <c r="AR103">
        <f t="shared" si="18"/>
        <v>9.676206466643085E-2</v>
      </c>
      <c r="AT103" s="3">
        <v>1.7987E-6</v>
      </c>
      <c r="AU103" s="3">
        <v>22863.5</v>
      </c>
      <c r="AV103" s="16">
        <v>0</v>
      </c>
      <c r="AW103">
        <f t="shared" si="19"/>
        <v>0</v>
      </c>
    </row>
    <row r="104" spans="1:49" x14ac:dyDescent="0.3">
      <c r="A104" s="3">
        <v>2.0300999999999998E-6</v>
      </c>
      <c r="B104" s="16">
        <v>21644.1</v>
      </c>
      <c r="C104" s="16">
        <v>5.1494527868356198E-3</v>
      </c>
      <c r="D104">
        <f t="shared" si="10"/>
        <v>111.45527106354884</v>
      </c>
      <c r="F104" s="3">
        <v>2.0300999999999998E-6</v>
      </c>
      <c r="G104" s="3">
        <v>21644.1</v>
      </c>
      <c r="H104" s="16">
        <v>0</v>
      </c>
      <c r="I104">
        <f t="shared" si="11"/>
        <v>0</v>
      </c>
      <c r="K104" s="3">
        <v>2.0300999999999998E-6</v>
      </c>
      <c r="L104" s="3">
        <v>21644.1</v>
      </c>
      <c r="M104" s="16">
        <v>0</v>
      </c>
      <c r="N104">
        <f t="shared" si="12"/>
        <v>0</v>
      </c>
      <c r="P104" s="3">
        <v>2.0300999999999998E-6</v>
      </c>
      <c r="Q104" s="3">
        <v>21644.1</v>
      </c>
      <c r="R104" s="16">
        <v>0</v>
      </c>
      <c r="S104">
        <f t="shared" si="13"/>
        <v>0</v>
      </c>
      <c r="U104" s="3">
        <v>2.0300999999999998E-6</v>
      </c>
      <c r="V104" s="3">
        <v>21644.1</v>
      </c>
      <c r="W104" s="16">
        <v>0</v>
      </c>
      <c r="X104">
        <f t="shared" si="14"/>
        <v>0</v>
      </c>
      <c r="Z104" s="3">
        <v>2.0300999999999998E-6</v>
      </c>
      <c r="AA104" s="3">
        <v>21644.1</v>
      </c>
      <c r="AB104" s="16">
        <v>0</v>
      </c>
      <c r="AC104">
        <f t="shared" si="15"/>
        <v>0</v>
      </c>
      <c r="AE104" s="3">
        <v>2.0300999999999998E-6</v>
      </c>
      <c r="AF104" s="3">
        <v>21644.1</v>
      </c>
      <c r="AG104" s="16">
        <v>0</v>
      </c>
      <c r="AH104">
        <f t="shared" si="16"/>
        <v>0</v>
      </c>
      <c r="AJ104" s="3">
        <v>2.0300999999999998E-6</v>
      </c>
      <c r="AK104" s="3">
        <v>21644.1</v>
      </c>
      <c r="AL104" s="16">
        <v>2.9788169782852901E-4</v>
      </c>
      <c r="AM104">
        <f t="shared" si="17"/>
        <v>6.4473812559704644</v>
      </c>
      <c r="AO104" s="3">
        <v>2.0300999999999998E-6</v>
      </c>
      <c r="AP104" s="3">
        <v>21644.1</v>
      </c>
      <c r="AQ104" s="17">
        <v>4.0381651774466802E-6</v>
      </c>
      <c r="AR104">
        <f t="shared" si="18"/>
        <v>8.7402450917173691E-2</v>
      </c>
      <c r="AT104" s="3">
        <v>2.0300999999999998E-6</v>
      </c>
      <c r="AU104" s="3">
        <v>21644.1</v>
      </c>
      <c r="AV104" s="16">
        <v>0</v>
      </c>
      <c r="AW104">
        <f t="shared" si="19"/>
        <v>0</v>
      </c>
    </row>
    <row r="105" spans="1:49" x14ac:dyDescent="0.3">
      <c r="A105" s="3">
        <v>2.2912000000000002E-6</v>
      </c>
      <c r="B105" s="16">
        <v>22945.3</v>
      </c>
      <c r="C105" s="16">
        <v>5.6982747270676497E-3</v>
      </c>
      <c r="D105">
        <f t="shared" si="10"/>
        <v>130.74862309498533</v>
      </c>
      <c r="F105" s="3">
        <v>2.2912000000000002E-6</v>
      </c>
      <c r="G105" s="3">
        <v>22945.3</v>
      </c>
      <c r="H105" s="16">
        <v>0</v>
      </c>
      <c r="I105">
        <f t="shared" si="11"/>
        <v>0</v>
      </c>
      <c r="K105" s="3">
        <v>2.2912000000000002E-6</v>
      </c>
      <c r="L105" s="3">
        <v>22945.3</v>
      </c>
      <c r="M105" s="16">
        <v>0</v>
      </c>
      <c r="N105">
        <f t="shared" si="12"/>
        <v>0</v>
      </c>
      <c r="P105" s="3">
        <v>2.2912000000000002E-6</v>
      </c>
      <c r="Q105" s="3">
        <v>22945.3</v>
      </c>
      <c r="R105" s="16">
        <v>0</v>
      </c>
      <c r="S105">
        <f t="shared" si="13"/>
        <v>0</v>
      </c>
      <c r="U105" s="3">
        <v>2.2912000000000002E-6</v>
      </c>
      <c r="V105" s="3">
        <v>22945.3</v>
      </c>
      <c r="W105" s="16">
        <v>0</v>
      </c>
      <c r="X105">
        <f t="shared" si="14"/>
        <v>0</v>
      </c>
      <c r="Z105" s="3">
        <v>2.2912000000000002E-6</v>
      </c>
      <c r="AA105" s="3">
        <v>22945.3</v>
      </c>
      <c r="AB105" s="16">
        <v>0</v>
      </c>
      <c r="AC105">
        <f t="shared" si="15"/>
        <v>0</v>
      </c>
      <c r="AE105" s="3">
        <v>2.2912000000000002E-6</v>
      </c>
      <c r="AF105" s="3">
        <v>22945.3</v>
      </c>
      <c r="AG105" s="16">
        <v>0</v>
      </c>
      <c r="AH105">
        <f t="shared" si="16"/>
        <v>0</v>
      </c>
      <c r="AJ105" s="3">
        <v>2.2912000000000002E-6</v>
      </c>
      <c r="AK105" s="3">
        <v>22945.3</v>
      </c>
      <c r="AL105" s="16">
        <v>2.8371053112641499E-4</v>
      </c>
      <c r="AM105">
        <f t="shared" si="17"/>
        <v>6.5098232498549295</v>
      </c>
      <c r="AO105" s="3">
        <v>2.2912000000000002E-6</v>
      </c>
      <c r="AP105" s="3">
        <v>22945.3</v>
      </c>
      <c r="AQ105" s="17">
        <v>3.8539267343406202E-6</v>
      </c>
      <c r="AR105">
        <f t="shared" si="18"/>
        <v>8.8429505097465833E-2</v>
      </c>
      <c r="AT105" s="3">
        <v>2.2912000000000002E-6</v>
      </c>
      <c r="AU105" s="3">
        <v>22945.3</v>
      </c>
      <c r="AV105" s="16">
        <v>0</v>
      </c>
      <c r="AW105">
        <f t="shared" si="19"/>
        <v>0</v>
      </c>
    </row>
    <row r="106" spans="1:49" x14ac:dyDescent="0.3">
      <c r="A106" s="3">
        <v>2.5859000000000001E-6</v>
      </c>
      <c r="B106" s="16">
        <v>22027.1</v>
      </c>
      <c r="C106" s="16">
        <v>6.4987387569802602E-3</v>
      </c>
      <c r="D106">
        <f t="shared" si="10"/>
        <v>143.14836847387988</v>
      </c>
      <c r="F106" s="3">
        <v>2.5859000000000001E-6</v>
      </c>
      <c r="G106" s="3">
        <v>22027.1</v>
      </c>
      <c r="H106" s="16">
        <v>0</v>
      </c>
      <c r="I106">
        <f t="shared" si="11"/>
        <v>0</v>
      </c>
      <c r="K106" s="3">
        <v>2.5859000000000001E-6</v>
      </c>
      <c r="L106" s="3">
        <v>22027.1</v>
      </c>
      <c r="M106" s="16">
        <v>0</v>
      </c>
      <c r="N106">
        <f t="shared" si="12"/>
        <v>0</v>
      </c>
      <c r="P106" s="3">
        <v>2.5859000000000001E-6</v>
      </c>
      <c r="Q106" s="3">
        <v>22027.1</v>
      </c>
      <c r="R106" s="16">
        <v>0</v>
      </c>
      <c r="S106">
        <f t="shared" si="13"/>
        <v>0</v>
      </c>
      <c r="U106" s="3">
        <v>2.5859000000000001E-6</v>
      </c>
      <c r="V106" s="3">
        <v>22027.1</v>
      </c>
      <c r="W106" s="16">
        <v>0</v>
      </c>
      <c r="X106">
        <f t="shared" si="14"/>
        <v>0</v>
      </c>
      <c r="Z106" s="3">
        <v>2.5859000000000001E-6</v>
      </c>
      <c r="AA106" s="3">
        <v>22027.1</v>
      </c>
      <c r="AB106" s="16">
        <v>0</v>
      </c>
      <c r="AC106">
        <f t="shared" si="15"/>
        <v>0</v>
      </c>
      <c r="AE106" s="3">
        <v>2.5859000000000001E-6</v>
      </c>
      <c r="AF106" s="3">
        <v>22027.1</v>
      </c>
      <c r="AG106" s="16">
        <v>0</v>
      </c>
      <c r="AH106">
        <f t="shared" si="16"/>
        <v>0</v>
      </c>
      <c r="AJ106" s="3">
        <v>2.5859000000000001E-6</v>
      </c>
      <c r="AK106" s="3">
        <v>22027.1</v>
      </c>
      <c r="AL106" s="16">
        <v>2.6374200212378799E-4</v>
      </c>
      <c r="AM106">
        <f t="shared" si="17"/>
        <v>5.8094714549808897</v>
      </c>
      <c r="AO106" s="3">
        <v>2.5859000000000001E-6</v>
      </c>
      <c r="AP106" s="3">
        <v>22027.1</v>
      </c>
      <c r="AQ106" s="17">
        <v>3.5959717772992402E-6</v>
      </c>
      <c r="AR106">
        <f t="shared" si="18"/>
        <v>7.9208829935748085E-2</v>
      </c>
      <c r="AT106" s="3">
        <v>2.5859000000000001E-6</v>
      </c>
      <c r="AU106" s="3">
        <v>22027.1</v>
      </c>
      <c r="AV106" s="16">
        <v>0</v>
      </c>
      <c r="AW106">
        <f t="shared" si="19"/>
        <v>0</v>
      </c>
    </row>
    <row r="107" spans="1:49" x14ac:dyDescent="0.3">
      <c r="A107" s="3">
        <v>2.9185000000000001E-6</v>
      </c>
      <c r="B107" s="16">
        <v>22271.3</v>
      </c>
      <c r="C107" s="16">
        <v>8.1872537819531292E-3</v>
      </c>
      <c r="D107">
        <f t="shared" si="10"/>
        <v>182.34078515401271</v>
      </c>
      <c r="F107" s="3">
        <v>2.9185000000000001E-6</v>
      </c>
      <c r="G107" s="3">
        <v>22271.3</v>
      </c>
      <c r="H107" s="16">
        <v>0</v>
      </c>
      <c r="I107">
        <f t="shared" si="11"/>
        <v>0</v>
      </c>
      <c r="K107" s="3">
        <v>2.9185000000000001E-6</v>
      </c>
      <c r="L107" s="3">
        <v>22271.3</v>
      </c>
      <c r="M107" s="16">
        <v>0</v>
      </c>
      <c r="N107">
        <f t="shared" si="12"/>
        <v>0</v>
      </c>
      <c r="P107" s="3">
        <v>2.9185000000000001E-6</v>
      </c>
      <c r="Q107" s="3">
        <v>22271.3</v>
      </c>
      <c r="R107" s="16">
        <v>0</v>
      </c>
      <c r="S107">
        <f t="shared" si="13"/>
        <v>0</v>
      </c>
      <c r="U107" s="3">
        <v>2.9185000000000001E-6</v>
      </c>
      <c r="V107" s="3">
        <v>22271.3</v>
      </c>
      <c r="W107" s="16">
        <v>0</v>
      </c>
      <c r="X107">
        <f t="shared" si="14"/>
        <v>0</v>
      </c>
      <c r="Z107" s="3">
        <v>2.9185000000000001E-6</v>
      </c>
      <c r="AA107" s="3">
        <v>22271.3</v>
      </c>
      <c r="AB107" s="16">
        <v>0</v>
      </c>
      <c r="AC107">
        <f t="shared" si="15"/>
        <v>0</v>
      </c>
      <c r="AE107" s="3">
        <v>2.9185000000000001E-6</v>
      </c>
      <c r="AF107" s="3">
        <v>22271.3</v>
      </c>
      <c r="AG107" s="16">
        <v>0</v>
      </c>
      <c r="AH107">
        <f t="shared" si="16"/>
        <v>0</v>
      </c>
      <c r="AJ107" s="3">
        <v>2.9185000000000001E-6</v>
      </c>
      <c r="AK107" s="3">
        <v>22271.3</v>
      </c>
      <c r="AL107" s="16">
        <v>2.4431061988600702E-4</v>
      </c>
      <c r="AM107">
        <f t="shared" si="17"/>
        <v>5.441115108667228</v>
      </c>
      <c r="AO107" s="3">
        <v>2.9185000000000001E-6</v>
      </c>
      <c r="AP107" s="3">
        <v>22271.3</v>
      </c>
      <c r="AQ107" s="17">
        <v>3.3444313470579299E-6</v>
      </c>
      <c r="AR107">
        <f t="shared" si="18"/>
        <v>7.4484833859731273E-2</v>
      </c>
      <c r="AT107" s="3">
        <v>2.9185000000000001E-6</v>
      </c>
      <c r="AU107" s="3">
        <v>22271.3</v>
      </c>
      <c r="AV107" s="16">
        <v>0</v>
      </c>
      <c r="AW107">
        <f t="shared" si="19"/>
        <v>0</v>
      </c>
    </row>
    <row r="108" spans="1:49" x14ac:dyDescent="0.3">
      <c r="A108" s="3">
        <v>3.2938999999999999E-6</v>
      </c>
      <c r="B108" s="16">
        <v>21495.5</v>
      </c>
      <c r="C108" s="16">
        <v>1.118228390521E-2</v>
      </c>
      <c r="D108">
        <f t="shared" si="10"/>
        <v>240.36878368444155</v>
      </c>
      <c r="F108" s="3">
        <v>3.2938999999999999E-6</v>
      </c>
      <c r="G108" s="3">
        <v>21495.5</v>
      </c>
      <c r="H108" s="16">
        <v>0</v>
      </c>
      <c r="I108">
        <f t="shared" si="11"/>
        <v>0</v>
      </c>
      <c r="K108" s="3">
        <v>3.2938999999999999E-6</v>
      </c>
      <c r="L108" s="3">
        <v>21495.5</v>
      </c>
      <c r="M108" s="16">
        <v>0</v>
      </c>
      <c r="N108">
        <f t="shared" si="12"/>
        <v>0</v>
      </c>
      <c r="P108" s="3">
        <v>3.2938999999999999E-6</v>
      </c>
      <c r="Q108" s="3">
        <v>21495.5</v>
      </c>
      <c r="R108" s="16">
        <v>0</v>
      </c>
      <c r="S108">
        <f t="shared" si="13"/>
        <v>0</v>
      </c>
      <c r="U108" s="3">
        <v>3.2938999999999999E-6</v>
      </c>
      <c r="V108" s="3">
        <v>21495.5</v>
      </c>
      <c r="W108" s="16">
        <v>0</v>
      </c>
      <c r="X108">
        <f t="shared" si="14"/>
        <v>0</v>
      </c>
      <c r="Z108" s="3">
        <v>3.2938999999999999E-6</v>
      </c>
      <c r="AA108" s="3">
        <v>21495.5</v>
      </c>
      <c r="AB108" s="16">
        <v>0</v>
      </c>
      <c r="AC108">
        <f t="shared" si="15"/>
        <v>0</v>
      </c>
      <c r="AE108" s="3">
        <v>3.2938999999999999E-6</v>
      </c>
      <c r="AF108" s="3">
        <v>21495.5</v>
      </c>
      <c r="AG108" s="16">
        <v>0</v>
      </c>
      <c r="AH108">
        <f t="shared" si="16"/>
        <v>0</v>
      </c>
      <c r="AJ108" s="3">
        <v>3.2938999999999999E-6</v>
      </c>
      <c r="AK108" s="3">
        <v>21495.5</v>
      </c>
      <c r="AL108" s="16">
        <v>2.32608563951496E-4</v>
      </c>
      <c r="AM108">
        <f t="shared" si="17"/>
        <v>5.0000373864193826</v>
      </c>
      <c r="AO108" s="3">
        <v>3.2938999999999999E-6</v>
      </c>
      <c r="AP108" s="3">
        <v>21495.5</v>
      </c>
      <c r="AQ108" s="17">
        <v>3.1853179988966001E-6</v>
      </c>
      <c r="AR108">
        <f t="shared" si="18"/>
        <v>6.8470003045281863E-2</v>
      </c>
      <c r="AT108" s="3">
        <v>3.2938999999999999E-6</v>
      </c>
      <c r="AU108" s="3">
        <v>21495.5</v>
      </c>
      <c r="AV108" s="16">
        <v>0</v>
      </c>
      <c r="AW108">
        <f t="shared" si="19"/>
        <v>0</v>
      </c>
    </row>
    <row r="109" spans="1:49" x14ac:dyDescent="0.3">
      <c r="A109" s="3">
        <v>3.7176000000000002E-6</v>
      </c>
      <c r="B109" s="16">
        <v>21206.799999999999</v>
      </c>
      <c r="C109" s="16">
        <v>1.73555531642554E-2</v>
      </c>
      <c r="D109">
        <f t="shared" si="10"/>
        <v>368.05574484373142</v>
      </c>
      <c r="F109" s="3">
        <v>3.7176000000000002E-6</v>
      </c>
      <c r="G109" s="3">
        <v>21206.799999999999</v>
      </c>
      <c r="H109" s="16">
        <v>0</v>
      </c>
      <c r="I109">
        <f t="shared" si="11"/>
        <v>0</v>
      </c>
      <c r="K109" s="3">
        <v>3.7176000000000002E-6</v>
      </c>
      <c r="L109" s="3">
        <v>21206.799999999999</v>
      </c>
      <c r="M109" s="16">
        <v>0</v>
      </c>
      <c r="N109">
        <f t="shared" si="12"/>
        <v>0</v>
      </c>
      <c r="P109" s="3">
        <v>3.7176000000000002E-6</v>
      </c>
      <c r="Q109" s="3">
        <v>21206.799999999999</v>
      </c>
      <c r="R109" s="16">
        <v>0</v>
      </c>
      <c r="S109">
        <f t="shared" si="13"/>
        <v>0</v>
      </c>
      <c r="U109" s="3">
        <v>3.7176000000000002E-6</v>
      </c>
      <c r="V109" s="3">
        <v>21206.799999999999</v>
      </c>
      <c r="W109" s="16">
        <v>0</v>
      </c>
      <c r="X109">
        <f t="shared" si="14"/>
        <v>0</v>
      </c>
      <c r="Z109" s="3">
        <v>3.7176000000000002E-6</v>
      </c>
      <c r="AA109" s="3">
        <v>21206.799999999999</v>
      </c>
      <c r="AB109" s="16">
        <v>0</v>
      </c>
      <c r="AC109">
        <f t="shared" si="15"/>
        <v>0</v>
      </c>
      <c r="AE109" s="3">
        <v>3.7176000000000002E-6</v>
      </c>
      <c r="AF109" s="3">
        <v>21206.799999999999</v>
      </c>
      <c r="AG109" s="16">
        <v>0</v>
      </c>
      <c r="AH109">
        <f t="shared" si="16"/>
        <v>0</v>
      </c>
      <c r="AJ109" s="3">
        <v>3.7176000000000002E-6</v>
      </c>
      <c r="AK109" s="3">
        <v>21206.799999999999</v>
      </c>
      <c r="AL109" s="16">
        <v>2.2235278548328E-4</v>
      </c>
      <c r="AM109">
        <f t="shared" si="17"/>
        <v>4.7153910511868222</v>
      </c>
      <c r="AO109" s="3">
        <v>3.7176000000000002E-6</v>
      </c>
      <c r="AP109" s="3">
        <v>21206.799999999999</v>
      </c>
      <c r="AQ109" s="17">
        <v>3.0350636820179001E-6</v>
      </c>
      <c r="AR109">
        <f t="shared" si="18"/>
        <v>6.4363988491817195E-2</v>
      </c>
      <c r="AT109" s="3">
        <v>3.7176000000000002E-6</v>
      </c>
      <c r="AU109" s="3">
        <v>21206.799999999999</v>
      </c>
      <c r="AV109" s="16">
        <v>0</v>
      </c>
      <c r="AW109">
        <f t="shared" si="19"/>
        <v>0</v>
      </c>
    </row>
    <row r="110" spans="1:49" x14ac:dyDescent="0.3">
      <c r="A110" s="3">
        <v>4.1957999999999997E-6</v>
      </c>
      <c r="B110" s="16">
        <v>19537.3</v>
      </c>
      <c r="C110" s="16">
        <v>3.8585218497339403E-2</v>
      </c>
      <c r="D110">
        <f t="shared" si="10"/>
        <v>753.85098934806911</v>
      </c>
      <c r="F110" s="3">
        <v>4.1957999999999997E-6</v>
      </c>
      <c r="G110" s="3">
        <v>19537.3</v>
      </c>
      <c r="H110" s="16">
        <v>0</v>
      </c>
      <c r="I110">
        <f t="shared" si="11"/>
        <v>0</v>
      </c>
      <c r="K110" s="3">
        <v>4.1957999999999997E-6</v>
      </c>
      <c r="L110" s="3">
        <v>19537.3</v>
      </c>
      <c r="M110" s="16">
        <v>0</v>
      </c>
      <c r="N110">
        <f t="shared" si="12"/>
        <v>0</v>
      </c>
      <c r="P110" s="3">
        <v>4.1957999999999997E-6</v>
      </c>
      <c r="Q110" s="3">
        <v>19537.3</v>
      </c>
      <c r="R110" s="16">
        <v>0</v>
      </c>
      <c r="S110">
        <f t="shared" si="13"/>
        <v>0</v>
      </c>
      <c r="U110" s="3">
        <v>4.1957999999999997E-6</v>
      </c>
      <c r="V110" s="3">
        <v>19537.3</v>
      </c>
      <c r="W110" s="16">
        <v>0</v>
      </c>
      <c r="X110">
        <f t="shared" si="14"/>
        <v>0</v>
      </c>
      <c r="Z110" s="3">
        <v>4.1957999999999997E-6</v>
      </c>
      <c r="AA110" s="3">
        <v>19537.3</v>
      </c>
      <c r="AB110" s="16">
        <v>0</v>
      </c>
      <c r="AC110">
        <f t="shared" si="15"/>
        <v>0</v>
      </c>
      <c r="AE110" s="3">
        <v>4.1957999999999997E-6</v>
      </c>
      <c r="AF110" s="3">
        <v>19537.3</v>
      </c>
      <c r="AG110" s="16">
        <v>0</v>
      </c>
      <c r="AH110">
        <f t="shared" si="16"/>
        <v>0</v>
      </c>
      <c r="AJ110" s="3">
        <v>4.1957999999999997E-6</v>
      </c>
      <c r="AK110" s="3">
        <v>19537.3</v>
      </c>
      <c r="AL110" s="16">
        <v>2.0710511981311501E-4</v>
      </c>
      <c r="AM110">
        <f t="shared" si="17"/>
        <v>4.0462748573247715</v>
      </c>
      <c r="AO110" s="3">
        <v>4.1957999999999997E-6</v>
      </c>
      <c r="AP110" s="3">
        <v>19537.3</v>
      </c>
      <c r="AQ110" s="17">
        <v>2.8933743206946099E-6</v>
      </c>
      <c r="AR110">
        <f t="shared" si="18"/>
        <v>5.6528722115706802E-2</v>
      </c>
      <c r="AT110" s="3">
        <v>4.1957999999999997E-6</v>
      </c>
      <c r="AU110" s="3">
        <v>19537.3</v>
      </c>
      <c r="AV110" s="16">
        <v>0</v>
      </c>
      <c r="AW110">
        <f t="shared" si="19"/>
        <v>0</v>
      </c>
    </row>
    <row r="111" spans="1:49" x14ac:dyDescent="0.3">
      <c r="A111" s="3">
        <v>4.7353999999999996E-6</v>
      </c>
      <c r="B111" s="16">
        <v>19618.099999999999</v>
      </c>
      <c r="C111" s="16">
        <v>0.33686742795325098</v>
      </c>
      <c r="D111">
        <f t="shared" si="10"/>
        <v>6608.6988883296726</v>
      </c>
      <c r="F111" s="3">
        <v>4.7353999999999996E-6</v>
      </c>
      <c r="G111" s="3">
        <v>19618.099999999999</v>
      </c>
      <c r="H111" s="16">
        <v>0</v>
      </c>
      <c r="I111">
        <f t="shared" si="11"/>
        <v>0</v>
      </c>
      <c r="K111" s="3">
        <v>4.7353999999999996E-6</v>
      </c>
      <c r="L111" s="3">
        <v>19618.099999999999</v>
      </c>
      <c r="M111" s="16">
        <v>0</v>
      </c>
      <c r="N111">
        <f t="shared" si="12"/>
        <v>0</v>
      </c>
      <c r="P111" s="3">
        <v>4.7353999999999996E-6</v>
      </c>
      <c r="Q111" s="3">
        <v>19618.099999999999</v>
      </c>
      <c r="R111" s="16">
        <v>0</v>
      </c>
      <c r="S111">
        <f t="shared" si="13"/>
        <v>0</v>
      </c>
      <c r="U111" s="3">
        <v>4.7353999999999996E-6</v>
      </c>
      <c r="V111" s="3">
        <v>19618.099999999999</v>
      </c>
      <c r="W111" s="16">
        <v>0</v>
      </c>
      <c r="X111">
        <f t="shared" si="14"/>
        <v>0</v>
      </c>
      <c r="Z111" s="3">
        <v>4.7353999999999996E-6</v>
      </c>
      <c r="AA111" s="3">
        <v>19618.099999999999</v>
      </c>
      <c r="AB111" s="16">
        <v>0</v>
      </c>
      <c r="AC111">
        <f t="shared" si="15"/>
        <v>0</v>
      </c>
      <c r="AE111" s="3">
        <v>4.7353999999999996E-6</v>
      </c>
      <c r="AF111" s="3">
        <v>19618.099999999999</v>
      </c>
      <c r="AG111" s="16">
        <v>0</v>
      </c>
      <c r="AH111">
        <f t="shared" si="16"/>
        <v>0</v>
      </c>
      <c r="AJ111" s="3">
        <v>4.7353999999999996E-6</v>
      </c>
      <c r="AK111" s="3">
        <v>19618.099999999999</v>
      </c>
      <c r="AL111" s="16">
        <v>1.9275825318837501E-4</v>
      </c>
      <c r="AM111">
        <f t="shared" si="17"/>
        <v>3.7815506868748594</v>
      </c>
      <c r="AO111" s="3">
        <v>4.7353999999999996E-6</v>
      </c>
      <c r="AP111" s="3">
        <v>19618.099999999999</v>
      </c>
      <c r="AQ111" s="17">
        <v>2.7597077128046602E-6</v>
      </c>
      <c r="AR111">
        <f t="shared" si="18"/>
        <v>5.4140221880573103E-2</v>
      </c>
      <c r="AT111" s="3">
        <v>4.7353999999999996E-6</v>
      </c>
      <c r="AU111" s="3">
        <v>19618.099999999999</v>
      </c>
      <c r="AV111" s="16">
        <v>0</v>
      </c>
      <c r="AW111">
        <f t="shared" si="19"/>
        <v>0</v>
      </c>
    </row>
    <row r="112" spans="1:49" x14ac:dyDescent="0.3">
      <c r="A112" s="3">
        <v>5.3445000000000002E-6</v>
      </c>
      <c r="B112" s="16">
        <v>17773.7</v>
      </c>
      <c r="C112" s="16">
        <v>1.85617493075802</v>
      </c>
      <c r="D112">
        <f t="shared" si="10"/>
        <v>32991.096366813821</v>
      </c>
      <c r="F112" s="3">
        <v>5.3445000000000002E-6</v>
      </c>
      <c r="G112" s="3">
        <v>17773.7</v>
      </c>
      <c r="H112" s="16">
        <v>0</v>
      </c>
      <c r="I112">
        <f t="shared" si="11"/>
        <v>0</v>
      </c>
      <c r="K112" s="3">
        <v>5.3445000000000002E-6</v>
      </c>
      <c r="L112" s="3">
        <v>17773.7</v>
      </c>
      <c r="M112" s="16">
        <v>0</v>
      </c>
      <c r="N112">
        <f t="shared" si="12"/>
        <v>0</v>
      </c>
      <c r="P112" s="3">
        <v>5.3445000000000002E-6</v>
      </c>
      <c r="Q112" s="3">
        <v>17773.7</v>
      </c>
      <c r="R112" s="16">
        <v>0</v>
      </c>
      <c r="S112">
        <f t="shared" si="13"/>
        <v>0</v>
      </c>
      <c r="U112" s="3">
        <v>5.3445000000000002E-6</v>
      </c>
      <c r="V112" s="3">
        <v>17773.7</v>
      </c>
      <c r="W112" s="16">
        <v>0</v>
      </c>
      <c r="X112">
        <f t="shared" si="14"/>
        <v>0</v>
      </c>
      <c r="Z112" s="3">
        <v>5.3445000000000002E-6</v>
      </c>
      <c r="AA112" s="3">
        <v>17773.7</v>
      </c>
      <c r="AB112" s="16">
        <v>0</v>
      </c>
      <c r="AC112">
        <f t="shared" si="15"/>
        <v>0</v>
      </c>
      <c r="AE112" s="3">
        <v>5.3445000000000002E-6</v>
      </c>
      <c r="AF112" s="3">
        <v>17773.7</v>
      </c>
      <c r="AG112" s="16">
        <v>0</v>
      </c>
      <c r="AH112">
        <f t="shared" si="16"/>
        <v>0</v>
      </c>
      <c r="AJ112" s="3">
        <v>5.3445000000000002E-6</v>
      </c>
      <c r="AK112" s="3">
        <v>17773.7</v>
      </c>
      <c r="AL112" s="16">
        <v>1.83564515814522E-4</v>
      </c>
      <c r="AM112">
        <f t="shared" si="17"/>
        <v>3.2626206347325697</v>
      </c>
      <c r="AO112" s="3">
        <v>5.3445000000000002E-6</v>
      </c>
      <c r="AP112" s="3">
        <v>17773.7</v>
      </c>
      <c r="AQ112" s="17">
        <v>2.5747019158478702E-6</v>
      </c>
      <c r="AR112">
        <f t="shared" si="18"/>
        <v>4.5761979441705292E-2</v>
      </c>
      <c r="AT112" s="3">
        <v>5.3445000000000002E-6</v>
      </c>
      <c r="AU112" s="3">
        <v>17773.7</v>
      </c>
      <c r="AV112" s="16">
        <v>0</v>
      </c>
      <c r="AW112">
        <f t="shared" si="19"/>
        <v>0</v>
      </c>
    </row>
    <row r="113" spans="1:49" x14ac:dyDescent="0.3">
      <c r="A113" s="3">
        <v>6.032E-6</v>
      </c>
      <c r="B113" s="16">
        <v>18293.7</v>
      </c>
      <c r="C113" s="16">
        <v>5.9295965714757697E-2</v>
      </c>
      <c r="D113">
        <f t="shared" si="10"/>
        <v>1084.7426079960628</v>
      </c>
      <c r="F113" s="3">
        <v>6.032E-6</v>
      </c>
      <c r="G113" s="3">
        <v>18293.7</v>
      </c>
      <c r="H113" s="16">
        <v>0</v>
      </c>
      <c r="I113">
        <f t="shared" si="11"/>
        <v>0</v>
      </c>
      <c r="K113" s="3">
        <v>6.032E-6</v>
      </c>
      <c r="L113" s="3">
        <v>18293.7</v>
      </c>
      <c r="M113" s="16">
        <v>0</v>
      </c>
      <c r="N113">
        <f t="shared" si="12"/>
        <v>0</v>
      </c>
      <c r="P113" s="3">
        <v>6.032E-6</v>
      </c>
      <c r="Q113" s="3">
        <v>18293.7</v>
      </c>
      <c r="R113" s="16">
        <v>0</v>
      </c>
      <c r="S113">
        <f t="shared" si="13"/>
        <v>0</v>
      </c>
      <c r="U113" s="3">
        <v>6.032E-6</v>
      </c>
      <c r="V113" s="3">
        <v>18293.7</v>
      </c>
      <c r="W113" s="16">
        <v>0</v>
      </c>
      <c r="X113">
        <f t="shared" si="14"/>
        <v>0</v>
      </c>
      <c r="Z113" s="3">
        <v>6.032E-6</v>
      </c>
      <c r="AA113" s="3">
        <v>18293.7</v>
      </c>
      <c r="AB113" s="16">
        <v>0</v>
      </c>
      <c r="AC113">
        <f t="shared" si="15"/>
        <v>0</v>
      </c>
      <c r="AE113" s="3">
        <v>6.032E-6</v>
      </c>
      <c r="AF113" s="3">
        <v>18293.7</v>
      </c>
      <c r="AG113" s="16">
        <v>0</v>
      </c>
      <c r="AH113">
        <f t="shared" si="16"/>
        <v>0</v>
      </c>
      <c r="AJ113" s="3">
        <v>6.032E-6</v>
      </c>
      <c r="AK113" s="3">
        <v>18293.7</v>
      </c>
      <c r="AL113" s="16">
        <v>1.75546032037475E-4</v>
      </c>
      <c r="AM113">
        <f t="shared" si="17"/>
        <v>3.2113864462839565</v>
      </c>
      <c r="AO113" s="3">
        <v>6.032E-6</v>
      </c>
      <c r="AP113" s="3">
        <v>18293.7</v>
      </c>
      <c r="AQ113" s="17">
        <v>2.4044458545846801E-6</v>
      </c>
      <c r="AR113">
        <f t="shared" si="18"/>
        <v>4.3986211130015766E-2</v>
      </c>
      <c r="AT113" s="3">
        <v>6.032E-6</v>
      </c>
      <c r="AU113" s="3">
        <v>18293.7</v>
      </c>
      <c r="AV113" s="16">
        <v>0</v>
      </c>
      <c r="AW113">
        <f t="shared" si="19"/>
        <v>0</v>
      </c>
    </row>
    <row r="114" spans="1:49" x14ac:dyDescent="0.3">
      <c r="A114" s="3">
        <v>6.8078000000000003E-6</v>
      </c>
      <c r="B114" s="16">
        <v>16945.900000000001</v>
      </c>
      <c r="C114" s="16">
        <v>1.1365565223549499E-2</v>
      </c>
      <c r="D114">
        <f t="shared" si="10"/>
        <v>192.59973172174747</v>
      </c>
      <c r="F114" s="3">
        <v>6.8078000000000003E-6</v>
      </c>
      <c r="G114" s="3">
        <v>16945.900000000001</v>
      </c>
      <c r="H114" s="16">
        <v>0</v>
      </c>
      <c r="I114">
        <f t="shared" si="11"/>
        <v>0</v>
      </c>
      <c r="K114" s="3">
        <v>6.8078000000000003E-6</v>
      </c>
      <c r="L114" s="3">
        <v>16945.900000000001</v>
      </c>
      <c r="M114" s="16">
        <v>0</v>
      </c>
      <c r="N114">
        <f t="shared" si="12"/>
        <v>0</v>
      </c>
      <c r="P114" s="3">
        <v>6.8078000000000003E-6</v>
      </c>
      <c r="Q114" s="3">
        <v>16945.900000000001</v>
      </c>
      <c r="R114" s="16">
        <v>0</v>
      </c>
      <c r="S114">
        <f t="shared" si="13"/>
        <v>0</v>
      </c>
      <c r="U114" s="3">
        <v>6.8078000000000003E-6</v>
      </c>
      <c r="V114" s="3">
        <v>16945.900000000001</v>
      </c>
      <c r="W114" s="16">
        <v>0</v>
      </c>
      <c r="X114">
        <f t="shared" si="14"/>
        <v>0</v>
      </c>
      <c r="Z114" s="3">
        <v>6.8078000000000003E-6</v>
      </c>
      <c r="AA114" s="3">
        <v>16945.900000000001</v>
      </c>
      <c r="AB114" s="16">
        <v>0</v>
      </c>
      <c r="AC114">
        <f t="shared" si="15"/>
        <v>0</v>
      </c>
      <c r="AE114" s="3">
        <v>6.8078000000000003E-6</v>
      </c>
      <c r="AF114" s="3">
        <v>16945.900000000001</v>
      </c>
      <c r="AG114" s="16">
        <v>0</v>
      </c>
      <c r="AH114">
        <f t="shared" si="16"/>
        <v>0</v>
      </c>
      <c r="AJ114" s="3">
        <v>6.8078000000000003E-6</v>
      </c>
      <c r="AK114" s="3">
        <v>16945.900000000001</v>
      </c>
      <c r="AL114" s="16">
        <v>1.6398928998597199E-4</v>
      </c>
      <c r="AM114">
        <f t="shared" si="17"/>
        <v>2.7789461091732832</v>
      </c>
      <c r="AO114" s="3">
        <v>6.8078000000000003E-6</v>
      </c>
      <c r="AP114" s="3">
        <v>16945.900000000001</v>
      </c>
      <c r="AQ114" s="17">
        <v>2.3001960092836398E-6</v>
      </c>
      <c r="AR114">
        <f t="shared" si="18"/>
        <v>3.8978891553719634E-2</v>
      </c>
      <c r="AT114" s="3">
        <v>6.8078000000000003E-6</v>
      </c>
      <c r="AU114" s="3">
        <v>16945.900000000001</v>
      </c>
      <c r="AV114" s="16">
        <v>0</v>
      </c>
      <c r="AW114">
        <f t="shared" si="19"/>
        <v>0</v>
      </c>
    </row>
    <row r="115" spans="1:49" x14ac:dyDescent="0.3">
      <c r="A115" s="3">
        <v>7.6835000000000002E-6</v>
      </c>
      <c r="B115" s="16">
        <v>16166.7</v>
      </c>
      <c r="C115" s="16">
        <v>4.2890474407259703E-3</v>
      </c>
      <c r="D115">
        <f t="shared" si="10"/>
        <v>69.339743259984544</v>
      </c>
      <c r="F115" s="3">
        <v>7.6835000000000002E-6</v>
      </c>
      <c r="G115" s="3">
        <v>16166.7</v>
      </c>
      <c r="H115" s="16">
        <v>0</v>
      </c>
      <c r="I115">
        <f t="shared" si="11"/>
        <v>0</v>
      </c>
      <c r="K115" s="3">
        <v>7.6835000000000002E-6</v>
      </c>
      <c r="L115" s="3">
        <v>16166.7</v>
      </c>
      <c r="M115" s="16">
        <v>0</v>
      </c>
      <c r="N115">
        <f t="shared" si="12"/>
        <v>0</v>
      </c>
      <c r="P115" s="3">
        <v>7.6835000000000002E-6</v>
      </c>
      <c r="Q115" s="3">
        <v>16166.7</v>
      </c>
      <c r="R115" s="16">
        <v>0</v>
      </c>
      <c r="S115">
        <f t="shared" si="13"/>
        <v>0</v>
      </c>
      <c r="U115" s="3">
        <v>7.6835000000000002E-6</v>
      </c>
      <c r="V115" s="3">
        <v>16166.7</v>
      </c>
      <c r="W115" s="16">
        <v>0</v>
      </c>
      <c r="X115">
        <f t="shared" si="14"/>
        <v>0</v>
      </c>
      <c r="Z115" s="3">
        <v>7.6835000000000002E-6</v>
      </c>
      <c r="AA115" s="3">
        <v>16166.7</v>
      </c>
      <c r="AB115" s="16">
        <v>0</v>
      </c>
      <c r="AC115">
        <f t="shared" si="15"/>
        <v>0</v>
      </c>
      <c r="AE115" s="3">
        <v>7.6835000000000002E-6</v>
      </c>
      <c r="AF115" s="3">
        <v>16166.7</v>
      </c>
      <c r="AG115" s="16">
        <v>0</v>
      </c>
      <c r="AH115">
        <f t="shared" si="16"/>
        <v>0</v>
      </c>
      <c r="AJ115" s="3">
        <v>7.6835000000000002E-6</v>
      </c>
      <c r="AK115" s="3">
        <v>16166.7</v>
      </c>
      <c r="AL115" s="16">
        <v>1.5161065457256501E-4</v>
      </c>
      <c r="AM115">
        <f t="shared" si="17"/>
        <v>2.4510439692782868</v>
      </c>
      <c r="AO115" s="3">
        <v>7.6835000000000002E-6</v>
      </c>
      <c r="AP115" s="3">
        <v>16166.7</v>
      </c>
      <c r="AQ115" s="17">
        <v>2.2026088171775301E-6</v>
      </c>
      <c r="AR115">
        <f t="shared" si="18"/>
        <v>3.5608915964663979E-2</v>
      </c>
      <c r="AT115" s="3">
        <v>7.6835000000000002E-6</v>
      </c>
      <c r="AU115" s="3">
        <v>16166.7</v>
      </c>
      <c r="AV115" s="16">
        <v>0</v>
      </c>
      <c r="AW115">
        <f t="shared" si="19"/>
        <v>0</v>
      </c>
    </row>
    <row r="116" spans="1:49" x14ac:dyDescent="0.3">
      <c r="A116">
        <v>8.6718000000000006E-6</v>
      </c>
      <c r="B116">
        <v>15315.8</v>
      </c>
      <c r="C116" s="16">
        <v>2.1093085472043299E-3</v>
      </c>
      <c r="D116">
        <f t="shared" si="10"/>
        <v>32.305747847272073</v>
      </c>
      <c r="F116">
        <v>8.6718000000000006E-6</v>
      </c>
      <c r="G116">
        <v>15315.8</v>
      </c>
      <c r="H116" s="16">
        <v>0</v>
      </c>
      <c r="I116">
        <f t="shared" si="11"/>
        <v>0</v>
      </c>
      <c r="K116">
        <v>8.6718000000000006E-6</v>
      </c>
      <c r="L116">
        <v>15315.8</v>
      </c>
      <c r="M116" s="16">
        <v>0</v>
      </c>
      <c r="N116">
        <f t="shared" si="12"/>
        <v>0</v>
      </c>
      <c r="P116">
        <v>8.6718000000000006E-6</v>
      </c>
      <c r="Q116">
        <v>15315.8</v>
      </c>
      <c r="R116" s="16">
        <v>0</v>
      </c>
      <c r="S116">
        <f t="shared" si="13"/>
        <v>0</v>
      </c>
      <c r="U116">
        <v>8.6718000000000006E-6</v>
      </c>
      <c r="V116">
        <v>15315.8</v>
      </c>
      <c r="W116" s="16">
        <v>0</v>
      </c>
      <c r="X116">
        <f t="shared" si="14"/>
        <v>0</v>
      </c>
      <c r="Z116">
        <v>8.6718000000000006E-6</v>
      </c>
      <c r="AA116">
        <v>15315.8</v>
      </c>
      <c r="AB116" s="16">
        <v>0</v>
      </c>
      <c r="AC116">
        <f t="shared" si="15"/>
        <v>0</v>
      </c>
      <c r="AE116">
        <v>8.6718000000000006E-6</v>
      </c>
      <c r="AF116">
        <v>15315.8</v>
      </c>
      <c r="AG116" s="16">
        <v>0</v>
      </c>
      <c r="AH116">
        <f t="shared" si="16"/>
        <v>0</v>
      </c>
      <c r="AJ116">
        <v>8.6718000000000006E-6</v>
      </c>
      <c r="AK116">
        <v>15315.8</v>
      </c>
      <c r="AL116" s="16">
        <v>1.4437044548765E-4</v>
      </c>
      <c r="AM116">
        <f t="shared" si="17"/>
        <v>2.2111488689997496</v>
      </c>
      <c r="AO116">
        <v>8.6718000000000006E-6</v>
      </c>
      <c r="AP116">
        <v>15315.8</v>
      </c>
      <c r="AQ116" s="17">
        <v>2.1113993924056002E-6</v>
      </c>
      <c r="AR116">
        <f t="shared" si="18"/>
        <v>3.2337770814205691E-2</v>
      </c>
      <c r="AT116">
        <v>8.6718000000000006E-6</v>
      </c>
      <c r="AU116">
        <v>15315.8</v>
      </c>
      <c r="AV116" s="16">
        <v>0</v>
      </c>
      <c r="AW116">
        <f t="shared" si="19"/>
        <v>0</v>
      </c>
    </row>
    <row r="117" spans="1:49" x14ac:dyDescent="0.3">
      <c r="A117">
        <v>9.7872000000000001E-6</v>
      </c>
      <c r="B117">
        <v>14145.8</v>
      </c>
      <c r="C117" s="16">
        <v>1.13921952142684E-3</v>
      </c>
      <c r="D117">
        <f t="shared" si="10"/>
        <v>16.115171506199793</v>
      </c>
      <c r="F117">
        <v>9.7872000000000001E-6</v>
      </c>
      <c r="G117">
        <v>14145.8</v>
      </c>
      <c r="H117" s="16">
        <v>0</v>
      </c>
      <c r="I117">
        <f t="shared" si="11"/>
        <v>0</v>
      </c>
      <c r="K117">
        <v>9.7872000000000001E-6</v>
      </c>
      <c r="L117">
        <v>14145.8</v>
      </c>
      <c r="M117" s="16">
        <v>0</v>
      </c>
      <c r="N117">
        <f t="shared" si="12"/>
        <v>0</v>
      </c>
      <c r="P117">
        <v>9.7872000000000001E-6</v>
      </c>
      <c r="Q117">
        <v>14145.8</v>
      </c>
      <c r="R117" s="16">
        <v>0</v>
      </c>
      <c r="S117">
        <f t="shared" si="13"/>
        <v>0</v>
      </c>
      <c r="U117">
        <v>9.7872000000000001E-6</v>
      </c>
      <c r="V117">
        <v>14145.8</v>
      </c>
      <c r="W117" s="16">
        <v>0</v>
      </c>
      <c r="X117">
        <f t="shared" si="14"/>
        <v>0</v>
      </c>
      <c r="Z117">
        <v>9.7872000000000001E-6</v>
      </c>
      <c r="AA117">
        <v>14145.8</v>
      </c>
      <c r="AB117" s="16">
        <v>0</v>
      </c>
      <c r="AC117">
        <f t="shared" si="15"/>
        <v>0</v>
      </c>
      <c r="AE117">
        <v>9.7872000000000001E-6</v>
      </c>
      <c r="AF117">
        <v>14145.8</v>
      </c>
      <c r="AG117" s="16">
        <v>0</v>
      </c>
      <c r="AH117">
        <f t="shared" si="16"/>
        <v>0</v>
      </c>
      <c r="AJ117">
        <v>9.7872000000000001E-6</v>
      </c>
      <c r="AK117">
        <v>14145.8</v>
      </c>
      <c r="AL117" s="16">
        <v>1.3655976301379201E-4</v>
      </c>
      <c r="AM117">
        <f t="shared" si="17"/>
        <v>1.931747095640499</v>
      </c>
      <c r="AO117">
        <v>9.7872000000000001E-6</v>
      </c>
      <c r="AP117">
        <v>14145.8</v>
      </c>
      <c r="AQ117" s="17">
        <v>2.0267239626979398E-6</v>
      </c>
      <c r="AR117">
        <f t="shared" si="18"/>
        <v>2.8669631831532514E-2</v>
      </c>
      <c r="AT117">
        <v>9.7872000000000001E-6</v>
      </c>
      <c r="AU117">
        <v>14145.8</v>
      </c>
      <c r="AV117" s="16">
        <v>0</v>
      </c>
      <c r="AW117">
        <f t="shared" si="19"/>
        <v>0</v>
      </c>
    </row>
    <row r="118" spans="1:49" x14ac:dyDescent="0.3">
      <c r="A118">
        <v>1.1046000000000001E-5</v>
      </c>
      <c r="B118">
        <v>13959.9</v>
      </c>
      <c r="C118" s="16">
        <v>6.8733474012234205E-4</v>
      </c>
      <c r="D118">
        <f t="shared" si="10"/>
        <v>9.5951242386338826</v>
      </c>
      <c r="F118">
        <v>1.1046000000000001E-5</v>
      </c>
      <c r="G118">
        <v>13959.9</v>
      </c>
      <c r="H118" s="16">
        <v>0</v>
      </c>
      <c r="I118">
        <f t="shared" si="11"/>
        <v>0</v>
      </c>
      <c r="K118">
        <v>1.1046000000000001E-5</v>
      </c>
      <c r="L118">
        <v>13959.9</v>
      </c>
      <c r="M118" s="16">
        <v>0</v>
      </c>
      <c r="N118">
        <f t="shared" si="12"/>
        <v>0</v>
      </c>
      <c r="P118">
        <v>1.1046000000000001E-5</v>
      </c>
      <c r="Q118">
        <v>13959.9</v>
      </c>
      <c r="R118" s="16">
        <v>0</v>
      </c>
      <c r="S118">
        <f t="shared" si="13"/>
        <v>0</v>
      </c>
      <c r="U118">
        <v>1.1046000000000001E-5</v>
      </c>
      <c r="V118">
        <v>13959.9</v>
      </c>
      <c r="W118" s="16">
        <v>0</v>
      </c>
      <c r="X118">
        <f t="shared" si="14"/>
        <v>0</v>
      </c>
      <c r="Z118">
        <v>1.1046000000000001E-5</v>
      </c>
      <c r="AA118">
        <v>13959.9</v>
      </c>
      <c r="AB118" s="16">
        <v>0</v>
      </c>
      <c r="AC118">
        <f t="shared" si="15"/>
        <v>0</v>
      </c>
      <c r="AE118">
        <v>1.1046000000000001E-5</v>
      </c>
      <c r="AF118">
        <v>13959.9</v>
      </c>
      <c r="AG118" s="16">
        <v>0</v>
      </c>
      <c r="AH118">
        <f t="shared" si="16"/>
        <v>0</v>
      </c>
      <c r="AJ118">
        <v>1.1046000000000001E-5</v>
      </c>
      <c r="AK118">
        <v>13959.9</v>
      </c>
      <c r="AL118" s="16">
        <v>1.3010959095892299E-4</v>
      </c>
      <c r="AM118">
        <f t="shared" si="17"/>
        <v>1.8163168788274691</v>
      </c>
      <c r="AO118">
        <v>1.1046000000000001E-5</v>
      </c>
      <c r="AP118">
        <v>13959.9</v>
      </c>
      <c r="AQ118" s="17">
        <v>1.9482149333955099E-6</v>
      </c>
      <c r="AR118">
        <f t="shared" si="18"/>
        <v>2.7196885648707977E-2</v>
      </c>
      <c r="AT118">
        <v>1.1046000000000001E-5</v>
      </c>
      <c r="AU118">
        <v>13959.9</v>
      </c>
      <c r="AV118" s="16">
        <v>0</v>
      </c>
      <c r="AW118">
        <f t="shared" si="19"/>
        <v>0</v>
      </c>
    </row>
    <row r="119" spans="1:49" x14ac:dyDescent="0.3">
      <c r="A119">
        <v>1.2466999999999999E-5</v>
      </c>
      <c r="B119">
        <v>12174</v>
      </c>
      <c r="C119" s="16">
        <v>4.48766394691784E-4</v>
      </c>
      <c r="D119">
        <f t="shared" si="10"/>
        <v>5.4632820889777785</v>
      </c>
      <c r="F119">
        <v>1.2466999999999999E-5</v>
      </c>
      <c r="G119">
        <v>12174</v>
      </c>
      <c r="H119" s="16">
        <v>0</v>
      </c>
      <c r="I119">
        <f t="shared" si="11"/>
        <v>0</v>
      </c>
      <c r="K119">
        <v>1.2466999999999999E-5</v>
      </c>
      <c r="L119">
        <v>12174</v>
      </c>
      <c r="M119" s="16">
        <v>0</v>
      </c>
      <c r="N119">
        <f t="shared" si="12"/>
        <v>0</v>
      </c>
      <c r="P119">
        <v>1.2466999999999999E-5</v>
      </c>
      <c r="Q119">
        <v>12174</v>
      </c>
      <c r="R119" s="16">
        <v>0</v>
      </c>
      <c r="S119">
        <f t="shared" si="13"/>
        <v>0</v>
      </c>
      <c r="U119">
        <v>1.2466999999999999E-5</v>
      </c>
      <c r="V119">
        <v>12174</v>
      </c>
      <c r="W119" s="16">
        <v>0</v>
      </c>
      <c r="X119">
        <f t="shared" si="14"/>
        <v>0</v>
      </c>
      <c r="Z119">
        <v>1.2466999999999999E-5</v>
      </c>
      <c r="AA119">
        <v>12174</v>
      </c>
      <c r="AB119" s="16">
        <v>0</v>
      </c>
      <c r="AC119">
        <f t="shared" si="15"/>
        <v>0</v>
      </c>
      <c r="AE119">
        <v>1.2466999999999999E-5</v>
      </c>
      <c r="AF119">
        <v>12174</v>
      </c>
      <c r="AG119" s="16">
        <v>0</v>
      </c>
      <c r="AH119">
        <f t="shared" si="16"/>
        <v>0</v>
      </c>
      <c r="AJ119">
        <v>1.2466999999999999E-5</v>
      </c>
      <c r="AK119">
        <v>12174</v>
      </c>
      <c r="AL119" s="16">
        <v>1.21216038250643E-4</v>
      </c>
      <c r="AM119">
        <f t="shared" si="17"/>
        <v>1.4756840496633279</v>
      </c>
      <c r="AO119">
        <v>1.2466999999999999E-5</v>
      </c>
      <c r="AP119">
        <v>12174</v>
      </c>
      <c r="AQ119" s="17">
        <v>1.8380468140840801E-6</v>
      </c>
      <c r="AR119">
        <f t="shared" si="18"/>
        <v>2.2376381914659592E-2</v>
      </c>
      <c r="AT119">
        <v>1.2466999999999999E-5</v>
      </c>
      <c r="AU119">
        <v>12174</v>
      </c>
      <c r="AV119" s="16">
        <v>0</v>
      </c>
      <c r="AW119">
        <f t="shared" si="19"/>
        <v>0</v>
      </c>
    </row>
    <row r="120" spans="1:49" x14ac:dyDescent="0.3">
      <c r="A120">
        <v>1.4070000000000001E-5</v>
      </c>
      <c r="B120">
        <v>11600.1</v>
      </c>
      <c r="C120" s="16">
        <v>2.9650436730932299E-4</v>
      </c>
      <c r="D120">
        <f t="shared" si="10"/>
        <v>3.4394803112248775</v>
      </c>
      <c r="F120">
        <v>1.4070000000000001E-5</v>
      </c>
      <c r="G120">
        <v>11600.1</v>
      </c>
      <c r="H120" s="16">
        <v>0</v>
      </c>
      <c r="I120">
        <f t="shared" si="11"/>
        <v>0</v>
      </c>
      <c r="K120">
        <v>1.4070000000000001E-5</v>
      </c>
      <c r="L120">
        <v>11600.1</v>
      </c>
      <c r="M120" s="16">
        <v>0</v>
      </c>
      <c r="N120">
        <f t="shared" si="12"/>
        <v>0</v>
      </c>
      <c r="P120">
        <v>1.4070000000000001E-5</v>
      </c>
      <c r="Q120">
        <v>11600.1</v>
      </c>
      <c r="R120" s="16">
        <v>0</v>
      </c>
      <c r="S120">
        <f t="shared" si="13"/>
        <v>0</v>
      </c>
      <c r="U120">
        <v>1.4070000000000001E-5</v>
      </c>
      <c r="V120">
        <v>11600.1</v>
      </c>
      <c r="W120" s="16">
        <v>0</v>
      </c>
      <c r="X120">
        <f t="shared" si="14"/>
        <v>0</v>
      </c>
      <c r="Z120">
        <v>1.4070000000000001E-5</v>
      </c>
      <c r="AA120">
        <v>11600.1</v>
      </c>
      <c r="AB120" s="16">
        <v>0</v>
      </c>
      <c r="AC120">
        <f t="shared" si="15"/>
        <v>0</v>
      </c>
      <c r="AE120">
        <v>1.4070000000000001E-5</v>
      </c>
      <c r="AF120">
        <v>11600.1</v>
      </c>
      <c r="AG120" s="16">
        <v>0</v>
      </c>
      <c r="AH120">
        <f t="shared" si="16"/>
        <v>0</v>
      </c>
      <c r="AJ120">
        <v>1.4070000000000001E-5</v>
      </c>
      <c r="AK120">
        <v>11600.1</v>
      </c>
      <c r="AL120" s="16">
        <v>1.1327229432910601E-4</v>
      </c>
      <c r="AM120">
        <f t="shared" si="17"/>
        <v>1.3139699414470627</v>
      </c>
      <c r="AO120">
        <v>1.4070000000000001E-5</v>
      </c>
      <c r="AP120">
        <v>11600.1</v>
      </c>
      <c r="AQ120" s="17">
        <v>1.7450361754828999E-6</v>
      </c>
      <c r="AR120">
        <f t="shared" si="18"/>
        <v>2.0242594139219187E-2</v>
      </c>
      <c r="AT120">
        <v>1.4070000000000001E-5</v>
      </c>
      <c r="AU120">
        <v>11600.1</v>
      </c>
      <c r="AV120" s="16">
        <v>0</v>
      </c>
      <c r="AW120">
        <f t="shared" si="19"/>
        <v>0</v>
      </c>
    </row>
    <row r="121" spans="1:49" x14ac:dyDescent="0.3">
      <c r="A121">
        <v>1.588E-5</v>
      </c>
      <c r="B121">
        <v>11146</v>
      </c>
      <c r="C121" s="16">
        <v>2.0551108349207899E-4</v>
      </c>
      <c r="D121">
        <f t="shared" si="10"/>
        <v>2.2906265366027125</v>
      </c>
      <c r="F121">
        <v>1.588E-5</v>
      </c>
      <c r="G121">
        <v>11146</v>
      </c>
      <c r="H121" s="16">
        <v>0</v>
      </c>
      <c r="I121">
        <f t="shared" si="11"/>
        <v>0</v>
      </c>
      <c r="K121">
        <v>1.588E-5</v>
      </c>
      <c r="L121">
        <v>11146</v>
      </c>
      <c r="M121" s="16">
        <v>0</v>
      </c>
      <c r="N121">
        <f t="shared" si="12"/>
        <v>0</v>
      </c>
      <c r="P121">
        <v>1.588E-5</v>
      </c>
      <c r="Q121">
        <v>11146</v>
      </c>
      <c r="R121" s="16">
        <v>0</v>
      </c>
      <c r="S121">
        <f t="shared" si="13"/>
        <v>0</v>
      </c>
      <c r="U121">
        <v>1.588E-5</v>
      </c>
      <c r="V121">
        <v>11146</v>
      </c>
      <c r="W121" s="16">
        <v>0</v>
      </c>
      <c r="X121">
        <f t="shared" si="14"/>
        <v>0</v>
      </c>
      <c r="Z121">
        <v>1.588E-5</v>
      </c>
      <c r="AA121">
        <v>11146</v>
      </c>
      <c r="AB121" s="16">
        <v>0</v>
      </c>
      <c r="AC121">
        <f t="shared" si="15"/>
        <v>0</v>
      </c>
      <c r="AE121">
        <v>1.588E-5</v>
      </c>
      <c r="AF121">
        <v>11146</v>
      </c>
      <c r="AG121" s="16">
        <v>0</v>
      </c>
      <c r="AH121">
        <f t="shared" si="16"/>
        <v>0</v>
      </c>
      <c r="AJ121">
        <v>1.588E-5</v>
      </c>
      <c r="AK121">
        <v>11146</v>
      </c>
      <c r="AL121" s="16">
        <v>1.0765920865595E-4</v>
      </c>
      <c r="AM121">
        <f t="shared" si="17"/>
        <v>1.1999695396792187</v>
      </c>
      <c r="AO121">
        <v>1.588E-5</v>
      </c>
      <c r="AP121">
        <v>11146</v>
      </c>
      <c r="AQ121" s="17">
        <v>1.6879303452025199E-6</v>
      </c>
      <c r="AR121">
        <f t="shared" si="18"/>
        <v>1.8813671627627288E-2</v>
      </c>
      <c r="AT121">
        <v>1.588E-5</v>
      </c>
      <c r="AU121">
        <v>11146</v>
      </c>
      <c r="AV121" s="16">
        <v>0</v>
      </c>
      <c r="AW121">
        <f t="shared" si="19"/>
        <v>0</v>
      </c>
    </row>
    <row r="122" spans="1:49" x14ac:dyDescent="0.3">
      <c r="A122">
        <v>1.7923000000000001E-5</v>
      </c>
      <c r="B122">
        <v>9910.56</v>
      </c>
      <c r="C122" s="16">
        <v>1.5226122884029599E-4</v>
      </c>
      <c r="D122">
        <f t="shared" si="10"/>
        <v>1.5089940440954839</v>
      </c>
      <c r="F122">
        <v>1.7923000000000001E-5</v>
      </c>
      <c r="G122">
        <v>9910.56</v>
      </c>
      <c r="H122" s="16">
        <v>0</v>
      </c>
      <c r="I122">
        <f t="shared" si="11"/>
        <v>0</v>
      </c>
      <c r="K122">
        <v>1.7923000000000001E-5</v>
      </c>
      <c r="L122">
        <v>9910.56</v>
      </c>
      <c r="M122" s="16">
        <v>0</v>
      </c>
      <c r="N122">
        <f t="shared" si="12"/>
        <v>0</v>
      </c>
      <c r="P122">
        <v>1.7923000000000001E-5</v>
      </c>
      <c r="Q122">
        <v>9910.56</v>
      </c>
      <c r="R122" s="16">
        <v>0</v>
      </c>
      <c r="S122">
        <f t="shared" si="13"/>
        <v>0</v>
      </c>
      <c r="U122">
        <v>1.7923000000000001E-5</v>
      </c>
      <c r="V122">
        <v>9910.56</v>
      </c>
      <c r="W122" s="16">
        <v>0</v>
      </c>
      <c r="X122">
        <f t="shared" si="14"/>
        <v>0</v>
      </c>
      <c r="Z122">
        <v>1.7923000000000001E-5</v>
      </c>
      <c r="AA122">
        <v>9910.56</v>
      </c>
      <c r="AB122" s="16">
        <v>0</v>
      </c>
      <c r="AC122">
        <f t="shared" si="15"/>
        <v>0</v>
      </c>
      <c r="AE122">
        <v>1.7923000000000001E-5</v>
      </c>
      <c r="AF122">
        <v>9910.56</v>
      </c>
      <c r="AG122" s="16">
        <v>0</v>
      </c>
      <c r="AH122">
        <f t="shared" si="16"/>
        <v>0</v>
      </c>
      <c r="AJ122">
        <v>1.7923000000000001E-5</v>
      </c>
      <c r="AK122">
        <v>9910.56</v>
      </c>
      <c r="AL122" s="16">
        <v>1.02664625918227E-4</v>
      </c>
      <c r="AM122">
        <f t="shared" si="17"/>
        <v>1.0174639350401438</v>
      </c>
      <c r="AO122">
        <v>1.7923000000000001E-5</v>
      </c>
      <c r="AP122">
        <v>9910.56</v>
      </c>
      <c r="AQ122" s="17">
        <v>1.63776286411133E-6</v>
      </c>
      <c r="AR122">
        <f t="shared" si="18"/>
        <v>1.6231147130547182E-2</v>
      </c>
      <c r="AT122">
        <v>1.7923000000000001E-5</v>
      </c>
      <c r="AU122">
        <v>9910.56</v>
      </c>
      <c r="AV122" s="16">
        <v>0</v>
      </c>
      <c r="AW122">
        <f t="shared" si="19"/>
        <v>0</v>
      </c>
    </row>
    <row r="123" spans="1:49" x14ac:dyDescent="0.3">
      <c r="A123">
        <v>2.0228E-5</v>
      </c>
      <c r="B123">
        <v>9239.08</v>
      </c>
      <c r="C123" s="16">
        <v>1.17857538401586E-4</v>
      </c>
      <c r="D123">
        <f t="shared" si="10"/>
        <v>1.0888952258953253</v>
      </c>
      <c r="F123">
        <v>2.0228E-5</v>
      </c>
      <c r="G123">
        <v>9239.08</v>
      </c>
      <c r="H123" s="16">
        <v>0</v>
      </c>
      <c r="I123">
        <f t="shared" si="11"/>
        <v>0</v>
      </c>
      <c r="K123">
        <v>2.0228E-5</v>
      </c>
      <c r="L123">
        <v>9239.08</v>
      </c>
      <c r="M123" s="16">
        <v>0</v>
      </c>
      <c r="N123">
        <f t="shared" si="12"/>
        <v>0</v>
      </c>
      <c r="P123">
        <v>2.0228E-5</v>
      </c>
      <c r="Q123">
        <v>9239.08</v>
      </c>
      <c r="R123" s="16">
        <v>0</v>
      </c>
      <c r="S123">
        <f t="shared" si="13"/>
        <v>0</v>
      </c>
      <c r="U123">
        <v>2.0228E-5</v>
      </c>
      <c r="V123">
        <v>9239.08</v>
      </c>
      <c r="W123" s="16">
        <v>0</v>
      </c>
      <c r="X123">
        <f t="shared" si="14"/>
        <v>0</v>
      </c>
      <c r="Z123">
        <v>2.0228E-5</v>
      </c>
      <c r="AA123">
        <v>9239.08</v>
      </c>
      <c r="AB123" s="16">
        <v>0</v>
      </c>
      <c r="AC123">
        <f t="shared" si="15"/>
        <v>0</v>
      </c>
      <c r="AE123">
        <v>2.0228E-5</v>
      </c>
      <c r="AF123">
        <v>9239.08</v>
      </c>
      <c r="AG123" s="16">
        <v>0</v>
      </c>
      <c r="AH123">
        <f t="shared" si="16"/>
        <v>0</v>
      </c>
      <c r="AJ123">
        <v>2.0228E-5</v>
      </c>
      <c r="AK123">
        <v>9239.08</v>
      </c>
      <c r="AL123" s="17">
        <v>9.7268163301697093E-5</v>
      </c>
      <c r="AM123">
        <f t="shared" si="17"/>
        <v>0.89866834219744363</v>
      </c>
      <c r="AO123">
        <v>2.0228E-5</v>
      </c>
      <c r="AP123">
        <v>9239.08</v>
      </c>
      <c r="AQ123" s="17">
        <v>1.5951862127291299E-6</v>
      </c>
      <c r="AR123">
        <f t="shared" si="18"/>
        <v>1.473805303430145E-2</v>
      </c>
      <c r="AT123">
        <v>2.0228E-5</v>
      </c>
      <c r="AU123">
        <v>9239.08</v>
      </c>
      <c r="AV123" s="16">
        <v>0</v>
      </c>
      <c r="AW123">
        <f t="shared" si="19"/>
        <v>0</v>
      </c>
    </row>
    <row r="124" spans="1:49" ht="15.5" x14ac:dyDescent="0.35">
      <c r="A124" s="21">
        <v>2.283E-5</v>
      </c>
      <c r="B124">
        <v>8286.4500000000007</v>
      </c>
      <c r="C124" s="17">
        <v>9.1818606941505498E-5</v>
      </c>
      <c r="D124">
        <f t="shared" si="10"/>
        <v>0.76085029549043826</v>
      </c>
      <c r="F124" s="23">
        <v>2.283E-5</v>
      </c>
      <c r="G124">
        <v>8286.4500000000007</v>
      </c>
      <c r="H124" s="16">
        <v>0</v>
      </c>
      <c r="I124">
        <f t="shared" si="11"/>
        <v>0</v>
      </c>
      <c r="K124" s="23">
        <v>2.283E-5</v>
      </c>
      <c r="L124">
        <v>8286.4500000000007</v>
      </c>
      <c r="M124" s="16">
        <v>0</v>
      </c>
      <c r="N124">
        <f t="shared" si="12"/>
        <v>0</v>
      </c>
      <c r="P124" s="23">
        <v>2.283E-5</v>
      </c>
      <c r="Q124">
        <v>8286.4500000000007</v>
      </c>
      <c r="R124" s="16">
        <v>0</v>
      </c>
      <c r="S124">
        <f t="shared" si="13"/>
        <v>0</v>
      </c>
      <c r="U124" s="23">
        <v>2.283E-5</v>
      </c>
      <c r="V124">
        <v>8286.4500000000007</v>
      </c>
      <c r="W124" s="16">
        <v>0</v>
      </c>
      <c r="X124">
        <f t="shared" si="14"/>
        <v>0</v>
      </c>
      <c r="Z124" s="23">
        <v>2.283E-5</v>
      </c>
      <c r="AA124">
        <v>8286.4500000000007</v>
      </c>
      <c r="AB124" s="16">
        <v>0</v>
      </c>
      <c r="AC124">
        <f t="shared" si="15"/>
        <v>0</v>
      </c>
      <c r="AE124" s="23">
        <v>2.283E-5</v>
      </c>
      <c r="AF124">
        <v>8286.4500000000007</v>
      </c>
      <c r="AG124" s="16">
        <v>0</v>
      </c>
      <c r="AH124">
        <f t="shared" si="16"/>
        <v>0</v>
      </c>
      <c r="AJ124" s="23">
        <v>2.283E-5</v>
      </c>
      <c r="AK124">
        <v>8286.4500000000007</v>
      </c>
      <c r="AL124" s="17">
        <v>9.0789810645570501E-5</v>
      </c>
      <c r="AM124">
        <f t="shared" si="17"/>
        <v>0.75232522642398769</v>
      </c>
      <c r="AO124" s="23">
        <v>2.283E-5</v>
      </c>
      <c r="AP124">
        <v>8286.4500000000007</v>
      </c>
      <c r="AQ124" s="17">
        <v>1.5606966438455999E-6</v>
      </c>
      <c r="AR124">
        <f t="shared" si="18"/>
        <v>1.2932634704394373E-2</v>
      </c>
      <c r="AT124" s="23">
        <v>2.283E-5</v>
      </c>
      <c r="AU124">
        <v>8286.4500000000007</v>
      </c>
      <c r="AV124" s="16">
        <v>0</v>
      </c>
      <c r="AW124">
        <f t="shared" si="19"/>
        <v>0</v>
      </c>
    </row>
    <row r="125" spans="1:49" x14ac:dyDescent="0.3">
      <c r="A125">
        <v>2.5766999999999999E-5</v>
      </c>
      <c r="B125">
        <v>8567.73</v>
      </c>
      <c r="C125" s="17">
        <v>7.4079654216706301E-5</v>
      </c>
      <c r="D125">
        <f t="shared" si="10"/>
        <v>0.63469447582210103</v>
      </c>
      <c r="F125">
        <v>2.5766999999999999E-5</v>
      </c>
      <c r="G125">
        <v>8567.73</v>
      </c>
      <c r="H125" s="16">
        <v>0</v>
      </c>
      <c r="I125">
        <f t="shared" si="11"/>
        <v>0</v>
      </c>
      <c r="K125">
        <v>2.5766999999999999E-5</v>
      </c>
      <c r="L125">
        <v>8567.73</v>
      </c>
      <c r="M125" s="16">
        <v>0</v>
      </c>
      <c r="N125">
        <f t="shared" si="12"/>
        <v>0</v>
      </c>
      <c r="P125">
        <v>2.5766999999999999E-5</v>
      </c>
      <c r="Q125">
        <v>8567.73</v>
      </c>
      <c r="R125" s="16">
        <v>0</v>
      </c>
      <c r="S125">
        <f t="shared" si="13"/>
        <v>0</v>
      </c>
      <c r="U125">
        <v>2.5766999999999999E-5</v>
      </c>
      <c r="V125">
        <v>8567.73</v>
      </c>
      <c r="W125" s="16">
        <v>0</v>
      </c>
      <c r="X125">
        <f t="shared" si="14"/>
        <v>0</v>
      </c>
      <c r="Z125">
        <v>2.5766999999999999E-5</v>
      </c>
      <c r="AA125">
        <v>8567.73</v>
      </c>
      <c r="AB125" s="16">
        <v>0</v>
      </c>
      <c r="AC125">
        <f t="shared" si="15"/>
        <v>0</v>
      </c>
      <c r="AE125">
        <v>2.5766999999999999E-5</v>
      </c>
      <c r="AF125">
        <v>8567.73</v>
      </c>
      <c r="AG125" s="16">
        <v>0</v>
      </c>
      <c r="AH125">
        <f t="shared" si="16"/>
        <v>0</v>
      </c>
      <c r="AJ125">
        <v>2.5766999999999999E-5</v>
      </c>
      <c r="AK125">
        <v>8567.73</v>
      </c>
      <c r="AL125" s="17">
        <v>8.4963777646387097E-5</v>
      </c>
      <c r="AM125">
        <f t="shared" si="17"/>
        <v>0.72794670665428007</v>
      </c>
      <c r="AO125">
        <v>2.5766999999999999E-5</v>
      </c>
      <c r="AP125">
        <v>8567.73</v>
      </c>
      <c r="AQ125" s="17">
        <v>1.5347260811850999E-6</v>
      </c>
      <c r="AR125">
        <f t="shared" si="18"/>
        <v>1.3149118687552015E-2</v>
      </c>
      <c r="AT125">
        <v>2.5766999999999999E-5</v>
      </c>
      <c r="AU125">
        <v>8567.73</v>
      </c>
      <c r="AV125" s="16">
        <v>0</v>
      </c>
      <c r="AW125">
        <f t="shared" si="19"/>
        <v>0</v>
      </c>
    </row>
    <row r="126" spans="1:49" x14ac:dyDescent="0.3">
      <c r="A126">
        <v>2.9081000000000002E-5</v>
      </c>
      <c r="B126">
        <v>7961.74</v>
      </c>
      <c r="C126" s="17">
        <v>6.3373557690663796E-5</v>
      </c>
      <c r="D126">
        <f t="shared" si="10"/>
        <v>0.50456378920806555</v>
      </c>
      <c r="F126">
        <v>2.9081000000000002E-5</v>
      </c>
      <c r="G126">
        <v>7961.74</v>
      </c>
      <c r="H126" s="16">
        <v>0</v>
      </c>
      <c r="I126">
        <f t="shared" si="11"/>
        <v>0</v>
      </c>
      <c r="K126">
        <v>2.9081000000000002E-5</v>
      </c>
      <c r="L126">
        <v>7961.74</v>
      </c>
      <c r="M126" s="16">
        <v>0</v>
      </c>
      <c r="N126">
        <f t="shared" si="12"/>
        <v>0</v>
      </c>
      <c r="P126">
        <v>2.9081000000000002E-5</v>
      </c>
      <c r="Q126">
        <v>7961.74</v>
      </c>
      <c r="R126" s="16">
        <v>0</v>
      </c>
      <c r="S126">
        <f t="shared" si="13"/>
        <v>0</v>
      </c>
      <c r="U126">
        <v>2.9081000000000002E-5</v>
      </c>
      <c r="V126">
        <v>7961.74</v>
      </c>
      <c r="W126" s="16">
        <v>0</v>
      </c>
      <c r="X126">
        <f t="shared" si="14"/>
        <v>0</v>
      </c>
      <c r="Z126">
        <v>2.9081000000000002E-5</v>
      </c>
      <c r="AA126">
        <v>7961.74</v>
      </c>
      <c r="AB126" s="16">
        <v>0</v>
      </c>
      <c r="AC126">
        <f t="shared" si="15"/>
        <v>0</v>
      </c>
      <c r="AE126">
        <v>2.9081000000000002E-5</v>
      </c>
      <c r="AF126">
        <v>7961.74</v>
      </c>
      <c r="AG126" s="16">
        <v>0</v>
      </c>
      <c r="AH126">
        <f t="shared" si="16"/>
        <v>0</v>
      </c>
      <c r="AJ126">
        <v>2.9081000000000002E-5</v>
      </c>
      <c r="AK126">
        <v>7961.74</v>
      </c>
      <c r="AL126" s="17">
        <v>8.1048389412488001E-5</v>
      </c>
      <c r="AM126">
        <f t="shared" si="17"/>
        <v>0.64528620392098224</v>
      </c>
      <c r="AO126">
        <v>2.9081000000000002E-5</v>
      </c>
      <c r="AP126">
        <v>7961.74</v>
      </c>
      <c r="AQ126" s="17">
        <v>1.5193698143041001E-6</v>
      </c>
      <c r="AR126">
        <f t="shared" si="18"/>
        <v>1.2096827425337525E-2</v>
      </c>
      <c r="AT126">
        <v>2.9081000000000002E-5</v>
      </c>
      <c r="AU126">
        <v>7961.74</v>
      </c>
      <c r="AV126" s="16">
        <v>0</v>
      </c>
      <c r="AW126">
        <f t="shared" si="19"/>
        <v>0</v>
      </c>
    </row>
    <row r="127" spans="1:49" x14ac:dyDescent="0.3">
      <c r="A127">
        <v>3.2821000000000003E-5</v>
      </c>
      <c r="B127">
        <v>7028.8</v>
      </c>
      <c r="C127" s="17">
        <v>5.67930190155268E-5</v>
      </c>
      <c r="D127">
        <f t="shared" si="10"/>
        <v>0.39918677205633479</v>
      </c>
      <c r="F127">
        <v>3.2821000000000003E-5</v>
      </c>
      <c r="G127">
        <v>7028.8</v>
      </c>
      <c r="H127" s="16">
        <v>0</v>
      </c>
      <c r="I127">
        <f t="shared" si="11"/>
        <v>0</v>
      </c>
      <c r="K127">
        <v>3.2821000000000003E-5</v>
      </c>
      <c r="L127">
        <v>7028.8</v>
      </c>
      <c r="M127" s="16">
        <v>0</v>
      </c>
      <c r="N127">
        <f t="shared" si="12"/>
        <v>0</v>
      </c>
      <c r="P127">
        <v>3.2821000000000003E-5</v>
      </c>
      <c r="Q127">
        <v>7028.8</v>
      </c>
      <c r="R127" s="16">
        <v>0</v>
      </c>
      <c r="S127">
        <f t="shared" si="13"/>
        <v>0</v>
      </c>
      <c r="U127">
        <v>3.2821000000000003E-5</v>
      </c>
      <c r="V127">
        <v>7028.8</v>
      </c>
      <c r="W127" s="16">
        <v>0</v>
      </c>
      <c r="X127">
        <f t="shared" si="14"/>
        <v>0</v>
      </c>
      <c r="Z127">
        <v>3.2821000000000003E-5</v>
      </c>
      <c r="AA127">
        <v>7028.8</v>
      </c>
      <c r="AB127" s="16">
        <v>0</v>
      </c>
      <c r="AC127">
        <f t="shared" si="15"/>
        <v>0</v>
      </c>
      <c r="AE127">
        <v>3.2821000000000003E-5</v>
      </c>
      <c r="AF127">
        <v>7028.8</v>
      </c>
      <c r="AG127" s="16">
        <v>0</v>
      </c>
      <c r="AH127">
        <f t="shared" si="16"/>
        <v>0</v>
      </c>
      <c r="AJ127">
        <v>3.2821000000000003E-5</v>
      </c>
      <c r="AK127">
        <v>7028.8</v>
      </c>
      <c r="AL127" s="17">
        <v>7.7031060916647298E-5</v>
      </c>
      <c r="AM127">
        <f t="shared" si="17"/>
        <v>0.54143592097093052</v>
      </c>
      <c r="AO127">
        <v>3.2821000000000003E-5</v>
      </c>
      <c r="AP127">
        <v>7028.8</v>
      </c>
      <c r="AQ127" s="17">
        <v>1.51379156535331E-6</v>
      </c>
      <c r="AR127">
        <f t="shared" si="18"/>
        <v>1.0640138154555345E-2</v>
      </c>
      <c r="AT127">
        <v>3.2821000000000003E-5</v>
      </c>
      <c r="AU127">
        <v>7028.8</v>
      </c>
      <c r="AV127" s="16">
        <v>0</v>
      </c>
      <c r="AW127">
        <f t="shared" si="19"/>
        <v>0</v>
      </c>
    </row>
    <row r="128" spans="1:49" x14ac:dyDescent="0.3">
      <c r="A128">
        <v>3.7042999999999998E-5</v>
      </c>
      <c r="B128">
        <v>6722.26</v>
      </c>
      <c r="C128" s="17">
        <v>5.4522358409019298E-5</v>
      </c>
      <c r="D128">
        <f t="shared" si="10"/>
        <v>0.36651346903861409</v>
      </c>
      <c r="F128">
        <v>3.7042999999999998E-5</v>
      </c>
      <c r="G128">
        <v>6722.26</v>
      </c>
      <c r="H128" s="16">
        <v>0</v>
      </c>
      <c r="I128">
        <f t="shared" si="11"/>
        <v>0</v>
      </c>
      <c r="K128">
        <v>3.7042999999999998E-5</v>
      </c>
      <c r="L128">
        <v>6722.26</v>
      </c>
      <c r="M128" s="16">
        <v>0</v>
      </c>
      <c r="N128">
        <f t="shared" si="12"/>
        <v>0</v>
      </c>
      <c r="P128">
        <v>3.7042999999999998E-5</v>
      </c>
      <c r="Q128">
        <v>6722.26</v>
      </c>
      <c r="R128" s="16">
        <v>0</v>
      </c>
      <c r="S128">
        <f t="shared" si="13"/>
        <v>0</v>
      </c>
      <c r="U128">
        <v>3.7042999999999998E-5</v>
      </c>
      <c r="V128">
        <v>6722.26</v>
      </c>
      <c r="W128" s="16">
        <v>0</v>
      </c>
      <c r="X128">
        <f t="shared" si="14"/>
        <v>0</v>
      </c>
      <c r="Z128">
        <v>3.7042999999999998E-5</v>
      </c>
      <c r="AA128">
        <v>6722.26</v>
      </c>
      <c r="AB128" s="16">
        <v>0</v>
      </c>
      <c r="AC128">
        <f t="shared" si="15"/>
        <v>0</v>
      </c>
      <c r="AE128">
        <v>3.7042999999999998E-5</v>
      </c>
      <c r="AF128">
        <v>6722.26</v>
      </c>
      <c r="AG128" s="16">
        <v>0</v>
      </c>
      <c r="AH128">
        <f t="shared" si="16"/>
        <v>0</v>
      </c>
      <c r="AJ128">
        <v>3.7042999999999998E-5</v>
      </c>
      <c r="AK128">
        <v>6722.26</v>
      </c>
      <c r="AL128" s="17">
        <v>7.3456290384908701E-5</v>
      </c>
      <c r="AM128">
        <f t="shared" si="17"/>
        <v>0.4937922826028564</v>
      </c>
      <c r="AO128">
        <v>3.7042999999999998E-5</v>
      </c>
      <c r="AP128">
        <v>6722.26</v>
      </c>
      <c r="AQ128" s="17">
        <v>1.52969922422286E-6</v>
      </c>
      <c r="AR128">
        <f t="shared" si="18"/>
        <v>1.0283035907024363E-2</v>
      </c>
      <c r="AT128">
        <v>3.7042999999999998E-5</v>
      </c>
      <c r="AU128">
        <v>6722.26</v>
      </c>
      <c r="AV128" s="16">
        <v>0</v>
      </c>
      <c r="AW128">
        <f t="shared" si="19"/>
        <v>0</v>
      </c>
    </row>
    <row r="129" spans="1:49" x14ac:dyDescent="0.3">
      <c r="A129">
        <v>4.1807000000000001E-5</v>
      </c>
      <c r="B129">
        <v>6674.68</v>
      </c>
      <c r="C129" s="17">
        <v>5.9316158989134499E-5</v>
      </c>
      <c r="D129">
        <f t="shared" si="10"/>
        <v>0.3959163800815963</v>
      </c>
      <c r="F129">
        <v>4.1807000000000001E-5</v>
      </c>
      <c r="G129">
        <v>6674.68</v>
      </c>
      <c r="H129" s="16">
        <v>0</v>
      </c>
      <c r="I129">
        <f t="shared" si="11"/>
        <v>0</v>
      </c>
      <c r="K129">
        <v>4.1807000000000001E-5</v>
      </c>
      <c r="L129">
        <v>6674.68</v>
      </c>
      <c r="M129" s="16">
        <v>0</v>
      </c>
      <c r="N129">
        <f t="shared" si="12"/>
        <v>0</v>
      </c>
      <c r="P129">
        <v>4.1807000000000001E-5</v>
      </c>
      <c r="Q129">
        <v>6674.68</v>
      </c>
      <c r="R129" s="16">
        <v>0</v>
      </c>
      <c r="S129">
        <f t="shared" si="13"/>
        <v>0</v>
      </c>
      <c r="U129">
        <v>4.1807000000000001E-5</v>
      </c>
      <c r="V129">
        <v>6674.68</v>
      </c>
      <c r="W129" s="16">
        <v>0</v>
      </c>
      <c r="X129">
        <f t="shared" si="14"/>
        <v>0</v>
      </c>
      <c r="Z129">
        <v>4.1807000000000001E-5</v>
      </c>
      <c r="AA129">
        <v>6674.68</v>
      </c>
      <c r="AB129" s="16">
        <v>0</v>
      </c>
      <c r="AC129">
        <f t="shared" si="15"/>
        <v>0</v>
      </c>
      <c r="AE129">
        <v>4.1807000000000001E-5</v>
      </c>
      <c r="AF129">
        <v>6674.68</v>
      </c>
      <c r="AG129" s="16">
        <v>0</v>
      </c>
      <c r="AH129">
        <f t="shared" si="16"/>
        <v>0</v>
      </c>
      <c r="AJ129">
        <v>4.1807000000000001E-5</v>
      </c>
      <c r="AK129">
        <v>6674.68</v>
      </c>
      <c r="AL129" s="17">
        <v>6.7872365507836498E-5</v>
      </c>
      <c r="AM129">
        <f t="shared" si="17"/>
        <v>0.45302632060784614</v>
      </c>
      <c r="AO129">
        <v>4.1807000000000001E-5</v>
      </c>
      <c r="AP129">
        <v>6674.68</v>
      </c>
      <c r="AQ129" s="17">
        <v>1.56727658824224E-6</v>
      </c>
      <c r="AR129">
        <f t="shared" si="18"/>
        <v>1.0461069698008715E-2</v>
      </c>
      <c r="AT129">
        <v>4.1807000000000001E-5</v>
      </c>
      <c r="AU129">
        <v>6674.68</v>
      </c>
      <c r="AV129" s="16">
        <v>0</v>
      </c>
      <c r="AW129">
        <f t="shared" si="19"/>
        <v>0</v>
      </c>
    </row>
    <row r="130" spans="1:49" x14ac:dyDescent="0.3">
      <c r="A130">
        <v>4.7185000000000003E-5</v>
      </c>
      <c r="B130">
        <v>5542.81</v>
      </c>
      <c r="C130" s="16">
        <v>8.9235025378633503E-4</v>
      </c>
      <c r="D130">
        <f t="shared" si="10"/>
        <v>4.9461279101894364</v>
      </c>
      <c r="F130">
        <v>4.7185000000000003E-5</v>
      </c>
      <c r="G130">
        <v>5542.81</v>
      </c>
      <c r="H130" s="16">
        <v>0</v>
      </c>
      <c r="I130">
        <f t="shared" si="11"/>
        <v>0</v>
      </c>
      <c r="K130">
        <v>4.7185000000000003E-5</v>
      </c>
      <c r="L130">
        <v>5542.81</v>
      </c>
      <c r="M130" s="16">
        <v>0</v>
      </c>
      <c r="N130">
        <f t="shared" si="12"/>
        <v>0</v>
      </c>
      <c r="P130">
        <v>4.7185000000000003E-5</v>
      </c>
      <c r="Q130">
        <v>5542.81</v>
      </c>
      <c r="R130" s="16">
        <v>0</v>
      </c>
      <c r="S130">
        <f t="shared" si="13"/>
        <v>0</v>
      </c>
      <c r="U130">
        <v>4.7185000000000003E-5</v>
      </c>
      <c r="V130">
        <v>5542.81</v>
      </c>
      <c r="W130" s="16">
        <v>0</v>
      </c>
      <c r="X130">
        <f t="shared" si="14"/>
        <v>0</v>
      </c>
      <c r="Z130">
        <v>4.7185000000000003E-5</v>
      </c>
      <c r="AA130">
        <v>5542.81</v>
      </c>
      <c r="AB130" s="16">
        <v>0</v>
      </c>
      <c r="AC130">
        <f t="shared" si="15"/>
        <v>0</v>
      </c>
      <c r="AE130">
        <v>4.7185000000000003E-5</v>
      </c>
      <c r="AF130">
        <v>5542.81</v>
      </c>
      <c r="AG130" s="16">
        <v>0</v>
      </c>
      <c r="AH130">
        <f t="shared" si="16"/>
        <v>0</v>
      </c>
      <c r="AJ130">
        <v>4.7185000000000003E-5</v>
      </c>
      <c r="AK130">
        <v>5542.81</v>
      </c>
      <c r="AL130" s="17">
        <v>6.2660914664781496E-5</v>
      </c>
      <c r="AM130">
        <f t="shared" si="17"/>
        <v>0.34731754441309753</v>
      </c>
      <c r="AO130">
        <v>4.7185000000000003E-5</v>
      </c>
      <c r="AP130">
        <v>5542.81</v>
      </c>
      <c r="AQ130" s="17">
        <v>1.6283018965745399E-6</v>
      </c>
      <c r="AR130">
        <f t="shared" si="18"/>
        <v>9.0253680353523259E-3</v>
      </c>
      <c r="AT130">
        <v>4.7185000000000003E-5</v>
      </c>
      <c r="AU130">
        <v>5542.81</v>
      </c>
      <c r="AV130" s="16">
        <v>0</v>
      </c>
      <c r="AW130">
        <f t="shared" si="19"/>
        <v>0</v>
      </c>
    </row>
    <row r="131" spans="1:49" x14ac:dyDescent="0.3">
      <c r="A131">
        <v>5.3254000000000002E-5</v>
      </c>
      <c r="B131">
        <v>4841.87</v>
      </c>
      <c r="C131" s="16">
        <v>1.5291984452581999E-4</v>
      </c>
      <c r="D131">
        <f t="shared" si="10"/>
        <v>0.74041800761423204</v>
      </c>
      <c r="F131">
        <v>5.3254000000000002E-5</v>
      </c>
      <c r="G131">
        <v>4841.87</v>
      </c>
      <c r="H131" s="16">
        <v>0</v>
      </c>
      <c r="I131">
        <f t="shared" si="11"/>
        <v>0</v>
      </c>
      <c r="K131">
        <v>5.3254000000000002E-5</v>
      </c>
      <c r="L131">
        <v>4841.87</v>
      </c>
      <c r="M131" s="16">
        <v>0</v>
      </c>
      <c r="N131">
        <f t="shared" si="12"/>
        <v>0</v>
      </c>
      <c r="P131">
        <v>5.3254000000000002E-5</v>
      </c>
      <c r="Q131">
        <v>4841.87</v>
      </c>
      <c r="R131" s="16">
        <v>0</v>
      </c>
      <c r="S131">
        <f t="shared" si="13"/>
        <v>0</v>
      </c>
      <c r="U131">
        <v>5.3254000000000002E-5</v>
      </c>
      <c r="V131">
        <v>4841.87</v>
      </c>
      <c r="W131" s="16">
        <v>0</v>
      </c>
      <c r="X131">
        <f t="shared" si="14"/>
        <v>0</v>
      </c>
      <c r="Z131">
        <v>5.3254000000000002E-5</v>
      </c>
      <c r="AA131">
        <v>4841.87</v>
      </c>
      <c r="AB131" s="16">
        <v>0</v>
      </c>
      <c r="AC131">
        <f t="shared" si="15"/>
        <v>0</v>
      </c>
      <c r="AE131">
        <v>5.3254000000000002E-5</v>
      </c>
      <c r="AF131">
        <v>4841.87</v>
      </c>
      <c r="AG131" s="16">
        <v>0</v>
      </c>
      <c r="AH131">
        <f t="shared" si="16"/>
        <v>0</v>
      </c>
      <c r="AJ131">
        <v>5.3254000000000002E-5</v>
      </c>
      <c r="AK131">
        <v>4841.87</v>
      </c>
      <c r="AL131" s="17">
        <v>5.9996255029318999E-5</v>
      </c>
      <c r="AM131">
        <f t="shared" si="17"/>
        <v>0.29049406733880878</v>
      </c>
      <c r="AO131">
        <v>5.3254000000000002E-5</v>
      </c>
      <c r="AP131">
        <v>4841.87</v>
      </c>
      <c r="AQ131" s="17">
        <v>1.75275566332254E-6</v>
      </c>
      <c r="AR131">
        <f t="shared" si="18"/>
        <v>8.4866150635715069E-3</v>
      </c>
      <c r="AT131">
        <v>5.3254000000000002E-5</v>
      </c>
      <c r="AU131">
        <v>4841.87</v>
      </c>
      <c r="AV131" s="16">
        <v>0</v>
      </c>
      <c r="AW131">
        <f t="shared" si="19"/>
        <v>0</v>
      </c>
    </row>
    <row r="132" spans="1:49" x14ac:dyDescent="0.3">
      <c r="A132">
        <v>6.0103999999999999E-5</v>
      </c>
      <c r="B132">
        <v>5134.55</v>
      </c>
      <c r="C132" s="16">
        <v>3.0282520538268E-2</v>
      </c>
      <c r="D132">
        <f t="shared" ref="D132:D195" si="20">B132*C132</f>
        <v>155.48711582976395</v>
      </c>
      <c r="F132">
        <v>6.0103999999999999E-5</v>
      </c>
      <c r="G132">
        <v>5134.55</v>
      </c>
      <c r="H132" s="16">
        <v>0</v>
      </c>
      <c r="I132">
        <f t="shared" ref="I132:I195" si="21">G132*H132</f>
        <v>0</v>
      </c>
      <c r="K132">
        <v>6.0103999999999999E-5</v>
      </c>
      <c r="L132">
        <v>5134.55</v>
      </c>
      <c r="M132" s="16">
        <v>0</v>
      </c>
      <c r="N132">
        <f t="shared" ref="N132:N195" si="22">L132*M132</f>
        <v>0</v>
      </c>
      <c r="P132">
        <v>6.0103999999999999E-5</v>
      </c>
      <c r="Q132">
        <v>5134.55</v>
      </c>
      <c r="R132" s="16">
        <v>0</v>
      </c>
      <c r="S132">
        <f t="shared" ref="S132:S195" si="23">Q132*R132</f>
        <v>0</v>
      </c>
      <c r="U132">
        <v>6.0103999999999999E-5</v>
      </c>
      <c r="V132">
        <v>5134.55</v>
      </c>
      <c r="W132" s="16">
        <v>0</v>
      </c>
      <c r="X132">
        <f t="shared" ref="X132:X195" si="24">V132*W132</f>
        <v>0</v>
      </c>
      <c r="Z132">
        <v>6.0103999999999999E-5</v>
      </c>
      <c r="AA132">
        <v>5134.55</v>
      </c>
      <c r="AB132" s="16">
        <v>0</v>
      </c>
      <c r="AC132">
        <f t="shared" ref="AC132:AC195" si="25">AA132*AB132</f>
        <v>0</v>
      </c>
      <c r="AE132">
        <v>6.0103999999999999E-5</v>
      </c>
      <c r="AF132">
        <v>5134.55</v>
      </c>
      <c r="AG132" s="16">
        <v>0</v>
      </c>
      <c r="AH132">
        <f t="shared" ref="AH132:AH195" si="26">AF132*AG132</f>
        <v>0</v>
      </c>
      <c r="AJ132">
        <v>6.0103999999999999E-5</v>
      </c>
      <c r="AK132">
        <v>5134.55</v>
      </c>
      <c r="AL132" s="17">
        <v>5.7435496045450797E-5</v>
      </c>
      <c r="AM132">
        <f t="shared" ref="AM132:AM195" si="27">AK132*AL132</f>
        <v>0.29490542622016941</v>
      </c>
      <c r="AO132">
        <v>6.0103999999999999E-5</v>
      </c>
      <c r="AP132">
        <v>5134.55</v>
      </c>
      <c r="AQ132" s="17">
        <v>1.9167304508495498E-6</v>
      </c>
      <c r="AR132">
        <f t="shared" ref="AR132:AR195" si="28">AP132*AQ132</f>
        <v>9.8415483364095568E-3</v>
      </c>
      <c r="AT132">
        <v>6.0103999999999999E-5</v>
      </c>
      <c r="AU132">
        <v>5134.55</v>
      </c>
      <c r="AV132" s="16">
        <v>0</v>
      </c>
      <c r="AW132">
        <f t="shared" ref="AW132:AW195" si="29">AU132*AV132</f>
        <v>0</v>
      </c>
    </row>
    <row r="133" spans="1:49" x14ac:dyDescent="0.3">
      <c r="A133">
        <v>6.7835000000000004E-5</v>
      </c>
      <c r="B133">
        <v>4802.6099999999997</v>
      </c>
      <c r="C133" s="16">
        <v>0.123776959872245</v>
      </c>
      <c r="D133">
        <f t="shared" si="20"/>
        <v>594.45246525204254</v>
      </c>
      <c r="F133">
        <v>6.7835000000000004E-5</v>
      </c>
      <c r="G133">
        <v>4802.6099999999997</v>
      </c>
      <c r="H133" s="16">
        <v>0</v>
      </c>
      <c r="I133">
        <f t="shared" si="21"/>
        <v>0</v>
      </c>
      <c r="K133">
        <v>6.7835000000000004E-5</v>
      </c>
      <c r="L133">
        <v>4802.6099999999997</v>
      </c>
      <c r="M133" s="16">
        <v>0</v>
      </c>
      <c r="N133">
        <f t="shared" si="22"/>
        <v>0</v>
      </c>
      <c r="P133">
        <v>6.7835000000000004E-5</v>
      </c>
      <c r="Q133">
        <v>4802.6099999999997</v>
      </c>
      <c r="R133" s="16">
        <v>0</v>
      </c>
      <c r="S133">
        <f t="shared" si="23"/>
        <v>0</v>
      </c>
      <c r="U133">
        <v>6.7835000000000004E-5</v>
      </c>
      <c r="V133">
        <v>4802.6099999999997</v>
      </c>
      <c r="W133" s="16">
        <v>0</v>
      </c>
      <c r="X133">
        <f t="shared" si="24"/>
        <v>0</v>
      </c>
      <c r="Z133">
        <v>6.7835000000000004E-5</v>
      </c>
      <c r="AA133">
        <v>4802.6099999999997</v>
      </c>
      <c r="AB133" s="16">
        <v>0</v>
      </c>
      <c r="AC133">
        <f t="shared" si="25"/>
        <v>0</v>
      </c>
      <c r="AE133">
        <v>6.7835000000000004E-5</v>
      </c>
      <c r="AF133">
        <v>4802.6099999999997</v>
      </c>
      <c r="AG133" s="16">
        <v>0</v>
      </c>
      <c r="AH133">
        <f t="shared" si="26"/>
        <v>0</v>
      </c>
      <c r="AJ133">
        <v>6.7835000000000004E-5</v>
      </c>
      <c r="AK133">
        <v>4802.6099999999997</v>
      </c>
      <c r="AL133" s="17">
        <v>5.4974226836458301E-5</v>
      </c>
      <c r="AM133">
        <f t="shared" si="27"/>
        <v>0.26401977154704298</v>
      </c>
      <c r="AO133">
        <v>6.7835000000000004E-5</v>
      </c>
      <c r="AP133">
        <v>4802.6099999999997</v>
      </c>
      <c r="AQ133" s="17">
        <v>2.1788897718035902E-6</v>
      </c>
      <c r="AR133">
        <f t="shared" si="28"/>
        <v>1.0464357806961639E-2</v>
      </c>
      <c r="AT133">
        <v>6.7835000000000004E-5</v>
      </c>
      <c r="AU133">
        <v>4802.6099999999997</v>
      </c>
      <c r="AV133" s="16">
        <v>0</v>
      </c>
      <c r="AW133">
        <f t="shared" si="29"/>
        <v>0</v>
      </c>
    </row>
    <row r="134" spans="1:49" x14ac:dyDescent="0.3">
      <c r="A134">
        <v>7.6559999999999999E-5</v>
      </c>
      <c r="B134">
        <v>4562.29</v>
      </c>
      <c r="C134" s="16">
        <v>1.7778117046521799E-4</v>
      </c>
      <c r="D134">
        <f t="shared" si="20"/>
        <v>0.81108925620175942</v>
      </c>
      <c r="F134">
        <v>7.6559999999999999E-5</v>
      </c>
      <c r="G134">
        <v>4562.29</v>
      </c>
      <c r="H134" s="16">
        <v>0</v>
      </c>
      <c r="I134">
        <f t="shared" si="21"/>
        <v>0</v>
      </c>
      <c r="K134">
        <v>7.6559999999999999E-5</v>
      </c>
      <c r="L134">
        <v>4562.29</v>
      </c>
      <c r="M134" s="16">
        <v>0</v>
      </c>
      <c r="N134">
        <f t="shared" si="22"/>
        <v>0</v>
      </c>
      <c r="P134">
        <v>7.6559999999999999E-5</v>
      </c>
      <c r="Q134">
        <v>4562.29</v>
      </c>
      <c r="R134" s="16">
        <v>0</v>
      </c>
      <c r="S134">
        <f t="shared" si="23"/>
        <v>0</v>
      </c>
      <c r="U134">
        <v>7.6559999999999999E-5</v>
      </c>
      <c r="V134">
        <v>4562.29</v>
      </c>
      <c r="W134" s="16">
        <v>0</v>
      </c>
      <c r="X134">
        <f t="shared" si="24"/>
        <v>0</v>
      </c>
      <c r="Z134">
        <v>7.6559999999999999E-5</v>
      </c>
      <c r="AA134">
        <v>4562.29</v>
      </c>
      <c r="AB134" s="16">
        <v>0</v>
      </c>
      <c r="AC134">
        <f t="shared" si="25"/>
        <v>0</v>
      </c>
      <c r="AE134">
        <v>7.6559999999999999E-5</v>
      </c>
      <c r="AF134">
        <v>4562.29</v>
      </c>
      <c r="AG134" s="16">
        <v>0</v>
      </c>
      <c r="AH134">
        <f t="shared" si="26"/>
        <v>0</v>
      </c>
      <c r="AJ134">
        <v>7.6559999999999999E-5</v>
      </c>
      <c r="AK134">
        <v>4562.29</v>
      </c>
      <c r="AL134" s="17">
        <v>5.1424941370205001E-5</v>
      </c>
      <c r="AM134">
        <f t="shared" si="27"/>
        <v>0.23461549576387258</v>
      </c>
      <c r="AO134">
        <v>7.6559999999999999E-5</v>
      </c>
      <c r="AP134">
        <v>4562.29</v>
      </c>
      <c r="AQ134" s="17">
        <v>2.6452134638497701E-6</v>
      </c>
      <c r="AR134">
        <f t="shared" si="28"/>
        <v>1.2068230933987168E-2</v>
      </c>
      <c r="AT134">
        <v>7.6559999999999999E-5</v>
      </c>
      <c r="AU134">
        <v>4562.29</v>
      </c>
      <c r="AV134" s="16">
        <v>0</v>
      </c>
      <c r="AW134">
        <f t="shared" si="29"/>
        <v>0</v>
      </c>
    </row>
    <row r="135" spans="1:49" x14ac:dyDescent="0.3">
      <c r="A135">
        <v>8.6407000000000001E-5</v>
      </c>
      <c r="B135">
        <v>4108</v>
      </c>
      <c r="C135" s="16">
        <v>1.51984917028932E-2</v>
      </c>
      <c r="D135">
        <f t="shared" si="20"/>
        <v>62.435403915485267</v>
      </c>
      <c r="F135">
        <v>8.6407000000000001E-5</v>
      </c>
      <c r="G135">
        <v>4108</v>
      </c>
      <c r="H135" s="16">
        <v>0</v>
      </c>
      <c r="I135">
        <f t="shared" si="21"/>
        <v>0</v>
      </c>
      <c r="K135">
        <v>8.6407000000000001E-5</v>
      </c>
      <c r="L135">
        <v>4108</v>
      </c>
      <c r="M135" s="16">
        <v>0</v>
      </c>
      <c r="N135">
        <f t="shared" si="22"/>
        <v>0</v>
      </c>
      <c r="P135">
        <v>8.6407000000000001E-5</v>
      </c>
      <c r="Q135">
        <v>4108</v>
      </c>
      <c r="R135" s="16">
        <v>0</v>
      </c>
      <c r="S135">
        <f t="shared" si="23"/>
        <v>0</v>
      </c>
      <c r="U135">
        <v>8.6407000000000001E-5</v>
      </c>
      <c r="V135">
        <v>4108</v>
      </c>
      <c r="W135" s="16">
        <v>0</v>
      </c>
      <c r="X135">
        <f t="shared" si="24"/>
        <v>0</v>
      </c>
      <c r="Z135">
        <v>8.6407000000000001E-5</v>
      </c>
      <c r="AA135">
        <v>4108</v>
      </c>
      <c r="AB135" s="16">
        <v>0</v>
      </c>
      <c r="AC135">
        <f t="shared" si="25"/>
        <v>0</v>
      </c>
      <c r="AE135">
        <v>8.6407000000000001E-5</v>
      </c>
      <c r="AF135">
        <v>4108</v>
      </c>
      <c r="AG135" s="16">
        <v>0</v>
      </c>
      <c r="AH135">
        <f t="shared" si="26"/>
        <v>0</v>
      </c>
      <c r="AJ135">
        <v>8.6407000000000001E-5</v>
      </c>
      <c r="AK135">
        <v>4108</v>
      </c>
      <c r="AL135" s="17">
        <v>4.80603736189794E-5</v>
      </c>
      <c r="AM135">
        <f t="shared" si="27"/>
        <v>0.19743201482676737</v>
      </c>
      <c r="AO135">
        <v>8.6407000000000001E-5</v>
      </c>
      <c r="AP135">
        <v>4108</v>
      </c>
      <c r="AQ135" s="17">
        <v>3.4057516501041002E-6</v>
      </c>
      <c r="AR135">
        <f t="shared" si="28"/>
        <v>1.3990827778627644E-2</v>
      </c>
      <c r="AT135">
        <v>8.6407000000000001E-5</v>
      </c>
      <c r="AU135">
        <v>4108</v>
      </c>
      <c r="AV135" s="16">
        <v>0</v>
      </c>
      <c r="AW135">
        <f t="shared" si="29"/>
        <v>0</v>
      </c>
    </row>
    <row r="136" spans="1:49" x14ac:dyDescent="0.3">
      <c r="A136">
        <v>9.7522000000000006E-5</v>
      </c>
      <c r="B136">
        <v>3635.35</v>
      </c>
      <c r="C136" s="17">
        <v>3.1884993100806101E-5</v>
      </c>
      <c r="D136">
        <f t="shared" si="20"/>
        <v>0.11591310966901545</v>
      </c>
      <c r="F136">
        <v>9.7522000000000006E-5</v>
      </c>
      <c r="G136">
        <v>3635.35</v>
      </c>
      <c r="H136" s="16">
        <v>0</v>
      </c>
      <c r="I136">
        <f t="shared" si="21"/>
        <v>0</v>
      </c>
      <c r="K136">
        <v>9.7522000000000006E-5</v>
      </c>
      <c r="L136">
        <v>3635.35</v>
      </c>
      <c r="M136" s="16">
        <v>0</v>
      </c>
      <c r="N136">
        <f t="shared" si="22"/>
        <v>0</v>
      </c>
      <c r="P136">
        <v>9.7522000000000006E-5</v>
      </c>
      <c r="Q136">
        <v>3635.35</v>
      </c>
      <c r="R136" s="16">
        <v>0</v>
      </c>
      <c r="S136">
        <f t="shared" si="23"/>
        <v>0</v>
      </c>
      <c r="U136">
        <v>9.7522000000000006E-5</v>
      </c>
      <c r="V136">
        <v>3635.35</v>
      </c>
      <c r="W136" s="16">
        <v>0</v>
      </c>
      <c r="X136">
        <f t="shared" si="24"/>
        <v>0</v>
      </c>
      <c r="Z136">
        <v>9.7522000000000006E-5</v>
      </c>
      <c r="AA136">
        <v>3635.35</v>
      </c>
      <c r="AB136" s="16">
        <v>0</v>
      </c>
      <c r="AC136">
        <f t="shared" si="25"/>
        <v>0</v>
      </c>
      <c r="AE136">
        <v>9.7522000000000006E-5</v>
      </c>
      <c r="AF136">
        <v>3635.35</v>
      </c>
      <c r="AG136" s="16">
        <v>0</v>
      </c>
      <c r="AH136">
        <f t="shared" si="26"/>
        <v>0</v>
      </c>
      <c r="AJ136">
        <v>9.7522000000000006E-5</v>
      </c>
      <c r="AK136">
        <v>3635.35</v>
      </c>
      <c r="AL136" s="17">
        <v>4.5585430692159201E-5</v>
      </c>
      <c r="AM136">
        <f t="shared" si="27"/>
        <v>0.16571899546674096</v>
      </c>
      <c r="AO136">
        <v>9.7522000000000006E-5</v>
      </c>
      <c r="AP136">
        <v>3635.35</v>
      </c>
      <c r="AQ136" s="17">
        <v>5.0752783687022604E-6</v>
      </c>
      <c r="AR136">
        <f t="shared" si="28"/>
        <v>1.8450413217661762E-2</v>
      </c>
      <c r="AT136">
        <v>9.7522000000000006E-5</v>
      </c>
      <c r="AU136">
        <v>3635.35</v>
      </c>
      <c r="AV136" s="16">
        <v>0</v>
      </c>
      <c r="AW136">
        <f t="shared" si="29"/>
        <v>0</v>
      </c>
    </row>
    <row r="137" spans="1:49" x14ac:dyDescent="0.3">
      <c r="A137">
        <v>1.1006E-4</v>
      </c>
      <c r="B137">
        <v>3282.48</v>
      </c>
      <c r="C137" s="16">
        <v>7.9054517661801896E-3</v>
      </c>
      <c r="D137">
        <f t="shared" si="20"/>
        <v>25.949487313451147</v>
      </c>
      <c r="F137">
        <v>1.1006E-4</v>
      </c>
      <c r="G137">
        <v>3282.48</v>
      </c>
      <c r="H137" s="16">
        <v>0</v>
      </c>
      <c r="I137">
        <f t="shared" si="21"/>
        <v>0</v>
      </c>
      <c r="K137">
        <v>1.1006E-4</v>
      </c>
      <c r="L137">
        <v>3282.48</v>
      </c>
      <c r="M137" s="16">
        <v>0</v>
      </c>
      <c r="N137">
        <f t="shared" si="22"/>
        <v>0</v>
      </c>
      <c r="P137">
        <v>1.1006E-4</v>
      </c>
      <c r="Q137">
        <v>3282.48</v>
      </c>
      <c r="R137" s="16">
        <v>0</v>
      </c>
      <c r="S137">
        <f t="shared" si="23"/>
        <v>0</v>
      </c>
      <c r="U137">
        <v>1.1006E-4</v>
      </c>
      <c r="V137">
        <v>3282.48</v>
      </c>
      <c r="W137" s="16">
        <v>0</v>
      </c>
      <c r="X137">
        <f t="shared" si="24"/>
        <v>0</v>
      </c>
      <c r="Z137">
        <v>1.1006E-4</v>
      </c>
      <c r="AA137">
        <v>3282.48</v>
      </c>
      <c r="AB137" s="16">
        <v>0</v>
      </c>
      <c r="AC137">
        <f t="shared" si="25"/>
        <v>0</v>
      </c>
      <c r="AE137">
        <v>1.1006E-4</v>
      </c>
      <c r="AF137">
        <v>3282.48</v>
      </c>
      <c r="AG137" s="16">
        <v>0</v>
      </c>
      <c r="AH137">
        <f t="shared" si="26"/>
        <v>0</v>
      </c>
      <c r="AJ137">
        <v>1.1006E-4</v>
      </c>
      <c r="AK137">
        <v>3282.48</v>
      </c>
      <c r="AL137" s="17">
        <v>4.4059610415704297E-5</v>
      </c>
      <c r="AM137">
        <f t="shared" si="27"/>
        <v>0.14462478999734105</v>
      </c>
      <c r="AO137">
        <v>1.1006E-4</v>
      </c>
      <c r="AP137">
        <v>3282.48</v>
      </c>
      <c r="AQ137" s="17">
        <v>1.02295534860492E-5</v>
      </c>
      <c r="AR137">
        <f t="shared" si="28"/>
        <v>3.3578304726886776E-2</v>
      </c>
      <c r="AT137">
        <v>1.1006E-4</v>
      </c>
      <c r="AU137">
        <v>3282.48</v>
      </c>
      <c r="AV137" s="16">
        <v>0</v>
      </c>
      <c r="AW137">
        <f t="shared" si="29"/>
        <v>0</v>
      </c>
    </row>
    <row r="138" spans="1:49" x14ac:dyDescent="0.3">
      <c r="A138">
        <v>1.2422E-4</v>
      </c>
      <c r="B138">
        <v>3175.35</v>
      </c>
      <c r="C138" s="16">
        <v>9.0826460364754297E-4</v>
      </c>
      <c r="D138">
        <f t="shared" si="20"/>
        <v>2.8840580091922257</v>
      </c>
      <c r="F138">
        <v>1.2422E-4</v>
      </c>
      <c r="G138">
        <v>3175.35</v>
      </c>
      <c r="H138" s="16">
        <v>0</v>
      </c>
      <c r="I138">
        <f t="shared" si="21"/>
        <v>0</v>
      </c>
      <c r="K138">
        <v>1.2422E-4</v>
      </c>
      <c r="L138">
        <v>3175.35</v>
      </c>
      <c r="M138" s="16">
        <v>0</v>
      </c>
      <c r="N138">
        <f t="shared" si="22"/>
        <v>0</v>
      </c>
      <c r="P138">
        <v>1.2422E-4</v>
      </c>
      <c r="Q138">
        <v>3175.35</v>
      </c>
      <c r="R138" s="16">
        <v>0</v>
      </c>
      <c r="S138">
        <f t="shared" si="23"/>
        <v>0</v>
      </c>
      <c r="U138">
        <v>1.2422E-4</v>
      </c>
      <c r="V138">
        <v>3175.35</v>
      </c>
      <c r="W138" s="16">
        <v>0</v>
      </c>
      <c r="X138">
        <f t="shared" si="24"/>
        <v>0</v>
      </c>
      <c r="Z138">
        <v>1.2422E-4</v>
      </c>
      <c r="AA138">
        <v>3175.35</v>
      </c>
      <c r="AB138" s="16">
        <v>0</v>
      </c>
      <c r="AC138">
        <f t="shared" si="25"/>
        <v>0</v>
      </c>
      <c r="AE138">
        <v>1.2422E-4</v>
      </c>
      <c r="AF138">
        <v>3175.35</v>
      </c>
      <c r="AG138" s="16">
        <v>0</v>
      </c>
      <c r="AH138">
        <f t="shared" si="26"/>
        <v>0</v>
      </c>
      <c r="AJ138">
        <v>1.2422E-4</v>
      </c>
      <c r="AK138">
        <v>3175.35</v>
      </c>
      <c r="AL138" s="17">
        <v>4.1383923588445198E-5</v>
      </c>
      <c r="AM138">
        <f t="shared" si="27"/>
        <v>0.13140844176656946</v>
      </c>
      <c r="AO138">
        <v>1.2422E-4</v>
      </c>
      <c r="AP138">
        <v>3175.35</v>
      </c>
      <c r="AQ138" s="17">
        <v>4.4064003701705003E-5</v>
      </c>
      <c r="AR138">
        <f t="shared" si="28"/>
        <v>0.13991863415420897</v>
      </c>
      <c r="AT138">
        <v>1.2422E-4</v>
      </c>
      <c r="AU138">
        <v>3175.35</v>
      </c>
      <c r="AV138" s="16">
        <v>0</v>
      </c>
      <c r="AW138">
        <f t="shared" si="29"/>
        <v>0</v>
      </c>
    </row>
    <row r="139" spans="1:49" x14ac:dyDescent="0.3">
      <c r="A139">
        <v>1.4019999999999999E-4</v>
      </c>
      <c r="B139">
        <v>3098.02</v>
      </c>
      <c r="C139" s="17">
        <v>2.76148963462145E-5</v>
      </c>
      <c r="D139">
        <f t="shared" si="20"/>
        <v>8.5551501178499439E-2</v>
      </c>
      <c r="F139">
        <v>1.4019999999999999E-4</v>
      </c>
      <c r="G139">
        <v>3098.02</v>
      </c>
      <c r="H139" s="16">
        <v>0</v>
      </c>
      <c r="I139">
        <f t="shared" si="21"/>
        <v>0</v>
      </c>
      <c r="K139">
        <v>1.4019999999999999E-4</v>
      </c>
      <c r="L139">
        <v>3098.02</v>
      </c>
      <c r="M139" s="16">
        <v>0</v>
      </c>
      <c r="N139">
        <f t="shared" si="22"/>
        <v>0</v>
      </c>
      <c r="P139">
        <v>1.4019999999999999E-4</v>
      </c>
      <c r="Q139">
        <v>3098.02</v>
      </c>
      <c r="R139" s="16">
        <v>0</v>
      </c>
      <c r="S139">
        <f t="shared" si="23"/>
        <v>0</v>
      </c>
      <c r="U139">
        <v>1.4019999999999999E-4</v>
      </c>
      <c r="V139">
        <v>3098.02</v>
      </c>
      <c r="W139" s="16">
        <v>0</v>
      </c>
      <c r="X139">
        <f t="shared" si="24"/>
        <v>0</v>
      </c>
      <c r="Z139">
        <v>1.4019999999999999E-4</v>
      </c>
      <c r="AA139">
        <v>3098.02</v>
      </c>
      <c r="AB139" s="16">
        <v>0</v>
      </c>
      <c r="AC139">
        <f t="shared" si="25"/>
        <v>0</v>
      </c>
      <c r="AE139">
        <v>1.4019999999999999E-4</v>
      </c>
      <c r="AF139">
        <v>3098.02</v>
      </c>
      <c r="AG139" s="16">
        <v>0</v>
      </c>
      <c r="AH139">
        <f t="shared" si="26"/>
        <v>0</v>
      </c>
      <c r="AJ139">
        <v>1.4019999999999999E-4</v>
      </c>
      <c r="AK139">
        <v>3098.02</v>
      </c>
      <c r="AL139" s="17">
        <v>3.90685073696152E-5</v>
      </c>
      <c r="AM139">
        <f t="shared" si="27"/>
        <v>0.12103501720121528</v>
      </c>
      <c r="AO139">
        <v>1.4019999999999999E-4</v>
      </c>
      <c r="AP139">
        <v>3098.02</v>
      </c>
      <c r="AQ139" s="16">
        <v>3.5368733718930701E-4</v>
      </c>
      <c r="AR139">
        <f t="shared" si="28"/>
        <v>1.0957304443592168</v>
      </c>
      <c r="AT139">
        <v>1.4019999999999999E-4</v>
      </c>
      <c r="AU139">
        <v>3098.02</v>
      </c>
      <c r="AV139" s="16">
        <v>0</v>
      </c>
      <c r="AW139">
        <f t="shared" si="29"/>
        <v>0</v>
      </c>
    </row>
    <row r="140" spans="1:49" x14ac:dyDescent="0.3">
      <c r="A140">
        <v>1.5823000000000001E-4</v>
      </c>
      <c r="B140">
        <v>3462.48</v>
      </c>
      <c r="C140" s="16">
        <v>8.5372484541445196E-3</v>
      </c>
      <c r="D140">
        <f t="shared" si="20"/>
        <v>29.560052027506316</v>
      </c>
      <c r="F140">
        <v>1.5823000000000001E-4</v>
      </c>
      <c r="G140">
        <v>3462.48</v>
      </c>
      <c r="H140" s="16">
        <v>0</v>
      </c>
      <c r="I140">
        <f t="shared" si="21"/>
        <v>0</v>
      </c>
      <c r="K140">
        <v>1.5823000000000001E-4</v>
      </c>
      <c r="L140">
        <v>3462.48</v>
      </c>
      <c r="M140" s="16">
        <v>0</v>
      </c>
      <c r="N140">
        <f t="shared" si="22"/>
        <v>0</v>
      </c>
      <c r="P140">
        <v>1.5823000000000001E-4</v>
      </c>
      <c r="Q140">
        <v>3462.48</v>
      </c>
      <c r="R140" s="16">
        <v>0</v>
      </c>
      <c r="S140">
        <f t="shared" si="23"/>
        <v>0</v>
      </c>
      <c r="U140">
        <v>1.5823000000000001E-4</v>
      </c>
      <c r="V140">
        <v>3462.48</v>
      </c>
      <c r="W140" s="16">
        <v>0</v>
      </c>
      <c r="X140">
        <f t="shared" si="24"/>
        <v>0</v>
      </c>
      <c r="Z140">
        <v>1.5823000000000001E-4</v>
      </c>
      <c r="AA140">
        <v>3462.48</v>
      </c>
      <c r="AB140" s="16">
        <v>0</v>
      </c>
      <c r="AC140">
        <f t="shared" si="25"/>
        <v>0</v>
      </c>
      <c r="AE140">
        <v>1.5823000000000001E-4</v>
      </c>
      <c r="AF140">
        <v>3462.48</v>
      </c>
      <c r="AG140" s="16">
        <v>0</v>
      </c>
      <c r="AH140">
        <f t="shared" si="26"/>
        <v>0</v>
      </c>
      <c r="AJ140">
        <v>1.5823000000000001E-4</v>
      </c>
      <c r="AK140">
        <v>3462.48</v>
      </c>
      <c r="AL140" s="17">
        <v>3.7328416504117802E-5</v>
      </c>
      <c r="AM140">
        <f t="shared" si="27"/>
        <v>0.12924889557717781</v>
      </c>
      <c r="AO140">
        <v>1.5823000000000001E-4</v>
      </c>
      <c r="AP140">
        <v>3462.48</v>
      </c>
      <c r="AQ140" s="17">
        <v>3.30531861891806E-5</v>
      </c>
      <c r="AR140">
        <f t="shared" si="28"/>
        <v>0.11444599611631405</v>
      </c>
      <c r="AT140">
        <v>1.5823000000000001E-4</v>
      </c>
      <c r="AU140">
        <v>3462.48</v>
      </c>
      <c r="AV140" s="16">
        <v>0</v>
      </c>
      <c r="AW140">
        <f t="shared" si="29"/>
        <v>0</v>
      </c>
    </row>
    <row r="141" spans="1:49" x14ac:dyDescent="0.3">
      <c r="A141">
        <v>1.7859000000000001E-4</v>
      </c>
      <c r="B141">
        <v>2860.74</v>
      </c>
      <c r="C141" s="16">
        <v>1.2482869200025899E-2</v>
      </c>
      <c r="D141">
        <f t="shared" si="20"/>
        <v>35.710243235282086</v>
      </c>
      <c r="F141">
        <v>1.7859000000000001E-4</v>
      </c>
      <c r="G141">
        <v>2860.74</v>
      </c>
      <c r="H141" s="16">
        <v>0</v>
      </c>
      <c r="I141">
        <f t="shared" si="21"/>
        <v>0</v>
      </c>
      <c r="K141">
        <v>1.7859000000000001E-4</v>
      </c>
      <c r="L141">
        <v>2860.74</v>
      </c>
      <c r="M141" s="16">
        <v>0</v>
      </c>
      <c r="N141">
        <f t="shared" si="22"/>
        <v>0</v>
      </c>
      <c r="P141">
        <v>1.7859000000000001E-4</v>
      </c>
      <c r="Q141">
        <v>2860.74</v>
      </c>
      <c r="R141" s="16">
        <v>0</v>
      </c>
      <c r="S141">
        <f t="shared" si="23"/>
        <v>0</v>
      </c>
      <c r="U141">
        <v>1.7859000000000001E-4</v>
      </c>
      <c r="V141">
        <v>2860.74</v>
      </c>
      <c r="W141" s="16">
        <v>0</v>
      </c>
      <c r="X141">
        <f t="shared" si="24"/>
        <v>0</v>
      </c>
      <c r="Z141">
        <v>1.7859000000000001E-4</v>
      </c>
      <c r="AA141">
        <v>2860.74</v>
      </c>
      <c r="AB141" s="16">
        <v>0</v>
      </c>
      <c r="AC141">
        <f t="shared" si="25"/>
        <v>0</v>
      </c>
      <c r="AE141">
        <v>1.7859000000000001E-4</v>
      </c>
      <c r="AF141">
        <v>2860.74</v>
      </c>
      <c r="AG141" s="16">
        <v>0</v>
      </c>
      <c r="AH141">
        <f t="shared" si="26"/>
        <v>0</v>
      </c>
      <c r="AJ141">
        <v>1.7859000000000001E-4</v>
      </c>
      <c r="AK141">
        <v>2860.74</v>
      </c>
      <c r="AL141" s="17">
        <v>3.6020052449891101E-5</v>
      </c>
      <c r="AM141">
        <f t="shared" si="27"/>
        <v>0.10304400484550146</v>
      </c>
      <c r="AO141">
        <v>1.7859000000000001E-4</v>
      </c>
      <c r="AP141">
        <v>2860.74</v>
      </c>
      <c r="AQ141" s="17">
        <v>5.08325792976316E-6</v>
      </c>
      <c r="AR141">
        <f t="shared" si="28"/>
        <v>1.4541879289990661E-2</v>
      </c>
      <c r="AT141">
        <v>1.7859000000000001E-4</v>
      </c>
      <c r="AU141">
        <v>2860.74</v>
      </c>
      <c r="AV141" s="16">
        <v>0</v>
      </c>
      <c r="AW141">
        <f t="shared" si="29"/>
        <v>0</v>
      </c>
    </row>
    <row r="142" spans="1:49" x14ac:dyDescent="0.3">
      <c r="A142">
        <v>2.0155999999999999E-4</v>
      </c>
      <c r="B142">
        <v>2889.11</v>
      </c>
      <c r="C142" s="16">
        <v>8.3154676170055196E-3</v>
      </c>
      <c r="D142">
        <f t="shared" si="20"/>
        <v>24.024300646966818</v>
      </c>
      <c r="F142">
        <v>2.0155999999999999E-4</v>
      </c>
      <c r="G142">
        <v>2889.11</v>
      </c>
      <c r="H142" s="16">
        <v>0</v>
      </c>
      <c r="I142">
        <f t="shared" si="21"/>
        <v>0</v>
      </c>
      <c r="K142">
        <v>2.0155999999999999E-4</v>
      </c>
      <c r="L142">
        <v>2889.11</v>
      </c>
      <c r="M142" s="16">
        <v>0</v>
      </c>
      <c r="N142">
        <f t="shared" si="22"/>
        <v>0</v>
      </c>
      <c r="P142">
        <v>2.0155999999999999E-4</v>
      </c>
      <c r="Q142">
        <v>2889.11</v>
      </c>
      <c r="R142" s="16">
        <v>0</v>
      </c>
      <c r="S142">
        <f t="shared" si="23"/>
        <v>0</v>
      </c>
      <c r="U142">
        <v>2.0155999999999999E-4</v>
      </c>
      <c r="V142">
        <v>2889.11</v>
      </c>
      <c r="W142" s="16">
        <v>0</v>
      </c>
      <c r="X142">
        <f t="shared" si="24"/>
        <v>0</v>
      </c>
      <c r="Z142">
        <v>2.0155999999999999E-4</v>
      </c>
      <c r="AA142">
        <v>2889.11</v>
      </c>
      <c r="AB142" s="16">
        <v>0</v>
      </c>
      <c r="AC142">
        <f t="shared" si="25"/>
        <v>0</v>
      </c>
      <c r="AE142">
        <v>2.0155999999999999E-4</v>
      </c>
      <c r="AF142">
        <v>2889.11</v>
      </c>
      <c r="AG142" s="16">
        <v>0</v>
      </c>
      <c r="AH142">
        <f t="shared" si="26"/>
        <v>0</v>
      </c>
      <c r="AJ142">
        <v>2.0155999999999999E-4</v>
      </c>
      <c r="AK142">
        <v>2889.11</v>
      </c>
      <c r="AL142" s="17">
        <v>3.4247223077193198E-5</v>
      </c>
      <c r="AM142">
        <f t="shared" si="27"/>
        <v>9.8943994664549645E-2</v>
      </c>
      <c r="AO142">
        <v>2.0155999999999999E-4</v>
      </c>
      <c r="AP142">
        <v>2889.11</v>
      </c>
      <c r="AQ142" s="17">
        <v>1.8303349844664999E-6</v>
      </c>
      <c r="AR142">
        <f t="shared" si="28"/>
        <v>5.2880391069720098E-3</v>
      </c>
      <c r="AT142">
        <v>2.0155999999999999E-4</v>
      </c>
      <c r="AU142">
        <v>2889.11</v>
      </c>
      <c r="AV142" s="16">
        <v>0</v>
      </c>
      <c r="AW142">
        <f t="shared" si="29"/>
        <v>0</v>
      </c>
    </row>
    <row r="143" spans="1:49" x14ac:dyDescent="0.3">
      <c r="A143">
        <v>2.2748000000000001E-4</v>
      </c>
      <c r="B143">
        <v>2597.14</v>
      </c>
      <c r="C143" s="16">
        <v>2.86451102840552E-4</v>
      </c>
      <c r="D143">
        <f t="shared" si="20"/>
        <v>0.74395361723131115</v>
      </c>
      <c r="F143">
        <v>2.2748000000000001E-4</v>
      </c>
      <c r="G143">
        <v>2597.14</v>
      </c>
      <c r="H143" s="16">
        <v>0</v>
      </c>
      <c r="I143">
        <f t="shared" si="21"/>
        <v>0</v>
      </c>
      <c r="K143">
        <v>2.2748000000000001E-4</v>
      </c>
      <c r="L143">
        <v>2597.14</v>
      </c>
      <c r="M143" s="16">
        <v>0</v>
      </c>
      <c r="N143">
        <f t="shared" si="22"/>
        <v>0</v>
      </c>
      <c r="P143">
        <v>2.2748000000000001E-4</v>
      </c>
      <c r="Q143">
        <v>2597.14</v>
      </c>
      <c r="R143" s="16">
        <v>0</v>
      </c>
      <c r="S143">
        <f t="shared" si="23"/>
        <v>0</v>
      </c>
      <c r="U143">
        <v>2.2748000000000001E-4</v>
      </c>
      <c r="V143">
        <v>2597.14</v>
      </c>
      <c r="W143" s="16">
        <v>0</v>
      </c>
      <c r="X143">
        <f t="shared" si="24"/>
        <v>0</v>
      </c>
      <c r="Z143">
        <v>2.2748000000000001E-4</v>
      </c>
      <c r="AA143">
        <v>2597.14</v>
      </c>
      <c r="AB143" s="16">
        <v>0</v>
      </c>
      <c r="AC143">
        <f t="shared" si="25"/>
        <v>0</v>
      </c>
      <c r="AE143">
        <v>2.2748000000000001E-4</v>
      </c>
      <c r="AF143">
        <v>2597.14</v>
      </c>
      <c r="AG143" s="16">
        <v>0</v>
      </c>
      <c r="AH143">
        <f t="shared" si="26"/>
        <v>0</v>
      </c>
      <c r="AJ143">
        <v>2.2748000000000001E-4</v>
      </c>
      <c r="AK143">
        <v>2597.14</v>
      </c>
      <c r="AL143" s="17">
        <v>3.3032249612947802E-5</v>
      </c>
      <c r="AM143">
        <f t="shared" si="27"/>
        <v>8.5789376759771246E-2</v>
      </c>
      <c r="AO143">
        <v>2.2748000000000001E-4</v>
      </c>
      <c r="AP143">
        <v>2597.14</v>
      </c>
      <c r="AQ143" s="17">
        <v>8.6974542148147304E-7</v>
      </c>
      <c r="AR143">
        <f t="shared" si="28"/>
        <v>2.2588506239463926E-3</v>
      </c>
      <c r="AT143">
        <v>2.2748000000000001E-4</v>
      </c>
      <c r="AU143">
        <v>2597.14</v>
      </c>
      <c r="AV143" s="16">
        <v>0</v>
      </c>
      <c r="AW143">
        <f t="shared" si="29"/>
        <v>0</v>
      </c>
    </row>
    <row r="144" spans="1:49" x14ac:dyDescent="0.3">
      <c r="A144">
        <v>2.5673999999999998E-4</v>
      </c>
      <c r="B144">
        <v>2628.69</v>
      </c>
      <c r="C144" s="16">
        <v>9.6745269018915295E-3</v>
      </c>
      <c r="D144">
        <f t="shared" si="20"/>
        <v>25.431332121733245</v>
      </c>
      <c r="F144">
        <v>2.5673999999999998E-4</v>
      </c>
      <c r="G144">
        <v>2628.69</v>
      </c>
      <c r="H144" s="16">
        <v>0</v>
      </c>
      <c r="I144">
        <f t="shared" si="21"/>
        <v>0</v>
      </c>
      <c r="K144">
        <v>2.5673999999999998E-4</v>
      </c>
      <c r="L144">
        <v>2628.69</v>
      </c>
      <c r="M144" s="16">
        <v>0</v>
      </c>
      <c r="N144">
        <f t="shared" si="22"/>
        <v>0</v>
      </c>
      <c r="P144">
        <v>2.5673999999999998E-4</v>
      </c>
      <c r="Q144">
        <v>2628.69</v>
      </c>
      <c r="R144" s="16">
        <v>0</v>
      </c>
      <c r="S144">
        <f t="shared" si="23"/>
        <v>0</v>
      </c>
      <c r="U144">
        <v>2.5673999999999998E-4</v>
      </c>
      <c r="V144">
        <v>2628.69</v>
      </c>
      <c r="W144" s="16">
        <v>0</v>
      </c>
      <c r="X144">
        <f t="shared" si="24"/>
        <v>0</v>
      </c>
      <c r="Z144">
        <v>2.5673999999999998E-4</v>
      </c>
      <c r="AA144">
        <v>2628.69</v>
      </c>
      <c r="AB144" s="16">
        <v>0</v>
      </c>
      <c r="AC144">
        <f t="shared" si="25"/>
        <v>0</v>
      </c>
      <c r="AE144">
        <v>2.5673999999999998E-4</v>
      </c>
      <c r="AF144">
        <v>2628.69</v>
      </c>
      <c r="AG144" s="16">
        <v>0</v>
      </c>
      <c r="AH144">
        <f t="shared" si="26"/>
        <v>0</v>
      </c>
      <c r="AJ144">
        <v>2.5673999999999998E-4</v>
      </c>
      <c r="AK144">
        <v>2628.69</v>
      </c>
      <c r="AL144" s="17">
        <v>3.23207481654633E-5</v>
      </c>
      <c r="AM144">
        <f t="shared" si="27"/>
        <v>8.496122749507172E-2</v>
      </c>
      <c r="AO144">
        <v>2.5673999999999998E-4</v>
      </c>
      <c r="AP144">
        <v>2628.69</v>
      </c>
      <c r="AQ144" s="17">
        <v>4.7229400367548799E-7</v>
      </c>
      <c r="AR144">
        <f t="shared" si="28"/>
        <v>1.2415145245217186E-3</v>
      </c>
      <c r="AT144">
        <v>2.5673999999999998E-4</v>
      </c>
      <c r="AU144">
        <v>2628.69</v>
      </c>
      <c r="AV144" s="16">
        <v>0</v>
      </c>
      <c r="AW144">
        <f t="shared" si="29"/>
        <v>0</v>
      </c>
    </row>
    <row r="145" spans="1:49" x14ac:dyDescent="0.3">
      <c r="A145">
        <v>2.8977000000000001E-4</v>
      </c>
      <c r="B145">
        <v>2287.1</v>
      </c>
      <c r="C145" s="16">
        <v>6.4467155815619102E-3</v>
      </c>
      <c r="D145">
        <f t="shared" si="20"/>
        <v>14.744283206590245</v>
      </c>
      <c r="F145">
        <v>2.8977000000000001E-4</v>
      </c>
      <c r="G145">
        <v>2287.1</v>
      </c>
      <c r="H145" s="16">
        <v>0</v>
      </c>
      <c r="I145">
        <f t="shared" si="21"/>
        <v>0</v>
      </c>
      <c r="K145">
        <v>2.8977000000000001E-4</v>
      </c>
      <c r="L145">
        <v>2287.1</v>
      </c>
      <c r="M145" s="16">
        <v>0</v>
      </c>
      <c r="N145">
        <f t="shared" si="22"/>
        <v>0</v>
      </c>
      <c r="P145">
        <v>2.8977000000000001E-4</v>
      </c>
      <c r="Q145">
        <v>2287.1</v>
      </c>
      <c r="R145" s="16">
        <v>0</v>
      </c>
      <c r="S145">
        <f t="shared" si="23"/>
        <v>0</v>
      </c>
      <c r="U145">
        <v>2.8977000000000001E-4</v>
      </c>
      <c r="V145">
        <v>2287.1</v>
      </c>
      <c r="W145" s="16">
        <v>0</v>
      </c>
      <c r="X145">
        <f t="shared" si="24"/>
        <v>0</v>
      </c>
      <c r="Z145">
        <v>2.8977000000000001E-4</v>
      </c>
      <c r="AA145">
        <v>2287.1</v>
      </c>
      <c r="AB145" s="16">
        <v>0</v>
      </c>
      <c r="AC145">
        <f t="shared" si="25"/>
        <v>0</v>
      </c>
      <c r="AE145">
        <v>2.8977000000000001E-4</v>
      </c>
      <c r="AF145">
        <v>2287.1</v>
      </c>
      <c r="AG145" s="16">
        <v>0</v>
      </c>
      <c r="AH145">
        <f t="shared" si="26"/>
        <v>0</v>
      </c>
      <c r="AJ145">
        <v>2.8977000000000001E-4</v>
      </c>
      <c r="AK145">
        <v>2287.1</v>
      </c>
      <c r="AL145" s="17">
        <v>3.1092073950619703E-5</v>
      </c>
      <c r="AM145">
        <f t="shared" si="27"/>
        <v>7.1110682332462316E-2</v>
      </c>
      <c r="AO145">
        <v>2.8977000000000001E-4</v>
      </c>
      <c r="AP145">
        <v>2287.1</v>
      </c>
      <c r="AQ145" s="17">
        <v>2.9920631480445002E-7</v>
      </c>
      <c r="AR145">
        <f t="shared" si="28"/>
        <v>6.8431476258925758E-4</v>
      </c>
      <c r="AT145">
        <v>2.8977000000000001E-4</v>
      </c>
      <c r="AU145">
        <v>2287.1</v>
      </c>
      <c r="AV145" s="16">
        <v>0</v>
      </c>
      <c r="AW145">
        <f t="shared" si="29"/>
        <v>0</v>
      </c>
    </row>
    <row r="146" spans="1:49" x14ac:dyDescent="0.3">
      <c r="A146">
        <v>3.2704000000000001E-4</v>
      </c>
      <c r="B146">
        <v>2667.87</v>
      </c>
      <c r="C146" s="16">
        <v>1.5600973418374801E-2</v>
      </c>
      <c r="D146">
        <f t="shared" si="20"/>
        <v>41.621368953679578</v>
      </c>
      <c r="F146">
        <v>3.2704000000000001E-4</v>
      </c>
      <c r="G146">
        <v>2667.87</v>
      </c>
      <c r="H146" s="16">
        <v>0</v>
      </c>
      <c r="I146">
        <f t="shared" si="21"/>
        <v>0</v>
      </c>
      <c r="K146">
        <v>3.2704000000000001E-4</v>
      </c>
      <c r="L146">
        <v>2667.87</v>
      </c>
      <c r="M146" s="16">
        <v>0</v>
      </c>
      <c r="N146">
        <f t="shared" si="22"/>
        <v>0</v>
      </c>
      <c r="P146">
        <v>3.2704000000000001E-4</v>
      </c>
      <c r="Q146">
        <v>2667.87</v>
      </c>
      <c r="R146" s="16">
        <v>0</v>
      </c>
      <c r="S146">
        <f t="shared" si="23"/>
        <v>0</v>
      </c>
      <c r="U146">
        <v>3.2704000000000001E-4</v>
      </c>
      <c r="V146">
        <v>2667.87</v>
      </c>
      <c r="W146" s="16">
        <v>0</v>
      </c>
      <c r="X146">
        <f t="shared" si="24"/>
        <v>0</v>
      </c>
      <c r="Z146">
        <v>3.2704000000000001E-4</v>
      </c>
      <c r="AA146">
        <v>2667.87</v>
      </c>
      <c r="AB146" s="16">
        <v>0</v>
      </c>
      <c r="AC146">
        <f t="shared" si="25"/>
        <v>0</v>
      </c>
      <c r="AE146">
        <v>3.2704000000000001E-4</v>
      </c>
      <c r="AF146">
        <v>2667.87</v>
      </c>
      <c r="AG146" s="16">
        <v>0</v>
      </c>
      <c r="AH146">
        <f t="shared" si="26"/>
        <v>0</v>
      </c>
      <c r="AJ146">
        <v>3.2704000000000001E-4</v>
      </c>
      <c r="AK146">
        <v>2667.87</v>
      </c>
      <c r="AL146" s="17">
        <v>2.9763762931676601E-5</v>
      </c>
      <c r="AM146">
        <f t="shared" si="27"/>
        <v>7.9405850212532048E-2</v>
      </c>
      <c r="AO146">
        <v>3.2704000000000001E-4</v>
      </c>
      <c r="AP146">
        <v>2667.87</v>
      </c>
      <c r="AQ146" s="17">
        <v>1.9289667580620201E-7</v>
      </c>
      <c r="AR146">
        <f t="shared" si="28"/>
        <v>5.1462325448309212E-4</v>
      </c>
      <c r="AT146">
        <v>3.2704000000000001E-4</v>
      </c>
      <c r="AU146">
        <v>2667.87</v>
      </c>
      <c r="AV146" s="16">
        <v>0</v>
      </c>
      <c r="AW146">
        <f t="shared" si="29"/>
        <v>0</v>
      </c>
    </row>
    <row r="147" spans="1:49" x14ac:dyDescent="0.3">
      <c r="A147">
        <v>3.6910000000000003E-4</v>
      </c>
      <c r="B147">
        <v>2177.2800000000002</v>
      </c>
      <c r="C147" s="16">
        <v>7.9652795946978106E-3</v>
      </c>
      <c r="D147">
        <f t="shared" si="20"/>
        <v>17.34264395594365</v>
      </c>
      <c r="F147">
        <v>3.6910000000000003E-4</v>
      </c>
      <c r="G147">
        <v>2177.2800000000002</v>
      </c>
      <c r="H147" s="16">
        <v>0</v>
      </c>
      <c r="I147">
        <f t="shared" si="21"/>
        <v>0</v>
      </c>
      <c r="K147">
        <v>3.6910000000000003E-4</v>
      </c>
      <c r="L147">
        <v>2177.2800000000002</v>
      </c>
      <c r="M147" s="16">
        <v>0</v>
      </c>
      <c r="N147">
        <f t="shared" si="22"/>
        <v>0</v>
      </c>
      <c r="P147">
        <v>3.6910000000000003E-4</v>
      </c>
      <c r="Q147">
        <v>2177.2800000000002</v>
      </c>
      <c r="R147" s="16">
        <v>0</v>
      </c>
      <c r="S147">
        <f t="shared" si="23"/>
        <v>0</v>
      </c>
      <c r="U147">
        <v>3.6910000000000003E-4</v>
      </c>
      <c r="V147">
        <v>2177.2800000000002</v>
      </c>
      <c r="W147" s="16">
        <v>0</v>
      </c>
      <c r="X147">
        <f t="shared" si="24"/>
        <v>0</v>
      </c>
      <c r="Z147">
        <v>3.6910000000000003E-4</v>
      </c>
      <c r="AA147">
        <v>2177.2800000000002</v>
      </c>
      <c r="AB147" s="16">
        <v>0</v>
      </c>
      <c r="AC147">
        <f t="shared" si="25"/>
        <v>0</v>
      </c>
      <c r="AE147">
        <v>3.6910000000000003E-4</v>
      </c>
      <c r="AF147">
        <v>2177.2800000000002</v>
      </c>
      <c r="AG147" s="16">
        <v>0</v>
      </c>
      <c r="AH147">
        <f t="shared" si="26"/>
        <v>0</v>
      </c>
      <c r="AJ147">
        <v>3.6910000000000003E-4</v>
      </c>
      <c r="AK147">
        <v>2177.2800000000002</v>
      </c>
      <c r="AL147" s="17">
        <v>2.8652418037548401E-5</v>
      </c>
      <c r="AM147">
        <f t="shared" si="27"/>
        <v>6.2384336744793385E-2</v>
      </c>
      <c r="AO147">
        <v>3.6910000000000003E-4</v>
      </c>
      <c r="AP147">
        <v>2177.2800000000002</v>
      </c>
      <c r="AQ147" s="17">
        <v>1.3751210751673101E-7</v>
      </c>
      <c r="AR147">
        <f t="shared" si="28"/>
        <v>2.994023614540281E-4</v>
      </c>
      <c r="AT147">
        <v>3.6910000000000003E-4</v>
      </c>
      <c r="AU147">
        <v>2177.2800000000002</v>
      </c>
      <c r="AV147" s="16">
        <v>0</v>
      </c>
      <c r="AW147">
        <f t="shared" si="29"/>
        <v>0</v>
      </c>
    </row>
    <row r="148" spans="1:49" x14ac:dyDescent="0.3">
      <c r="A148">
        <v>4.1658E-4</v>
      </c>
      <c r="B148">
        <v>2489.0500000000002</v>
      </c>
      <c r="C148" s="16">
        <v>6.1231741354656199E-3</v>
      </c>
      <c r="D148">
        <f t="shared" si="20"/>
        <v>15.240886581880703</v>
      </c>
      <c r="F148">
        <v>4.1658E-4</v>
      </c>
      <c r="G148">
        <v>2489.0500000000002</v>
      </c>
      <c r="H148" s="16">
        <v>0</v>
      </c>
      <c r="I148">
        <f t="shared" si="21"/>
        <v>0</v>
      </c>
      <c r="K148">
        <v>4.1658E-4</v>
      </c>
      <c r="L148">
        <v>2489.0500000000002</v>
      </c>
      <c r="M148" s="16">
        <v>0</v>
      </c>
      <c r="N148">
        <f t="shared" si="22"/>
        <v>0</v>
      </c>
      <c r="P148">
        <v>4.1658E-4</v>
      </c>
      <c r="Q148">
        <v>2489.0500000000002</v>
      </c>
      <c r="R148" s="16">
        <v>0</v>
      </c>
      <c r="S148">
        <f t="shared" si="23"/>
        <v>0</v>
      </c>
      <c r="U148">
        <v>4.1658E-4</v>
      </c>
      <c r="V148">
        <v>2489.0500000000002</v>
      </c>
      <c r="W148" s="16">
        <v>0</v>
      </c>
      <c r="X148">
        <f t="shared" si="24"/>
        <v>0</v>
      </c>
      <c r="Z148">
        <v>4.1658E-4</v>
      </c>
      <c r="AA148">
        <v>2489.0500000000002</v>
      </c>
      <c r="AB148" s="16">
        <v>0</v>
      </c>
      <c r="AC148">
        <f t="shared" si="25"/>
        <v>0</v>
      </c>
      <c r="AE148">
        <v>4.1658E-4</v>
      </c>
      <c r="AF148">
        <v>2489.0500000000002</v>
      </c>
      <c r="AG148" s="16">
        <v>0</v>
      </c>
      <c r="AH148">
        <f t="shared" si="26"/>
        <v>0</v>
      </c>
      <c r="AJ148">
        <v>4.1658E-4</v>
      </c>
      <c r="AK148">
        <v>2489.0500000000002</v>
      </c>
      <c r="AL148" s="17">
        <v>2.7920163492515401E-5</v>
      </c>
      <c r="AM148">
        <f t="shared" si="27"/>
        <v>6.9494682941045466E-2</v>
      </c>
      <c r="AO148">
        <v>4.1658E-4</v>
      </c>
      <c r="AP148">
        <v>2489.0500000000002</v>
      </c>
      <c r="AQ148" s="17">
        <v>1.02009300715047E-7</v>
      </c>
      <c r="AR148">
        <f t="shared" si="28"/>
        <v>2.5390624994478777E-4</v>
      </c>
      <c r="AT148">
        <v>4.1658E-4</v>
      </c>
      <c r="AU148">
        <v>2489.0500000000002</v>
      </c>
      <c r="AV148" s="16">
        <v>0</v>
      </c>
      <c r="AW148">
        <f t="shared" si="29"/>
        <v>0</v>
      </c>
    </row>
    <row r="149" spans="1:49" x14ac:dyDescent="0.3">
      <c r="A149">
        <v>4.7016000000000001E-4</v>
      </c>
      <c r="B149">
        <v>2532.8200000000002</v>
      </c>
      <c r="C149" s="16">
        <v>6.3916397890329997E-3</v>
      </c>
      <c r="D149">
        <f t="shared" si="20"/>
        <v>16.188873090458564</v>
      </c>
      <c r="F149">
        <v>4.7016000000000001E-4</v>
      </c>
      <c r="G149">
        <v>2532.8200000000002</v>
      </c>
      <c r="H149" s="16">
        <v>0</v>
      </c>
      <c r="I149">
        <f t="shared" si="21"/>
        <v>0</v>
      </c>
      <c r="K149">
        <v>4.7016000000000001E-4</v>
      </c>
      <c r="L149">
        <v>2532.8200000000002</v>
      </c>
      <c r="M149" s="16">
        <v>0</v>
      </c>
      <c r="N149">
        <f t="shared" si="22"/>
        <v>0</v>
      </c>
      <c r="P149">
        <v>4.7016000000000001E-4</v>
      </c>
      <c r="Q149">
        <v>2532.8200000000002</v>
      </c>
      <c r="R149" s="16">
        <v>0</v>
      </c>
      <c r="S149">
        <f t="shared" si="23"/>
        <v>0</v>
      </c>
      <c r="U149">
        <v>4.7016000000000001E-4</v>
      </c>
      <c r="V149">
        <v>2532.8200000000002</v>
      </c>
      <c r="W149" s="16">
        <v>0</v>
      </c>
      <c r="X149">
        <f t="shared" si="24"/>
        <v>0</v>
      </c>
      <c r="Z149">
        <v>4.7016000000000001E-4</v>
      </c>
      <c r="AA149">
        <v>2532.8200000000002</v>
      </c>
      <c r="AB149" s="16">
        <v>0</v>
      </c>
      <c r="AC149">
        <f t="shared" si="25"/>
        <v>0</v>
      </c>
      <c r="AE149">
        <v>4.7016000000000001E-4</v>
      </c>
      <c r="AF149">
        <v>2532.8200000000002</v>
      </c>
      <c r="AG149" s="16">
        <v>0</v>
      </c>
      <c r="AH149">
        <f t="shared" si="26"/>
        <v>0</v>
      </c>
      <c r="AJ149">
        <v>4.7016000000000001E-4</v>
      </c>
      <c r="AK149">
        <v>2532.8200000000002</v>
      </c>
      <c r="AL149" s="17">
        <v>2.76249328622176E-5</v>
      </c>
      <c r="AM149">
        <f t="shared" si="27"/>
        <v>6.9968982452081982E-2</v>
      </c>
      <c r="AO149">
        <v>4.7016000000000001E-4</v>
      </c>
      <c r="AP149">
        <v>2532.8200000000002</v>
      </c>
      <c r="AQ149" s="17">
        <v>7.98600545476973E-8</v>
      </c>
      <c r="AR149">
        <f t="shared" si="28"/>
        <v>2.0227114335949869E-4</v>
      </c>
      <c r="AT149">
        <v>4.7016000000000001E-4</v>
      </c>
      <c r="AU149">
        <v>2532.8200000000002</v>
      </c>
      <c r="AV149" s="16">
        <v>0</v>
      </c>
      <c r="AW149">
        <f t="shared" si="29"/>
        <v>0</v>
      </c>
    </row>
    <row r="150" spans="1:49" x14ac:dyDescent="0.3">
      <c r="A150">
        <v>5.3063999999999997E-4</v>
      </c>
      <c r="B150">
        <v>2284.13</v>
      </c>
      <c r="C150" s="16">
        <v>6.1793432605601302E-3</v>
      </c>
      <c r="D150">
        <f t="shared" si="20"/>
        <v>14.11442332174321</v>
      </c>
      <c r="F150">
        <v>5.3063999999999997E-4</v>
      </c>
      <c r="G150">
        <v>2284.13</v>
      </c>
      <c r="H150" s="16">
        <v>0</v>
      </c>
      <c r="I150">
        <f t="shared" si="21"/>
        <v>0</v>
      </c>
      <c r="K150">
        <v>5.3063999999999997E-4</v>
      </c>
      <c r="L150">
        <v>2284.13</v>
      </c>
      <c r="M150" s="16">
        <v>0</v>
      </c>
      <c r="N150">
        <f t="shared" si="22"/>
        <v>0</v>
      </c>
      <c r="P150">
        <v>5.3063999999999997E-4</v>
      </c>
      <c r="Q150">
        <v>2284.13</v>
      </c>
      <c r="R150" s="16">
        <v>0</v>
      </c>
      <c r="S150">
        <f t="shared" si="23"/>
        <v>0</v>
      </c>
      <c r="U150">
        <v>5.3063999999999997E-4</v>
      </c>
      <c r="V150">
        <v>2284.13</v>
      </c>
      <c r="W150" s="16">
        <v>0</v>
      </c>
      <c r="X150">
        <f t="shared" si="24"/>
        <v>0</v>
      </c>
      <c r="Z150">
        <v>5.3063999999999997E-4</v>
      </c>
      <c r="AA150">
        <v>2284.13</v>
      </c>
      <c r="AB150" s="16">
        <v>0</v>
      </c>
      <c r="AC150">
        <f t="shared" si="25"/>
        <v>0</v>
      </c>
      <c r="AE150">
        <v>5.3063999999999997E-4</v>
      </c>
      <c r="AF150">
        <v>2284.13</v>
      </c>
      <c r="AG150" s="16">
        <v>0</v>
      </c>
      <c r="AH150">
        <f t="shared" si="26"/>
        <v>0</v>
      </c>
      <c r="AJ150">
        <v>5.3063999999999997E-4</v>
      </c>
      <c r="AK150">
        <v>2284.13</v>
      </c>
      <c r="AL150" s="17">
        <v>2.7197367827556801E-5</v>
      </c>
      <c r="AM150">
        <f t="shared" si="27"/>
        <v>6.2122323775957319E-2</v>
      </c>
      <c r="AO150">
        <v>5.3063999999999997E-4</v>
      </c>
      <c r="AP150">
        <v>2284.13</v>
      </c>
      <c r="AQ150" s="17">
        <v>6.3934967096383094E-8</v>
      </c>
      <c r="AR150">
        <f t="shared" si="28"/>
        <v>1.4603577639386153E-4</v>
      </c>
      <c r="AT150">
        <v>5.3063999999999997E-4</v>
      </c>
      <c r="AU150">
        <v>2284.13</v>
      </c>
      <c r="AV150" s="16">
        <v>0</v>
      </c>
      <c r="AW150">
        <f t="shared" si="29"/>
        <v>0</v>
      </c>
    </row>
    <row r="151" spans="1:49" x14ac:dyDescent="0.3">
      <c r="A151">
        <v>5.9889000000000003E-4</v>
      </c>
      <c r="B151">
        <v>2285.5700000000002</v>
      </c>
      <c r="C151" s="16">
        <v>4.6518890224115103E-3</v>
      </c>
      <c r="D151">
        <f t="shared" si="20"/>
        <v>10.632217992953077</v>
      </c>
      <c r="F151">
        <v>5.9889000000000003E-4</v>
      </c>
      <c r="G151">
        <v>2285.5700000000002</v>
      </c>
      <c r="H151" s="16">
        <v>0</v>
      </c>
      <c r="I151">
        <f t="shared" si="21"/>
        <v>0</v>
      </c>
      <c r="K151">
        <v>5.9889000000000003E-4</v>
      </c>
      <c r="L151">
        <v>2285.5700000000002</v>
      </c>
      <c r="M151" s="16">
        <v>0</v>
      </c>
      <c r="N151">
        <f t="shared" si="22"/>
        <v>0</v>
      </c>
      <c r="P151">
        <v>5.9889000000000003E-4</v>
      </c>
      <c r="Q151">
        <v>2285.5700000000002</v>
      </c>
      <c r="R151" s="16">
        <v>0</v>
      </c>
      <c r="S151">
        <f t="shared" si="23"/>
        <v>0</v>
      </c>
      <c r="U151">
        <v>5.9889000000000003E-4</v>
      </c>
      <c r="V151">
        <v>2285.5700000000002</v>
      </c>
      <c r="W151" s="16">
        <v>0</v>
      </c>
      <c r="X151">
        <f t="shared" si="24"/>
        <v>0</v>
      </c>
      <c r="Z151">
        <v>5.9889000000000003E-4</v>
      </c>
      <c r="AA151">
        <v>2285.5700000000002</v>
      </c>
      <c r="AB151" s="16">
        <v>0</v>
      </c>
      <c r="AC151">
        <f t="shared" si="25"/>
        <v>0</v>
      </c>
      <c r="AE151">
        <v>5.9889000000000003E-4</v>
      </c>
      <c r="AF151">
        <v>2285.5700000000002</v>
      </c>
      <c r="AG151" s="16">
        <v>0</v>
      </c>
      <c r="AH151">
        <f t="shared" si="26"/>
        <v>0</v>
      </c>
      <c r="AJ151">
        <v>5.9889000000000003E-4</v>
      </c>
      <c r="AK151">
        <v>2285.5700000000002</v>
      </c>
      <c r="AL151" s="17">
        <v>2.7117359424855101E-5</v>
      </c>
      <c r="AM151">
        <f t="shared" si="27"/>
        <v>6.1978623180666076E-2</v>
      </c>
      <c r="AO151">
        <v>5.9889000000000003E-4</v>
      </c>
      <c r="AP151">
        <v>2285.5700000000002</v>
      </c>
      <c r="AQ151" s="17">
        <v>5.2937490644305402E-8</v>
      </c>
      <c r="AR151">
        <f t="shared" si="28"/>
        <v>1.2099234049190511E-4</v>
      </c>
      <c r="AT151">
        <v>5.9889000000000003E-4</v>
      </c>
      <c r="AU151">
        <v>2285.5700000000002</v>
      </c>
      <c r="AV151" s="16">
        <v>0</v>
      </c>
      <c r="AW151">
        <f t="shared" si="29"/>
        <v>0</v>
      </c>
    </row>
    <row r="152" spans="1:49" x14ac:dyDescent="0.3">
      <c r="A152">
        <v>6.7591999999999999E-4</v>
      </c>
      <c r="B152">
        <v>2260.7800000000002</v>
      </c>
      <c r="C152" s="16">
        <v>4.6814794818998704E-3</v>
      </c>
      <c r="D152">
        <f t="shared" si="20"/>
        <v>10.58379518308959</v>
      </c>
      <c r="F152">
        <v>6.7591999999999999E-4</v>
      </c>
      <c r="G152">
        <v>2260.7800000000002</v>
      </c>
      <c r="H152" s="16">
        <v>0</v>
      </c>
      <c r="I152">
        <f t="shared" si="21"/>
        <v>0</v>
      </c>
      <c r="K152">
        <v>6.7591999999999999E-4</v>
      </c>
      <c r="L152">
        <v>2260.7800000000002</v>
      </c>
      <c r="M152" s="16">
        <v>0</v>
      </c>
      <c r="N152">
        <f t="shared" si="22"/>
        <v>0</v>
      </c>
      <c r="P152">
        <v>6.7591999999999999E-4</v>
      </c>
      <c r="Q152">
        <v>2260.7800000000002</v>
      </c>
      <c r="R152" s="16">
        <v>0</v>
      </c>
      <c r="S152">
        <f t="shared" si="23"/>
        <v>0</v>
      </c>
      <c r="U152">
        <v>6.7591999999999999E-4</v>
      </c>
      <c r="V152">
        <v>2260.7800000000002</v>
      </c>
      <c r="W152" s="16">
        <v>0</v>
      </c>
      <c r="X152">
        <f t="shared" si="24"/>
        <v>0</v>
      </c>
      <c r="Z152">
        <v>6.7591999999999999E-4</v>
      </c>
      <c r="AA152">
        <v>2260.7800000000002</v>
      </c>
      <c r="AB152" s="16">
        <v>0</v>
      </c>
      <c r="AC152">
        <f t="shared" si="25"/>
        <v>0</v>
      </c>
      <c r="AE152">
        <v>6.7591999999999999E-4</v>
      </c>
      <c r="AF152">
        <v>2260.7800000000002</v>
      </c>
      <c r="AG152" s="16">
        <v>0</v>
      </c>
      <c r="AH152">
        <f t="shared" si="26"/>
        <v>0</v>
      </c>
      <c r="AJ152">
        <v>6.7591999999999999E-4</v>
      </c>
      <c r="AK152">
        <v>2260.7800000000002</v>
      </c>
      <c r="AL152" s="17">
        <v>2.7475171377927902E-5</v>
      </c>
      <c r="AM152">
        <f t="shared" si="27"/>
        <v>6.2115317947791848E-2</v>
      </c>
      <c r="AO152">
        <v>6.7591999999999999E-4</v>
      </c>
      <c r="AP152">
        <v>2260.7800000000002</v>
      </c>
      <c r="AQ152" s="17">
        <v>4.5586822779226298E-8</v>
      </c>
      <c r="AR152">
        <f t="shared" si="28"/>
        <v>1.0306177720281924E-4</v>
      </c>
      <c r="AT152">
        <v>6.7591999999999999E-4</v>
      </c>
      <c r="AU152">
        <v>2260.7800000000002</v>
      </c>
      <c r="AV152" s="16">
        <v>0</v>
      </c>
      <c r="AW152">
        <f t="shared" si="29"/>
        <v>0</v>
      </c>
    </row>
    <row r="153" spans="1:49" x14ac:dyDescent="0.3">
      <c r="A153">
        <v>7.6285999999999997E-4</v>
      </c>
      <c r="B153">
        <v>2046.96</v>
      </c>
      <c r="C153" s="16">
        <v>4.2528481529155804E-3</v>
      </c>
      <c r="D153">
        <f t="shared" si="20"/>
        <v>8.7054100550920772</v>
      </c>
      <c r="F153">
        <v>7.6285999999999997E-4</v>
      </c>
      <c r="G153">
        <v>2046.96</v>
      </c>
      <c r="H153" s="16">
        <v>0</v>
      </c>
      <c r="I153">
        <f t="shared" si="21"/>
        <v>0</v>
      </c>
      <c r="K153">
        <v>7.6285999999999997E-4</v>
      </c>
      <c r="L153">
        <v>2046.96</v>
      </c>
      <c r="M153" s="16">
        <v>0</v>
      </c>
      <c r="N153">
        <f t="shared" si="22"/>
        <v>0</v>
      </c>
      <c r="P153">
        <v>7.6285999999999997E-4</v>
      </c>
      <c r="Q153">
        <v>2046.96</v>
      </c>
      <c r="R153" s="16">
        <v>0</v>
      </c>
      <c r="S153">
        <f t="shared" si="23"/>
        <v>0</v>
      </c>
      <c r="U153">
        <v>7.6285999999999997E-4</v>
      </c>
      <c r="V153">
        <v>2046.96</v>
      </c>
      <c r="W153" s="16">
        <v>0</v>
      </c>
      <c r="X153">
        <f t="shared" si="24"/>
        <v>0</v>
      </c>
      <c r="Z153">
        <v>7.6285999999999997E-4</v>
      </c>
      <c r="AA153">
        <v>2046.96</v>
      </c>
      <c r="AB153" s="16">
        <v>0</v>
      </c>
      <c r="AC153">
        <f t="shared" si="25"/>
        <v>0</v>
      </c>
      <c r="AE153">
        <v>7.6285999999999997E-4</v>
      </c>
      <c r="AF153">
        <v>2046.96</v>
      </c>
      <c r="AG153" s="16">
        <v>0</v>
      </c>
      <c r="AH153">
        <f t="shared" si="26"/>
        <v>0</v>
      </c>
      <c r="AJ153">
        <v>7.6285999999999997E-4</v>
      </c>
      <c r="AK153">
        <v>2046.96</v>
      </c>
      <c r="AL153" s="17">
        <v>2.8101156467202998E-5</v>
      </c>
      <c r="AM153">
        <f t="shared" si="27"/>
        <v>5.7521943242105848E-2</v>
      </c>
      <c r="AO153">
        <v>7.6285999999999997E-4</v>
      </c>
      <c r="AP153">
        <v>2046.96</v>
      </c>
      <c r="AQ153" s="17">
        <v>3.9356491536207397E-8</v>
      </c>
      <c r="AR153">
        <f t="shared" si="28"/>
        <v>8.0561163914955099E-5</v>
      </c>
      <c r="AT153">
        <v>7.6285999999999997E-4</v>
      </c>
      <c r="AU153">
        <v>2046.96</v>
      </c>
      <c r="AV153" s="16">
        <v>0</v>
      </c>
      <c r="AW153">
        <f t="shared" si="29"/>
        <v>0</v>
      </c>
    </row>
    <row r="154" spans="1:49" x14ac:dyDescent="0.3">
      <c r="A154">
        <v>8.6098000000000001E-4</v>
      </c>
      <c r="B154">
        <v>1970.34</v>
      </c>
      <c r="C154" s="16">
        <v>4.3593789986010401E-3</v>
      </c>
      <c r="D154">
        <f t="shared" si="20"/>
        <v>8.5894588161035728</v>
      </c>
      <c r="F154">
        <v>8.6098000000000001E-4</v>
      </c>
      <c r="G154">
        <v>1970.34</v>
      </c>
      <c r="H154" s="16">
        <v>0</v>
      </c>
      <c r="I154">
        <f t="shared" si="21"/>
        <v>0</v>
      </c>
      <c r="K154">
        <v>8.6098000000000001E-4</v>
      </c>
      <c r="L154">
        <v>1970.34</v>
      </c>
      <c r="M154" s="16">
        <v>0</v>
      </c>
      <c r="N154">
        <f t="shared" si="22"/>
        <v>0</v>
      </c>
      <c r="P154">
        <v>8.6098000000000001E-4</v>
      </c>
      <c r="Q154">
        <v>1970.34</v>
      </c>
      <c r="R154" s="16">
        <v>0</v>
      </c>
      <c r="S154">
        <f t="shared" si="23"/>
        <v>0</v>
      </c>
      <c r="U154">
        <v>8.6098000000000001E-4</v>
      </c>
      <c r="V154">
        <v>1970.34</v>
      </c>
      <c r="W154" s="16">
        <v>0</v>
      </c>
      <c r="X154">
        <f t="shared" si="24"/>
        <v>0</v>
      </c>
      <c r="Z154">
        <v>8.6098000000000001E-4</v>
      </c>
      <c r="AA154">
        <v>1970.34</v>
      </c>
      <c r="AB154" s="16">
        <v>0</v>
      </c>
      <c r="AC154">
        <f t="shared" si="25"/>
        <v>0</v>
      </c>
      <c r="AE154">
        <v>8.6098000000000001E-4</v>
      </c>
      <c r="AF154">
        <v>1970.34</v>
      </c>
      <c r="AG154" s="16">
        <v>0</v>
      </c>
      <c r="AH154">
        <f t="shared" si="26"/>
        <v>0</v>
      </c>
      <c r="AJ154">
        <v>8.6098000000000001E-4</v>
      </c>
      <c r="AK154">
        <v>1970.34</v>
      </c>
      <c r="AL154" s="17">
        <v>2.8821256596389099E-5</v>
      </c>
      <c r="AM154">
        <f t="shared" si="27"/>
        <v>5.6787674722129297E-2</v>
      </c>
      <c r="AO154">
        <v>8.6098000000000001E-4</v>
      </c>
      <c r="AP154">
        <v>1970.34</v>
      </c>
      <c r="AQ154" s="17">
        <v>3.4788331442659402E-8</v>
      </c>
      <c r="AR154">
        <f t="shared" si="28"/>
        <v>6.8544840974729524E-5</v>
      </c>
      <c r="AT154">
        <v>8.6098000000000001E-4</v>
      </c>
      <c r="AU154">
        <v>1970.34</v>
      </c>
      <c r="AV154" s="16">
        <v>0</v>
      </c>
      <c r="AW154">
        <f t="shared" si="29"/>
        <v>0</v>
      </c>
    </row>
    <row r="155" spans="1:49" x14ac:dyDescent="0.3">
      <c r="A155">
        <v>9.7172999999999997E-4</v>
      </c>
      <c r="B155">
        <v>1870.21</v>
      </c>
      <c r="C155" s="16">
        <v>2.0885562538030598E-3</v>
      </c>
      <c r="D155">
        <f t="shared" si="20"/>
        <v>3.9060387914250208</v>
      </c>
      <c r="F155">
        <v>9.7172999999999997E-4</v>
      </c>
      <c r="G155">
        <v>1870.21</v>
      </c>
      <c r="H155" s="16">
        <v>0</v>
      </c>
      <c r="I155">
        <f t="shared" si="21"/>
        <v>0</v>
      </c>
      <c r="K155">
        <v>9.7172999999999997E-4</v>
      </c>
      <c r="L155">
        <v>1870.21</v>
      </c>
      <c r="M155" s="16">
        <v>0</v>
      </c>
      <c r="N155">
        <f t="shared" si="22"/>
        <v>0</v>
      </c>
      <c r="P155">
        <v>9.7172999999999997E-4</v>
      </c>
      <c r="Q155">
        <v>1870.21</v>
      </c>
      <c r="R155" s="16">
        <v>0</v>
      </c>
      <c r="S155">
        <f t="shared" si="23"/>
        <v>0</v>
      </c>
      <c r="U155">
        <v>9.7172999999999997E-4</v>
      </c>
      <c r="V155">
        <v>1870.21</v>
      </c>
      <c r="W155" s="16">
        <v>0</v>
      </c>
      <c r="X155">
        <f t="shared" si="24"/>
        <v>0</v>
      </c>
      <c r="Z155">
        <v>9.7172999999999997E-4</v>
      </c>
      <c r="AA155">
        <v>1870.21</v>
      </c>
      <c r="AB155" s="16">
        <v>0</v>
      </c>
      <c r="AC155">
        <f t="shared" si="25"/>
        <v>0</v>
      </c>
      <c r="AE155">
        <v>9.7172999999999997E-4</v>
      </c>
      <c r="AF155">
        <v>1870.21</v>
      </c>
      <c r="AG155" s="16">
        <v>0</v>
      </c>
      <c r="AH155">
        <f t="shared" si="26"/>
        <v>0</v>
      </c>
      <c r="AJ155">
        <v>9.7172999999999997E-4</v>
      </c>
      <c r="AK155">
        <v>1870.21</v>
      </c>
      <c r="AL155" s="17">
        <v>3.0308187643108102E-5</v>
      </c>
      <c r="AM155">
        <f t="shared" si="27"/>
        <v>5.6682675612017203E-2</v>
      </c>
      <c r="AO155">
        <v>9.7172999999999997E-4</v>
      </c>
      <c r="AP155">
        <v>1870.21</v>
      </c>
      <c r="AQ155" s="17">
        <v>3.0801338505038598E-8</v>
      </c>
      <c r="AR155">
        <f t="shared" si="28"/>
        <v>5.7604971285508239E-5</v>
      </c>
      <c r="AT155">
        <v>9.7172999999999997E-4</v>
      </c>
      <c r="AU155">
        <v>1870.21</v>
      </c>
      <c r="AV155" s="16">
        <v>0</v>
      </c>
      <c r="AW155">
        <f t="shared" si="29"/>
        <v>0</v>
      </c>
    </row>
    <row r="156" spans="1:49" x14ac:dyDescent="0.3">
      <c r="A156">
        <v>1.0966999999999999E-3</v>
      </c>
      <c r="B156">
        <v>1842.73</v>
      </c>
      <c r="C156" s="16">
        <v>3.2495364515324398E-3</v>
      </c>
      <c r="D156">
        <f t="shared" si="20"/>
        <v>5.988018305332373</v>
      </c>
      <c r="F156">
        <v>1.0966999999999999E-3</v>
      </c>
      <c r="G156">
        <v>1842.73</v>
      </c>
      <c r="H156" s="16">
        <v>0</v>
      </c>
      <c r="I156">
        <f t="shared" si="21"/>
        <v>0</v>
      </c>
      <c r="K156">
        <v>1.0966999999999999E-3</v>
      </c>
      <c r="L156">
        <v>1842.73</v>
      </c>
      <c r="M156" s="16">
        <v>0</v>
      </c>
      <c r="N156">
        <f t="shared" si="22"/>
        <v>0</v>
      </c>
      <c r="P156">
        <v>1.0966999999999999E-3</v>
      </c>
      <c r="Q156">
        <v>1842.73</v>
      </c>
      <c r="R156" s="16">
        <v>0</v>
      </c>
      <c r="S156">
        <f t="shared" si="23"/>
        <v>0</v>
      </c>
      <c r="U156">
        <v>1.0966999999999999E-3</v>
      </c>
      <c r="V156">
        <v>1842.73</v>
      </c>
      <c r="W156" s="16">
        <v>0</v>
      </c>
      <c r="X156">
        <f t="shared" si="24"/>
        <v>0</v>
      </c>
      <c r="Z156">
        <v>1.0966999999999999E-3</v>
      </c>
      <c r="AA156">
        <v>1842.73</v>
      </c>
      <c r="AB156" s="16">
        <v>0</v>
      </c>
      <c r="AC156">
        <f t="shared" si="25"/>
        <v>0</v>
      </c>
      <c r="AE156">
        <v>1.0966999999999999E-3</v>
      </c>
      <c r="AF156">
        <v>1842.73</v>
      </c>
      <c r="AG156" s="16">
        <v>0</v>
      </c>
      <c r="AH156">
        <f t="shared" si="26"/>
        <v>0</v>
      </c>
      <c r="AJ156">
        <v>1.0966999999999999E-3</v>
      </c>
      <c r="AK156">
        <v>1842.73</v>
      </c>
      <c r="AL156" s="17">
        <v>3.22297860855769E-5</v>
      </c>
      <c r="AM156">
        <f t="shared" si="27"/>
        <v>5.9390793713475123E-2</v>
      </c>
      <c r="AO156">
        <v>1.0966999999999999E-3</v>
      </c>
      <c r="AP156">
        <v>1842.73</v>
      </c>
      <c r="AQ156" s="17">
        <v>2.7725046018721599E-8</v>
      </c>
      <c r="AR156">
        <f t="shared" si="28"/>
        <v>5.1089774050078853E-5</v>
      </c>
      <c r="AT156">
        <v>1.0966999999999999E-3</v>
      </c>
      <c r="AU156">
        <v>1842.73</v>
      </c>
      <c r="AV156" s="16">
        <v>0</v>
      </c>
      <c r="AW156">
        <f t="shared" si="29"/>
        <v>0</v>
      </c>
    </row>
    <row r="157" spans="1:49" x14ac:dyDescent="0.3">
      <c r="A157">
        <v>1.2378000000000001E-3</v>
      </c>
      <c r="B157">
        <v>1604.03</v>
      </c>
      <c r="C157" s="16">
        <v>2.2664999301195399E-3</v>
      </c>
      <c r="D157">
        <f t="shared" si="20"/>
        <v>3.6355338829096455</v>
      </c>
      <c r="F157">
        <v>1.2378000000000001E-3</v>
      </c>
      <c r="G157">
        <v>1604.03</v>
      </c>
      <c r="H157" s="16">
        <v>0</v>
      </c>
      <c r="I157">
        <f t="shared" si="21"/>
        <v>0</v>
      </c>
      <c r="K157">
        <v>1.2378000000000001E-3</v>
      </c>
      <c r="L157">
        <v>1604.03</v>
      </c>
      <c r="M157" s="16">
        <v>0</v>
      </c>
      <c r="N157">
        <f t="shared" si="22"/>
        <v>0</v>
      </c>
      <c r="P157">
        <v>1.2378000000000001E-3</v>
      </c>
      <c r="Q157">
        <v>1604.03</v>
      </c>
      <c r="R157" s="16">
        <v>0</v>
      </c>
      <c r="S157">
        <f t="shared" si="23"/>
        <v>0</v>
      </c>
      <c r="U157">
        <v>1.2378000000000001E-3</v>
      </c>
      <c r="V157">
        <v>1604.03</v>
      </c>
      <c r="W157" s="16">
        <v>0</v>
      </c>
      <c r="X157">
        <f t="shared" si="24"/>
        <v>0</v>
      </c>
      <c r="Z157">
        <v>1.2378000000000001E-3</v>
      </c>
      <c r="AA157">
        <v>1604.03</v>
      </c>
      <c r="AB157" s="16">
        <v>0</v>
      </c>
      <c r="AC157">
        <f t="shared" si="25"/>
        <v>0</v>
      </c>
      <c r="AE157">
        <v>1.2378000000000001E-3</v>
      </c>
      <c r="AF157">
        <v>1604.03</v>
      </c>
      <c r="AG157" s="16">
        <v>0</v>
      </c>
      <c r="AH157">
        <f t="shared" si="26"/>
        <v>0</v>
      </c>
      <c r="AJ157">
        <v>1.2378000000000001E-3</v>
      </c>
      <c r="AK157">
        <v>1604.03</v>
      </c>
      <c r="AL157" s="17">
        <v>3.5352049675726101E-5</v>
      </c>
      <c r="AM157">
        <f t="shared" si="27"/>
        <v>5.6705748241354936E-2</v>
      </c>
      <c r="AO157">
        <v>1.2378000000000001E-3</v>
      </c>
      <c r="AP157">
        <v>1604.03</v>
      </c>
      <c r="AQ157" s="17">
        <v>2.5610319894651801E-8</v>
      </c>
      <c r="AR157">
        <f t="shared" si="28"/>
        <v>4.107972142061833E-5</v>
      </c>
      <c r="AT157">
        <v>1.2378000000000001E-3</v>
      </c>
      <c r="AU157">
        <v>1604.03</v>
      </c>
      <c r="AV157" s="16">
        <v>0</v>
      </c>
      <c r="AW157">
        <f t="shared" si="29"/>
        <v>0</v>
      </c>
    </row>
    <row r="158" spans="1:49" x14ac:dyDescent="0.3">
      <c r="A158">
        <v>1.397E-3</v>
      </c>
      <c r="B158">
        <v>2169.34</v>
      </c>
      <c r="C158" s="16">
        <v>2.0976041879323601E-3</v>
      </c>
      <c r="D158">
        <f t="shared" si="20"/>
        <v>4.5504166690491861</v>
      </c>
      <c r="F158">
        <v>1.397E-3</v>
      </c>
      <c r="G158">
        <v>2169.34</v>
      </c>
      <c r="H158" s="16">
        <v>0</v>
      </c>
      <c r="I158">
        <f t="shared" si="21"/>
        <v>0</v>
      </c>
      <c r="K158">
        <v>1.397E-3</v>
      </c>
      <c r="L158">
        <v>2169.34</v>
      </c>
      <c r="M158" s="16">
        <v>0</v>
      </c>
      <c r="N158">
        <f t="shared" si="22"/>
        <v>0</v>
      </c>
      <c r="P158">
        <v>1.397E-3</v>
      </c>
      <c r="Q158">
        <v>2169.34</v>
      </c>
      <c r="R158" s="16">
        <v>0</v>
      </c>
      <c r="S158">
        <f t="shared" si="23"/>
        <v>0</v>
      </c>
      <c r="U158">
        <v>1.397E-3</v>
      </c>
      <c r="V158">
        <v>2169.34</v>
      </c>
      <c r="W158" s="16">
        <v>0</v>
      </c>
      <c r="X158">
        <f t="shared" si="24"/>
        <v>0</v>
      </c>
      <c r="Z158">
        <v>1.397E-3</v>
      </c>
      <c r="AA158">
        <v>2169.34</v>
      </c>
      <c r="AB158" s="16">
        <v>0</v>
      </c>
      <c r="AC158">
        <f t="shared" si="25"/>
        <v>0</v>
      </c>
      <c r="AE158">
        <v>1.397E-3</v>
      </c>
      <c r="AF158">
        <v>2169.34</v>
      </c>
      <c r="AG158" s="16">
        <v>0</v>
      </c>
      <c r="AH158">
        <f t="shared" si="26"/>
        <v>0</v>
      </c>
      <c r="AJ158">
        <v>1.397E-3</v>
      </c>
      <c r="AK158">
        <v>2169.34</v>
      </c>
      <c r="AL158" s="17">
        <v>4.1140459530157601E-5</v>
      </c>
      <c r="AM158">
        <f t="shared" si="27"/>
        <v>8.9247644477152097E-2</v>
      </c>
      <c r="AO158">
        <v>1.397E-3</v>
      </c>
      <c r="AP158">
        <v>2169.34</v>
      </c>
      <c r="AQ158" s="17">
        <v>5.2623368441298197E-7</v>
      </c>
      <c r="AR158">
        <f t="shared" si="28"/>
        <v>1.1415797809444584E-3</v>
      </c>
      <c r="AT158">
        <v>1.397E-3</v>
      </c>
      <c r="AU158">
        <v>2169.34</v>
      </c>
      <c r="AV158" s="16">
        <v>0</v>
      </c>
      <c r="AW158">
        <f t="shared" si="29"/>
        <v>0</v>
      </c>
    </row>
    <row r="159" spans="1:49" x14ac:dyDescent="0.3">
      <c r="A159">
        <v>1.5767000000000001E-3</v>
      </c>
      <c r="B159">
        <v>1991.89</v>
      </c>
      <c r="C159" s="16">
        <v>1.74587384981775E-3</v>
      </c>
      <c r="D159">
        <f t="shared" si="20"/>
        <v>3.4775886627134782</v>
      </c>
      <c r="F159">
        <v>1.5767000000000001E-3</v>
      </c>
      <c r="G159">
        <v>1991.89</v>
      </c>
      <c r="H159" s="16">
        <v>0</v>
      </c>
      <c r="I159">
        <f t="shared" si="21"/>
        <v>0</v>
      </c>
      <c r="K159">
        <v>1.5767000000000001E-3</v>
      </c>
      <c r="L159">
        <v>1991.89</v>
      </c>
      <c r="M159" s="16">
        <v>0</v>
      </c>
      <c r="N159">
        <f t="shared" si="22"/>
        <v>0</v>
      </c>
      <c r="P159">
        <v>1.5767000000000001E-3</v>
      </c>
      <c r="Q159">
        <v>1991.89</v>
      </c>
      <c r="R159" s="16">
        <v>0</v>
      </c>
      <c r="S159">
        <f t="shared" si="23"/>
        <v>0</v>
      </c>
      <c r="U159">
        <v>1.5767000000000001E-3</v>
      </c>
      <c r="V159">
        <v>1991.89</v>
      </c>
      <c r="W159" s="16">
        <v>0</v>
      </c>
      <c r="X159">
        <f t="shared" si="24"/>
        <v>0</v>
      </c>
      <c r="Z159">
        <v>1.5767000000000001E-3</v>
      </c>
      <c r="AA159">
        <v>1991.89</v>
      </c>
      <c r="AB159" s="16">
        <v>0</v>
      </c>
      <c r="AC159">
        <f t="shared" si="25"/>
        <v>0</v>
      </c>
      <c r="AE159">
        <v>1.5767000000000001E-3</v>
      </c>
      <c r="AF159">
        <v>1991.89</v>
      </c>
      <c r="AG159" s="16">
        <v>0</v>
      </c>
      <c r="AH159">
        <f t="shared" si="26"/>
        <v>0</v>
      </c>
      <c r="AJ159">
        <v>1.5767000000000001E-3</v>
      </c>
      <c r="AK159">
        <v>1991.89</v>
      </c>
      <c r="AL159" s="17">
        <v>4.8022750474227598E-5</v>
      </c>
      <c r="AM159">
        <f t="shared" si="27"/>
        <v>9.565603644210921E-2</v>
      </c>
      <c r="AO159">
        <v>1.5767000000000001E-3</v>
      </c>
      <c r="AP159">
        <v>1991.89</v>
      </c>
      <c r="AQ159" s="17">
        <v>2.4215189033966802E-8</v>
      </c>
      <c r="AR159">
        <f t="shared" si="28"/>
        <v>4.8233992884868138E-5</v>
      </c>
      <c r="AT159">
        <v>1.5767000000000001E-3</v>
      </c>
      <c r="AU159">
        <v>1991.89</v>
      </c>
      <c r="AV159" s="16">
        <v>0</v>
      </c>
      <c r="AW159">
        <f t="shared" si="29"/>
        <v>0</v>
      </c>
    </row>
    <row r="160" spans="1:49" x14ac:dyDescent="0.3">
      <c r="A160">
        <v>1.7795E-3</v>
      </c>
      <c r="B160">
        <v>1972.07</v>
      </c>
      <c r="C160" s="16">
        <v>1.5154374408993499E-3</v>
      </c>
      <c r="D160">
        <f t="shared" si="20"/>
        <v>2.9885487140743807</v>
      </c>
      <c r="F160">
        <v>1.7795E-3</v>
      </c>
      <c r="G160">
        <v>1972.07</v>
      </c>
      <c r="H160" s="16">
        <v>0</v>
      </c>
      <c r="I160">
        <f t="shared" si="21"/>
        <v>0</v>
      </c>
      <c r="K160">
        <v>1.7795E-3</v>
      </c>
      <c r="L160">
        <v>1972.07</v>
      </c>
      <c r="M160" s="16">
        <v>0</v>
      </c>
      <c r="N160">
        <f t="shared" si="22"/>
        <v>0</v>
      </c>
      <c r="P160">
        <v>1.7795E-3</v>
      </c>
      <c r="Q160">
        <v>1972.07</v>
      </c>
      <c r="R160" s="16">
        <v>0</v>
      </c>
      <c r="S160">
        <f t="shared" si="23"/>
        <v>0</v>
      </c>
      <c r="U160">
        <v>1.7795E-3</v>
      </c>
      <c r="V160">
        <v>1972.07</v>
      </c>
      <c r="W160" s="16">
        <v>0</v>
      </c>
      <c r="X160">
        <f t="shared" si="24"/>
        <v>0</v>
      </c>
      <c r="Z160">
        <v>1.7795E-3</v>
      </c>
      <c r="AA160">
        <v>1972.07</v>
      </c>
      <c r="AB160" s="16">
        <v>0</v>
      </c>
      <c r="AC160">
        <f t="shared" si="25"/>
        <v>0</v>
      </c>
      <c r="AE160">
        <v>1.7795E-3</v>
      </c>
      <c r="AF160">
        <v>1972.07</v>
      </c>
      <c r="AG160" s="16">
        <v>0</v>
      </c>
      <c r="AH160">
        <f t="shared" si="26"/>
        <v>0</v>
      </c>
      <c r="AJ160">
        <v>1.7795E-3</v>
      </c>
      <c r="AK160">
        <v>1972.07</v>
      </c>
      <c r="AL160" s="17">
        <v>6.0713561603250002E-5</v>
      </c>
      <c r="AM160">
        <f t="shared" si="27"/>
        <v>0.11973139343092122</v>
      </c>
      <c r="AO160">
        <v>1.7795E-3</v>
      </c>
      <c r="AP160">
        <v>1972.07</v>
      </c>
      <c r="AQ160" s="17">
        <v>2.0504200334056901E-8</v>
      </c>
      <c r="AR160">
        <f t="shared" si="28"/>
        <v>4.043571835278359E-5</v>
      </c>
      <c r="AT160">
        <v>1.7795E-3</v>
      </c>
      <c r="AU160">
        <v>1972.07</v>
      </c>
      <c r="AV160" s="16">
        <v>0</v>
      </c>
      <c r="AW160">
        <f t="shared" si="29"/>
        <v>0</v>
      </c>
    </row>
    <row r="161" spans="1:49" x14ac:dyDescent="0.3">
      <c r="A161">
        <v>2.0084E-3</v>
      </c>
      <c r="B161">
        <v>1915.65</v>
      </c>
      <c r="C161" s="16">
        <v>1.0878402734523099E-3</v>
      </c>
      <c r="D161">
        <f t="shared" si="20"/>
        <v>2.0839212198389174</v>
      </c>
      <c r="F161">
        <v>2.0084E-3</v>
      </c>
      <c r="G161">
        <v>1915.65</v>
      </c>
      <c r="H161" s="16">
        <v>0</v>
      </c>
      <c r="I161">
        <f t="shared" si="21"/>
        <v>0</v>
      </c>
      <c r="K161">
        <v>2.0084E-3</v>
      </c>
      <c r="L161">
        <v>1915.65</v>
      </c>
      <c r="M161" s="16">
        <v>0</v>
      </c>
      <c r="N161">
        <f t="shared" si="22"/>
        <v>0</v>
      </c>
      <c r="P161">
        <v>2.0084E-3</v>
      </c>
      <c r="Q161">
        <v>1915.65</v>
      </c>
      <c r="R161" s="16">
        <v>0</v>
      </c>
      <c r="S161">
        <f t="shared" si="23"/>
        <v>0</v>
      </c>
      <c r="U161">
        <v>2.0084E-3</v>
      </c>
      <c r="V161">
        <v>1915.65</v>
      </c>
      <c r="W161" s="16">
        <v>0</v>
      </c>
      <c r="X161">
        <f t="shared" si="24"/>
        <v>0</v>
      </c>
      <c r="Z161">
        <v>2.0084E-3</v>
      </c>
      <c r="AA161">
        <v>1915.65</v>
      </c>
      <c r="AB161" s="16">
        <v>0</v>
      </c>
      <c r="AC161">
        <f t="shared" si="25"/>
        <v>0</v>
      </c>
      <c r="AE161">
        <v>2.0084E-3</v>
      </c>
      <c r="AF161">
        <v>1915.65</v>
      </c>
      <c r="AG161" s="16">
        <v>0</v>
      </c>
      <c r="AH161">
        <f t="shared" si="26"/>
        <v>0</v>
      </c>
      <c r="AJ161">
        <v>2.0084E-3</v>
      </c>
      <c r="AK161">
        <v>1915.65</v>
      </c>
      <c r="AL161" s="17">
        <v>8.7963173815051895E-5</v>
      </c>
      <c r="AM161">
        <f t="shared" si="27"/>
        <v>0.16850665391880418</v>
      </c>
      <c r="AO161">
        <v>2.0084E-3</v>
      </c>
      <c r="AP161">
        <v>1915.65</v>
      </c>
      <c r="AQ161" s="17">
        <v>1.9586178622460701E-8</v>
      </c>
      <c r="AR161">
        <f t="shared" si="28"/>
        <v>3.7520263078116847E-5</v>
      </c>
      <c r="AT161">
        <v>2.0084E-3</v>
      </c>
      <c r="AU161">
        <v>1915.65</v>
      </c>
      <c r="AV161" s="16">
        <v>0</v>
      </c>
      <c r="AW161">
        <f t="shared" si="29"/>
        <v>0</v>
      </c>
    </row>
    <row r="162" spans="1:49" x14ac:dyDescent="0.3">
      <c r="A162">
        <v>2.2667E-3</v>
      </c>
      <c r="B162">
        <v>1957.5</v>
      </c>
      <c r="C162" s="16">
        <v>6.2316842075810003E-4</v>
      </c>
      <c r="D162">
        <f t="shared" si="20"/>
        <v>1.2198521836339808</v>
      </c>
      <c r="F162">
        <v>2.2667E-3</v>
      </c>
      <c r="G162">
        <v>1957.5</v>
      </c>
      <c r="H162" s="16">
        <v>0</v>
      </c>
      <c r="I162">
        <f t="shared" si="21"/>
        <v>0</v>
      </c>
      <c r="K162">
        <v>2.2667E-3</v>
      </c>
      <c r="L162">
        <v>1957.5</v>
      </c>
      <c r="M162" s="16">
        <v>0</v>
      </c>
      <c r="N162">
        <f t="shared" si="22"/>
        <v>0</v>
      </c>
      <c r="P162">
        <v>2.2667E-3</v>
      </c>
      <c r="Q162">
        <v>1957.5</v>
      </c>
      <c r="R162" s="16">
        <v>0</v>
      </c>
      <c r="S162">
        <f t="shared" si="23"/>
        <v>0</v>
      </c>
      <c r="U162">
        <v>2.2667E-3</v>
      </c>
      <c r="V162">
        <v>1957.5</v>
      </c>
      <c r="W162" s="16">
        <v>0</v>
      </c>
      <c r="X162">
        <f t="shared" si="24"/>
        <v>0</v>
      </c>
      <c r="Z162">
        <v>2.2667E-3</v>
      </c>
      <c r="AA162">
        <v>1957.5</v>
      </c>
      <c r="AB162" s="16">
        <v>0</v>
      </c>
      <c r="AC162">
        <f t="shared" si="25"/>
        <v>0</v>
      </c>
      <c r="AE162">
        <v>2.2667E-3</v>
      </c>
      <c r="AF162">
        <v>1957.5</v>
      </c>
      <c r="AG162" s="16">
        <v>0</v>
      </c>
      <c r="AH162">
        <f t="shared" si="26"/>
        <v>0</v>
      </c>
      <c r="AJ162">
        <v>2.2667E-3</v>
      </c>
      <c r="AK162">
        <v>1957.5</v>
      </c>
      <c r="AL162" s="16">
        <v>1.5469220888940301E-4</v>
      </c>
      <c r="AM162">
        <f t="shared" si="27"/>
        <v>0.30280999890100641</v>
      </c>
      <c r="AO162">
        <v>2.2667E-3</v>
      </c>
      <c r="AP162">
        <v>1957.5</v>
      </c>
      <c r="AQ162" s="17">
        <v>2.2296980372208599E-8</v>
      </c>
      <c r="AR162">
        <f t="shared" si="28"/>
        <v>4.3646339078598331E-5</v>
      </c>
      <c r="AT162">
        <v>2.2667E-3</v>
      </c>
      <c r="AU162">
        <v>1957.5</v>
      </c>
      <c r="AV162" s="16">
        <v>0</v>
      </c>
      <c r="AW162">
        <f t="shared" si="29"/>
        <v>0</v>
      </c>
    </row>
    <row r="163" spans="1:49" x14ac:dyDescent="0.3">
      <c r="A163">
        <v>2.5582000000000001E-3</v>
      </c>
      <c r="B163">
        <v>1995.56</v>
      </c>
      <c r="C163" s="16">
        <v>5.6925270112579297E-4</v>
      </c>
      <c r="D163">
        <f t="shared" si="20"/>
        <v>1.1359779202585873</v>
      </c>
      <c r="F163">
        <v>2.5582000000000001E-3</v>
      </c>
      <c r="G163">
        <v>1995.56</v>
      </c>
      <c r="H163" s="16">
        <v>0</v>
      </c>
      <c r="I163">
        <f t="shared" si="21"/>
        <v>0</v>
      </c>
      <c r="K163">
        <v>2.5582000000000001E-3</v>
      </c>
      <c r="L163">
        <v>1995.56</v>
      </c>
      <c r="M163" s="16">
        <v>0</v>
      </c>
      <c r="N163">
        <f t="shared" si="22"/>
        <v>0</v>
      </c>
      <c r="P163">
        <v>2.5582000000000001E-3</v>
      </c>
      <c r="Q163">
        <v>1995.56</v>
      </c>
      <c r="R163" s="16">
        <v>0</v>
      </c>
      <c r="S163">
        <f t="shared" si="23"/>
        <v>0</v>
      </c>
      <c r="U163">
        <v>2.5582000000000001E-3</v>
      </c>
      <c r="V163">
        <v>1995.56</v>
      </c>
      <c r="W163" s="16">
        <v>0</v>
      </c>
      <c r="X163">
        <f t="shared" si="24"/>
        <v>0</v>
      </c>
      <c r="Z163">
        <v>2.5582000000000001E-3</v>
      </c>
      <c r="AA163">
        <v>1995.56</v>
      </c>
      <c r="AB163" s="16">
        <v>0</v>
      </c>
      <c r="AC163">
        <f t="shared" si="25"/>
        <v>0</v>
      </c>
      <c r="AE163">
        <v>2.5582000000000001E-3</v>
      </c>
      <c r="AF163">
        <v>1995.56</v>
      </c>
      <c r="AG163" s="16">
        <v>0</v>
      </c>
      <c r="AH163">
        <f t="shared" si="26"/>
        <v>0</v>
      </c>
      <c r="AJ163">
        <v>2.5582000000000001E-3</v>
      </c>
      <c r="AK163">
        <v>1995.56</v>
      </c>
      <c r="AL163" s="16">
        <v>3.8503583613145898E-4</v>
      </c>
      <c r="AM163">
        <f t="shared" si="27"/>
        <v>0.7683621131504943</v>
      </c>
      <c r="AO163">
        <v>2.5582000000000001E-3</v>
      </c>
      <c r="AP163">
        <v>1995.56</v>
      </c>
      <c r="AQ163" s="17">
        <v>5.8570181707642703E-7</v>
      </c>
      <c r="AR163">
        <f t="shared" si="28"/>
        <v>1.1688031180850347E-3</v>
      </c>
      <c r="AT163">
        <v>2.5582000000000001E-3</v>
      </c>
      <c r="AU163">
        <v>1995.56</v>
      </c>
      <c r="AV163" s="16">
        <v>0</v>
      </c>
      <c r="AW163">
        <f t="shared" si="29"/>
        <v>0</v>
      </c>
    </row>
    <row r="164" spans="1:49" x14ac:dyDescent="0.3">
      <c r="A164">
        <v>2.8873000000000002E-3</v>
      </c>
      <c r="B164">
        <v>1643.03</v>
      </c>
      <c r="C164" s="16">
        <v>5.2417577059558397E-4</v>
      </c>
      <c r="D164">
        <f t="shared" si="20"/>
        <v>0.86123651636166232</v>
      </c>
      <c r="F164">
        <v>2.8873000000000002E-3</v>
      </c>
      <c r="G164">
        <v>1643.03</v>
      </c>
      <c r="H164" s="16">
        <v>0</v>
      </c>
      <c r="I164">
        <f t="shared" si="21"/>
        <v>0</v>
      </c>
      <c r="K164">
        <v>2.8873000000000002E-3</v>
      </c>
      <c r="L164">
        <v>1643.03</v>
      </c>
      <c r="M164" s="16">
        <v>0</v>
      </c>
      <c r="N164">
        <f t="shared" si="22"/>
        <v>0</v>
      </c>
      <c r="P164">
        <v>2.8873000000000002E-3</v>
      </c>
      <c r="Q164">
        <v>1643.03</v>
      </c>
      <c r="R164" s="16">
        <v>0</v>
      </c>
      <c r="S164">
        <f t="shared" si="23"/>
        <v>0</v>
      </c>
      <c r="U164">
        <v>2.8873000000000002E-3</v>
      </c>
      <c r="V164">
        <v>1643.03</v>
      </c>
      <c r="W164" s="16">
        <v>0</v>
      </c>
      <c r="X164">
        <f t="shared" si="24"/>
        <v>0</v>
      </c>
      <c r="Z164">
        <v>2.8873000000000002E-3</v>
      </c>
      <c r="AA164">
        <v>1643.03</v>
      </c>
      <c r="AB164" s="16">
        <v>0</v>
      </c>
      <c r="AC164">
        <f t="shared" si="25"/>
        <v>0</v>
      </c>
      <c r="AE164">
        <v>2.8873000000000002E-3</v>
      </c>
      <c r="AF164">
        <v>1643.03</v>
      </c>
      <c r="AG164" s="16">
        <v>0</v>
      </c>
      <c r="AH164">
        <f t="shared" si="26"/>
        <v>0</v>
      </c>
      <c r="AJ164">
        <v>2.8873000000000002E-3</v>
      </c>
      <c r="AK164">
        <v>1643.03</v>
      </c>
      <c r="AL164" s="16">
        <v>1.4132094269298E-3</v>
      </c>
      <c r="AM164">
        <f t="shared" si="27"/>
        <v>2.3219454847284693</v>
      </c>
      <c r="AO164">
        <v>2.8873000000000002E-3</v>
      </c>
      <c r="AP164">
        <v>1643.03</v>
      </c>
      <c r="AQ164" s="17">
        <v>2.4212985925152802E-6</v>
      </c>
      <c r="AR164">
        <f t="shared" si="28"/>
        <v>3.9782662264603811E-3</v>
      </c>
      <c r="AT164">
        <v>2.8873000000000002E-3</v>
      </c>
      <c r="AU164">
        <v>1643.03</v>
      </c>
      <c r="AV164" s="16">
        <v>0</v>
      </c>
      <c r="AW164">
        <f t="shared" si="29"/>
        <v>0</v>
      </c>
    </row>
    <row r="165" spans="1:49" x14ac:dyDescent="0.3">
      <c r="A165">
        <v>3.2586999999999998E-3</v>
      </c>
      <c r="B165">
        <v>1529.26</v>
      </c>
      <c r="C165" s="16">
        <v>5.01906813311292E-4</v>
      </c>
      <c r="D165">
        <f t="shared" si="20"/>
        <v>0.7675460133244264</v>
      </c>
      <c r="F165">
        <v>3.2586999999999998E-3</v>
      </c>
      <c r="G165">
        <v>1529.26</v>
      </c>
      <c r="H165" s="16">
        <v>0</v>
      </c>
      <c r="I165">
        <f t="shared" si="21"/>
        <v>0</v>
      </c>
      <c r="K165">
        <v>3.2586999999999998E-3</v>
      </c>
      <c r="L165">
        <v>1529.26</v>
      </c>
      <c r="M165" s="16">
        <v>0</v>
      </c>
      <c r="N165">
        <f t="shared" si="22"/>
        <v>0</v>
      </c>
      <c r="P165">
        <v>3.2586999999999998E-3</v>
      </c>
      <c r="Q165">
        <v>1529.26</v>
      </c>
      <c r="R165" s="16">
        <v>0</v>
      </c>
      <c r="S165">
        <f t="shared" si="23"/>
        <v>0</v>
      </c>
      <c r="U165">
        <v>3.2586999999999998E-3</v>
      </c>
      <c r="V165">
        <v>1529.26</v>
      </c>
      <c r="W165" s="16">
        <v>0</v>
      </c>
      <c r="X165">
        <f t="shared" si="24"/>
        <v>0</v>
      </c>
      <c r="Z165">
        <v>3.2586999999999998E-3</v>
      </c>
      <c r="AA165">
        <v>1529.26</v>
      </c>
      <c r="AB165" s="16">
        <v>0</v>
      </c>
      <c r="AC165">
        <f t="shared" si="25"/>
        <v>0</v>
      </c>
      <c r="AE165">
        <v>3.2586999999999998E-3</v>
      </c>
      <c r="AF165">
        <v>1529.26</v>
      </c>
      <c r="AG165" s="16">
        <v>0</v>
      </c>
      <c r="AH165">
        <f t="shared" si="26"/>
        <v>0</v>
      </c>
      <c r="AJ165">
        <v>3.2586999999999998E-3</v>
      </c>
      <c r="AK165">
        <v>1529.26</v>
      </c>
      <c r="AL165" s="16">
        <v>6.0150049639647605E-4</v>
      </c>
      <c r="AM165">
        <f t="shared" si="27"/>
        <v>0.91985064911927494</v>
      </c>
      <c r="AO165">
        <v>3.2586999999999998E-3</v>
      </c>
      <c r="AP165">
        <v>1529.26</v>
      </c>
      <c r="AQ165" s="17">
        <v>2.6824723154515302E-8</v>
      </c>
      <c r="AR165">
        <f t="shared" si="28"/>
        <v>4.102197613127407E-5</v>
      </c>
      <c r="AT165">
        <v>3.2586999999999998E-3</v>
      </c>
      <c r="AU165">
        <v>1529.26</v>
      </c>
      <c r="AV165" s="16">
        <v>0</v>
      </c>
      <c r="AW165">
        <f t="shared" si="29"/>
        <v>0</v>
      </c>
    </row>
    <row r="166" spans="1:49" x14ac:dyDescent="0.3">
      <c r="A166">
        <v>3.6778000000000002E-3</v>
      </c>
      <c r="B166">
        <v>1952.55</v>
      </c>
      <c r="C166" s="16">
        <v>4.6486618170150403E-4</v>
      </c>
      <c r="D166">
        <f t="shared" si="20"/>
        <v>0.90767446308127164</v>
      </c>
      <c r="F166">
        <v>3.6778000000000002E-3</v>
      </c>
      <c r="G166">
        <v>1952.55</v>
      </c>
      <c r="H166" s="16">
        <v>0</v>
      </c>
      <c r="I166">
        <f t="shared" si="21"/>
        <v>0</v>
      </c>
      <c r="K166">
        <v>3.6778000000000002E-3</v>
      </c>
      <c r="L166">
        <v>1952.55</v>
      </c>
      <c r="M166" s="16">
        <v>0</v>
      </c>
      <c r="N166">
        <f t="shared" si="22"/>
        <v>0</v>
      </c>
      <c r="P166">
        <v>3.6778000000000002E-3</v>
      </c>
      <c r="Q166">
        <v>1952.55</v>
      </c>
      <c r="R166" s="16">
        <v>0</v>
      </c>
      <c r="S166">
        <f t="shared" si="23"/>
        <v>0</v>
      </c>
      <c r="U166">
        <v>3.6778000000000002E-3</v>
      </c>
      <c r="V166">
        <v>1952.55</v>
      </c>
      <c r="W166" s="16">
        <v>0</v>
      </c>
      <c r="X166">
        <f t="shared" si="24"/>
        <v>0</v>
      </c>
      <c r="Z166">
        <v>3.6778000000000002E-3</v>
      </c>
      <c r="AA166">
        <v>1952.55</v>
      </c>
      <c r="AB166" s="16">
        <v>0</v>
      </c>
      <c r="AC166">
        <f t="shared" si="25"/>
        <v>0</v>
      </c>
      <c r="AE166">
        <v>3.6778000000000002E-3</v>
      </c>
      <c r="AF166">
        <v>1952.55</v>
      </c>
      <c r="AG166" s="16">
        <v>0</v>
      </c>
      <c r="AH166">
        <f t="shared" si="26"/>
        <v>0</v>
      </c>
      <c r="AJ166">
        <v>3.6778000000000002E-3</v>
      </c>
      <c r="AK166">
        <v>1952.55</v>
      </c>
      <c r="AL166" s="16">
        <v>1.3094414946976699E-4</v>
      </c>
      <c r="AM166">
        <f t="shared" si="27"/>
        <v>0.25567499904719354</v>
      </c>
      <c r="AO166">
        <v>3.6778000000000002E-3</v>
      </c>
      <c r="AP166">
        <v>1952.55</v>
      </c>
      <c r="AQ166" s="17">
        <v>3.5632553420973898E-8</v>
      </c>
      <c r="AR166">
        <f t="shared" si="28"/>
        <v>6.9574342182122584E-5</v>
      </c>
      <c r="AT166">
        <v>3.6778000000000002E-3</v>
      </c>
      <c r="AU166">
        <v>1952.55</v>
      </c>
      <c r="AV166" s="16">
        <v>0</v>
      </c>
      <c r="AW166">
        <f t="shared" si="29"/>
        <v>0</v>
      </c>
    </row>
    <row r="167" spans="1:49" x14ac:dyDescent="0.3">
      <c r="A167">
        <v>4.1508999999999999E-3</v>
      </c>
      <c r="B167">
        <v>1485.55</v>
      </c>
      <c r="C167" s="16">
        <v>4.31999392926912E-4</v>
      </c>
      <c r="D167">
        <f t="shared" si="20"/>
        <v>0.64175669816257408</v>
      </c>
      <c r="F167">
        <v>4.1508999999999999E-3</v>
      </c>
      <c r="G167">
        <v>1485.55</v>
      </c>
      <c r="H167" s="16">
        <v>0</v>
      </c>
      <c r="I167">
        <f t="shared" si="21"/>
        <v>0</v>
      </c>
      <c r="K167">
        <v>4.1508999999999999E-3</v>
      </c>
      <c r="L167">
        <v>1485.55</v>
      </c>
      <c r="M167" s="16">
        <v>0</v>
      </c>
      <c r="N167">
        <f t="shared" si="22"/>
        <v>0</v>
      </c>
      <c r="P167">
        <v>4.1508999999999999E-3</v>
      </c>
      <c r="Q167">
        <v>1485.55</v>
      </c>
      <c r="R167" s="16">
        <v>0</v>
      </c>
      <c r="S167">
        <f t="shared" si="23"/>
        <v>0</v>
      </c>
      <c r="U167">
        <v>4.1508999999999999E-3</v>
      </c>
      <c r="V167">
        <v>1485.55</v>
      </c>
      <c r="W167" s="16">
        <v>0</v>
      </c>
      <c r="X167">
        <f t="shared" si="24"/>
        <v>0</v>
      </c>
      <c r="Z167">
        <v>4.1508999999999999E-3</v>
      </c>
      <c r="AA167">
        <v>1485.55</v>
      </c>
      <c r="AB167" s="16">
        <v>0</v>
      </c>
      <c r="AC167">
        <f t="shared" si="25"/>
        <v>0</v>
      </c>
      <c r="AE167">
        <v>4.1508999999999999E-3</v>
      </c>
      <c r="AF167">
        <v>1485.55</v>
      </c>
      <c r="AG167" s="16">
        <v>0</v>
      </c>
      <c r="AH167">
        <f t="shared" si="26"/>
        <v>0</v>
      </c>
      <c r="AJ167">
        <v>4.1508999999999999E-3</v>
      </c>
      <c r="AK167">
        <v>1485.55</v>
      </c>
      <c r="AL167" s="17">
        <v>4.4529536819636601E-5</v>
      </c>
      <c r="AM167">
        <f t="shared" si="27"/>
        <v>6.6150853422411157E-2</v>
      </c>
      <c r="AO167">
        <v>4.1508999999999999E-3</v>
      </c>
      <c r="AP167">
        <v>1485.55</v>
      </c>
      <c r="AQ167" s="17">
        <v>1.25106279808944E-6</v>
      </c>
      <c r="AR167">
        <f t="shared" si="28"/>
        <v>1.8585163397017675E-3</v>
      </c>
      <c r="AT167">
        <v>4.1508999999999999E-3</v>
      </c>
      <c r="AU167">
        <v>1485.55</v>
      </c>
      <c r="AV167" s="16">
        <v>0</v>
      </c>
      <c r="AW167">
        <f t="shared" si="29"/>
        <v>0</v>
      </c>
    </row>
    <row r="168" spans="1:49" x14ac:dyDescent="0.3">
      <c r="A168">
        <v>4.6848000000000002E-3</v>
      </c>
      <c r="B168">
        <v>1743.25</v>
      </c>
      <c r="C168" s="16">
        <v>4.0543455689217602E-4</v>
      </c>
      <c r="D168">
        <f t="shared" si="20"/>
        <v>0.70677379130228579</v>
      </c>
      <c r="F168">
        <v>4.6848000000000002E-3</v>
      </c>
      <c r="G168">
        <v>1743.25</v>
      </c>
      <c r="H168" s="16">
        <v>0</v>
      </c>
      <c r="I168">
        <f t="shared" si="21"/>
        <v>0</v>
      </c>
      <c r="K168">
        <v>4.6848000000000002E-3</v>
      </c>
      <c r="L168">
        <v>1743.25</v>
      </c>
      <c r="M168" s="16">
        <v>0</v>
      </c>
      <c r="N168">
        <f t="shared" si="22"/>
        <v>0</v>
      </c>
      <c r="P168">
        <v>4.6848000000000002E-3</v>
      </c>
      <c r="Q168">
        <v>1743.25</v>
      </c>
      <c r="R168" s="16">
        <v>0</v>
      </c>
      <c r="S168">
        <f t="shared" si="23"/>
        <v>0</v>
      </c>
      <c r="U168">
        <v>4.6848000000000002E-3</v>
      </c>
      <c r="V168">
        <v>1743.25</v>
      </c>
      <c r="W168" s="16">
        <v>0</v>
      </c>
      <c r="X168">
        <f t="shared" si="24"/>
        <v>0</v>
      </c>
      <c r="Z168">
        <v>4.6848000000000002E-3</v>
      </c>
      <c r="AA168">
        <v>1743.25</v>
      </c>
      <c r="AB168" s="16">
        <v>0</v>
      </c>
      <c r="AC168">
        <f t="shared" si="25"/>
        <v>0</v>
      </c>
      <c r="AE168">
        <v>4.6848000000000002E-3</v>
      </c>
      <c r="AF168">
        <v>1743.25</v>
      </c>
      <c r="AG168" s="16">
        <v>0</v>
      </c>
      <c r="AH168">
        <f t="shared" si="26"/>
        <v>0</v>
      </c>
      <c r="AJ168">
        <v>4.6848000000000002E-3</v>
      </c>
      <c r="AK168">
        <v>1743.25</v>
      </c>
      <c r="AL168" s="17">
        <v>1.99819388218475E-5</v>
      </c>
      <c r="AM168">
        <f t="shared" si="27"/>
        <v>3.4833514851185653E-2</v>
      </c>
      <c r="AO168">
        <v>4.6848000000000002E-3</v>
      </c>
      <c r="AP168">
        <v>1743.25</v>
      </c>
      <c r="AQ168" s="17">
        <v>5.7774922044172898E-7</v>
      </c>
      <c r="AR168">
        <f t="shared" si="28"/>
        <v>1.0071613285350441E-3</v>
      </c>
      <c r="AT168">
        <v>4.6848000000000002E-3</v>
      </c>
      <c r="AU168">
        <v>1743.25</v>
      </c>
      <c r="AV168" s="16">
        <v>0</v>
      </c>
      <c r="AW168">
        <f t="shared" si="29"/>
        <v>0</v>
      </c>
    </row>
    <row r="169" spans="1:49" x14ac:dyDescent="0.3">
      <c r="A169">
        <v>5.2874000000000003E-3</v>
      </c>
      <c r="B169">
        <v>1884.88</v>
      </c>
      <c r="C169" s="16">
        <v>3.6147179132499098E-4</v>
      </c>
      <c r="D169">
        <f t="shared" si="20"/>
        <v>0.68133095003264899</v>
      </c>
      <c r="F169">
        <v>5.2874000000000003E-3</v>
      </c>
      <c r="G169">
        <v>1884.88</v>
      </c>
      <c r="H169" s="16">
        <v>0</v>
      </c>
      <c r="I169">
        <f t="shared" si="21"/>
        <v>0</v>
      </c>
      <c r="K169">
        <v>5.2874000000000003E-3</v>
      </c>
      <c r="L169">
        <v>1884.88</v>
      </c>
      <c r="M169" s="16">
        <v>0</v>
      </c>
      <c r="N169">
        <f t="shared" si="22"/>
        <v>0</v>
      </c>
      <c r="P169">
        <v>5.2874000000000003E-3</v>
      </c>
      <c r="Q169">
        <v>1884.88</v>
      </c>
      <c r="R169" s="16">
        <v>0</v>
      </c>
      <c r="S169">
        <f t="shared" si="23"/>
        <v>0</v>
      </c>
      <c r="U169">
        <v>5.2874000000000003E-3</v>
      </c>
      <c r="V169">
        <v>1884.88</v>
      </c>
      <c r="W169" s="16">
        <v>0</v>
      </c>
      <c r="X169">
        <f t="shared" si="24"/>
        <v>0</v>
      </c>
      <c r="Z169">
        <v>5.2874000000000003E-3</v>
      </c>
      <c r="AA169">
        <v>1884.88</v>
      </c>
      <c r="AB169" s="16">
        <v>0</v>
      </c>
      <c r="AC169">
        <f t="shared" si="25"/>
        <v>0</v>
      </c>
      <c r="AE169">
        <v>5.2874000000000003E-3</v>
      </c>
      <c r="AF169">
        <v>1884.88</v>
      </c>
      <c r="AG169" s="16">
        <v>0</v>
      </c>
      <c r="AH169">
        <f t="shared" si="26"/>
        <v>0</v>
      </c>
      <c r="AJ169">
        <v>5.2874000000000003E-3</v>
      </c>
      <c r="AK169">
        <v>1884.88</v>
      </c>
      <c r="AL169" s="17">
        <v>9.9242471720953507E-6</v>
      </c>
      <c r="AM169">
        <f t="shared" si="27"/>
        <v>1.8706015009739087E-2</v>
      </c>
      <c r="AO169">
        <v>5.2874000000000003E-3</v>
      </c>
      <c r="AP169">
        <v>1884.88</v>
      </c>
      <c r="AQ169" s="17">
        <v>3.7141722576316802E-7</v>
      </c>
      <c r="AR169">
        <f t="shared" si="28"/>
        <v>7.0007690049648022E-4</v>
      </c>
      <c r="AT169">
        <v>5.2874000000000003E-3</v>
      </c>
      <c r="AU169">
        <v>1884.88</v>
      </c>
      <c r="AV169" s="16">
        <v>0</v>
      </c>
      <c r="AW169">
        <f t="shared" si="29"/>
        <v>0</v>
      </c>
    </row>
    <row r="170" spans="1:49" x14ac:dyDescent="0.3">
      <c r="A170">
        <v>5.9674000000000003E-3</v>
      </c>
      <c r="B170">
        <v>2092.44</v>
      </c>
      <c r="C170" s="16">
        <v>3.3527919115187001E-4</v>
      </c>
      <c r="D170">
        <f t="shared" si="20"/>
        <v>0.7015515907338189</v>
      </c>
      <c r="F170">
        <v>5.9674000000000003E-3</v>
      </c>
      <c r="G170">
        <v>2092.44</v>
      </c>
      <c r="H170" s="16">
        <v>0</v>
      </c>
      <c r="I170">
        <f t="shared" si="21"/>
        <v>0</v>
      </c>
      <c r="K170">
        <v>5.9674000000000003E-3</v>
      </c>
      <c r="L170">
        <v>2092.44</v>
      </c>
      <c r="M170" s="16">
        <v>0</v>
      </c>
      <c r="N170">
        <f t="shared" si="22"/>
        <v>0</v>
      </c>
      <c r="P170">
        <v>5.9674000000000003E-3</v>
      </c>
      <c r="Q170">
        <v>2092.44</v>
      </c>
      <c r="R170" s="16">
        <v>0</v>
      </c>
      <c r="S170">
        <f t="shared" si="23"/>
        <v>0</v>
      </c>
      <c r="U170">
        <v>5.9674000000000003E-3</v>
      </c>
      <c r="V170">
        <v>2092.44</v>
      </c>
      <c r="W170" s="16">
        <v>0</v>
      </c>
      <c r="X170">
        <f t="shared" si="24"/>
        <v>0</v>
      </c>
      <c r="Z170">
        <v>5.9674000000000003E-3</v>
      </c>
      <c r="AA170">
        <v>2092.44</v>
      </c>
      <c r="AB170" s="16">
        <v>0</v>
      </c>
      <c r="AC170">
        <f t="shared" si="25"/>
        <v>0</v>
      </c>
      <c r="AE170">
        <v>5.9674000000000003E-3</v>
      </c>
      <c r="AF170">
        <v>2092.44</v>
      </c>
      <c r="AG170" s="16">
        <v>0</v>
      </c>
      <c r="AH170">
        <f t="shared" si="26"/>
        <v>0</v>
      </c>
      <c r="AJ170">
        <v>5.9674000000000003E-3</v>
      </c>
      <c r="AK170">
        <v>2092.44</v>
      </c>
      <c r="AL170" s="17">
        <v>5.6842858000997602E-6</v>
      </c>
      <c r="AM170">
        <f t="shared" si="27"/>
        <v>1.1894026979560742E-2</v>
      </c>
      <c r="AO170">
        <v>5.9674000000000003E-3</v>
      </c>
      <c r="AP170">
        <v>2092.44</v>
      </c>
      <c r="AQ170" s="17">
        <v>1.14888473019318E-7</v>
      </c>
      <c r="AR170">
        <f t="shared" si="28"/>
        <v>2.4039723648454177E-4</v>
      </c>
      <c r="AT170">
        <v>5.9674000000000003E-3</v>
      </c>
      <c r="AU170">
        <v>2092.44</v>
      </c>
      <c r="AV170" s="16">
        <v>0</v>
      </c>
      <c r="AW170">
        <f t="shared" si="29"/>
        <v>0</v>
      </c>
    </row>
    <row r="171" spans="1:49" x14ac:dyDescent="0.3">
      <c r="A171">
        <v>6.7349999999999997E-3</v>
      </c>
      <c r="B171">
        <v>1796.5</v>
      </c>
      <c r="C171" s="16">
        <v>3.1707229073173898E-4</v>
      </c>
      <c r="D171">
        <f t="shared" si="20"/>
        <v>0.56962037029956902</v>
      </c>
      <c r="F171">
        <v>6.7349999999999997E-3</v>
      </c>
      <c r="G171">
        <v>1796.5</v>
      </c>
      <c r="H171" s="16">
        <v>0</v>
      </c>
      <c r="I171">
        <f t="shared" si="21"/>
        <v>0</v>
      </c>
      <c r="K171">
        <v>6.7349999999999997E-3</v>
      </c>
      <c r="L171">
        <v>1796.5</v>
      </c>
      <c r="M171" s="16">
        <v>0</v>
      </c>
      <c r="N171">
        <f t="shared" si="22"/>
        <v>0</v>
      </c>
      <c r="P171">
        <v>6.7349999999999997E-3</v>
      </c>
      <c r="Q171">
        <v>1796.5</v>
      </c>
      <c r="R171" s="16">
        <v>0</v>
      </c>
      <c r="S171">
        <f t="shared" si="23"/>
        <v>0</v>
      </c>
      <c r="U171">
        <v>6.7349999999999997E-3</v>
      </c>
      <c r="V171">
        <v>1796.5</v>
      </c>
      <c r="W171" s="16">
        <v>0</v>
      </c>
      <c r="X171">
        <f t="shared" si="24"/>
        <v>0</v>
      </c>
      <c r="Z171">
        <v>6.7349999999999997E-3</v>
      </c>
      <c r="AA171">
        <v>1796.5</v>
      </c>
      <c r="AB171" s="16">
        <v>0</v>
      </c>
      <c r="AC171">
        <f t="shared" si="25"/>
        <v>0</v>
      </c>
      <c r="AE171">
        <v>6.7349999999999997E-3</v>
      </c>
      <c r="AF171">
        <v>1796.5</v>
      </c>
      <c r="AG171" s="16">
        <v>0</v>
      </c>
      <c r="AH171">
        <f t="shared" si="26"/>
        <v>0</v>
      </c>
      <c r="AJ171">
        <v>6.7349999999999997E-3</v>
      </c>
      <c r="AK171">
        <v>1796.5</v>
      </c>
      <c r="AL171" s="17">
        <v>3.4255070762021799E-6</v>
      </c>
      <c r="AM171">
        <f t="shared" si="27"/>
        <v>6.1539234623972164E-3</v>
      </c>
      <c r="AO171">
        <v>6.7349999999999997E-3</v>
      </c>
      <c r="AP171">
        <v>1796.5</v>
      </c>
      <c r="AQ171" s="17">
        <v>1.59818437695823E-6</v>
      </c>
      <c r="AR171">
        <f t="shared" si="28"/>
        <v>2.8711382332054602E-3</v>
      </c>
      <c r="AT171">
        <v>6.7349999999999997E-3</v>
      </c>
      <c r="AU171">
        <v>1796.5</v>
      </c>
      <c r="AV171" s="16">
        <v>0</v>
      </c>
      <c r="AW171">
        <f t="shared" si="29"/>
        <v>0</v>
      </c>
    </row>
    <row r="172" spans="1:49" x14ac:dyDescent="0.3">
      <c r="A172">
        <v>7.6013000000000001E-3</v>
      </c>
      <c r="B172">
        <v>1895.85</v>
      </c>
      <c r="C172" s="16">
        <v>2.9573075475632598E-4</v>
      </c>
      <c r="D172">
        <f t="shared" si="20"/>
        <v>0.56066115140478057</v>
      </c>
      <c r="F172">
        <v>7.6013000000000001E-3</v>
      </c>
      <c r="G172">
        <v>1895.85</v>
      </c>
      <c r="H172" s="16">
        <v>0</v>
      </c>
      <c r="I172">
        <f t="shared" si="21"/>
        <v>0</v>
      </c>
      <c r="K172">
        <v>7.6013000000000001E-3</v>
      </c>
      <c r="L172">
        <v>1895.85</v>
      </c>
      <c r="M172" s="16">
        <v>0</v>
      </c>
      <c r="N172">
        <f t="shared" si="22"/>
        <v>0</v>
      </c>
      <c r="P172">
        <v>7.6013000000000001E-3</v>
      </c>
      <c r="Q172">
        <v>1895.85</v>
      </c>
      <c r="R172" s="16">
        <v>0</v>
      </c>
      <c r="S172">
        <f t="shared" si="23"/>
        <v>0</v>
      </c>
      <c r="U172">
        <v>7.6013000000000001E-3</v>
      </c>
      <c r="V172">
        <v>1895.85</v>
      </c>
      <c r="W172" s="16">
        <v>0</v>
      </c>
      <c r="X172">
        <f t="shared" si="24"/>
        <v>0</v>
      </c>
      <c r="Z172">
        <v>7.6013000000000001E-3</v>
      </c>
      <c r="AA172">
        <v>1895.85</v>
      </c>
      <c r="AB172" s="16">
        <v>0</v>
      </c>
      <c r="AC172">
        <f t="shared" si="25"/>
        <v>0</v>
      </c>
      <c r="AE172">
        <v>7.6013000000000001E-3</v>
      </c>
      <c r="AF172">
        <v>1895.85</v>
      </c>
      <c r="AG172" s="16">
        <v>0</v>
      </c>
      <c r="AH172">
        <f t="shared" si="26"/>
        <v>0</v>
      </c>
      <c r="AJ172">
        <v>7.6013000000000001E-3</v>
      </c>
      <c r="AK172">
        <v>1895.85</v>
      </c>
      <c r="AL172" s="17">
        <v>3.4031519974253398E-6</v>
      </c>
      <c r="AM172">
        <f t="shared" si="27"/>
        <v>6.45186571431883E-3</v>
      </c>
      <c r="AO172">
        <v>7.6013000000000001E-3</v>
      </c>
      <c r="AP172">
        <v>1895.85</v>
      </c>
      <c r="AQ172" s="17">
        <v>1.18528600337751E-8</v>
      </c>
      <c r="AR172">
        <f t="shared" si="28"/>
        <v>2.2471244695032522E-5</v>
      </c>
      <c r="AT172">
        <v>7.6013000000000001E-3</v>
      </c>
      <c r="AU172">
        <v>1895.85</v>
      </c>
      <c r="AV172" s="16">
        <v>0</v>
      </c>
      <c r="AW172">
        <f t="shared" si="29"/>
        <v>0</v>
      </c>
    </row>
    <row r="173" spans="1:49" x14ac:dyDescent="0.3">
      <c r="A173">
        <v>8.5789999999999998E-3</v>
      </c>
      <c r="B173">
        <v>1975.96</v>
      </c>
      <c r="C173" s="16">
        <v>2.5550965583973702E-4</v>
      </c>
      <c r="D173">
        <f t="shared" si="20"/>
        <v>0.50487685955308681</v>
      </c>
      <c r="F173">
        <v>8.5789999999999998E-3</v>
      </c>
      <c r="G173">
        <v>1975.96</v>
      </c>
      <c r="H173" s="16">
        <v>0</v>
      </c>
      <c r="I173">
        <f t="shared" si="21"/>
        <v>0</v>
      </c>
      <c r="K173">
        <v>8.5789999999999998E-3</v>
      </c>
      <c r="L173">
        <v>1975.96</v>
      </c>
      <c r="M173" s="16">
        <v>0</v>
      </c>
      <c r="N173">
        <f t="shared" si="22"/>
        <v>0</v>
      </c>
      <c r="P173">
        <v>8.5789999999999998E-3</v>
      </c>
      <c r="Q173">
        <v>1975.96</v>
      </c>
      <c r="R173" s="16">
        <v>0</v>
      </c>
      <c r="S173">
        <f t="shared" si="23"/>
        <v>0</v>
      </c>
      <c r="U173">
        <v>8.5789999999999998E-3</v>
      </c>
      <c r="V173">
        <v>1975.96</v>
      </c>
      <c r="W173" s="16">
        <v>0</v>
      </c>
      <c r="X173">
        <f t="shared" si="24"/>
        <v>0</v>
      </c>
      <c r="Z173">
        <v>8.5789999999999998E-3</v>
      </c>
      <c r="AA173">
        <v>1975.96</v>
      </c>
      <c r="AB173" s="16">
        <v>0</v>
      </c>
      <c r="AC173">
        <f t="shared" si="25"/>
        <v>0</v>
      </c>
      <c r="AE173">
        <v>8.5789999999999998E-3</v>
      </c>
      <c r="AF173">
        <v>1975.96</v>
      </c>
      <c r="AG173" s="16">
        <v>0</v>
      </c>
      <c r="AH173">
        <f t="shared" si="26"/>
        <v>0</v>
      </c>
      <c r="AJ173">
        <v>8.5789999999999998E-3</v>
      </c>
      <c r="AK173">
        <v>1975.96</v>
      </c>
      <c r="AL173" s="16">
        <v>1.51482042743943E-4</v>
      </c>
      <c r="AM173">
        <f t="shared" si="27"/>
        <v>0.29932245718032163</v>
      </c>
      <c r="AO173">
        <v>8.5789999999999998E-3</v>
      </c>
      <c r="AP173">
        <v>1975.96</v>
      </c>
      <c r="AQ173" s="17">
        <v>2.5059914581052699E-7</v>
      </c>
      <c r="AR173">
        <f t="shared" si="28"/>
        <v>4.9517388815576888E-4</v>
      </c>
      <c r="AT173">
        <v>8.5789999999999998E-3</v>
      </c>
      <c r="AU173">
        <v>1975.96</v>
      </c>
      <c r="AV173" s="16">
        <v>0</v>
      </c>
      <c r="AW173">
        <f t="shared" si="29"/>
        <v>0</v>
      </c>
    </row>
    <row r="174" spans="1:49" x14ac:dyDescent="0.3">
      <c r="A174">
        <v>9.6825000000000001E-3</v>
      </c>
      <c r="B174">
        <v>2083.85</v>
      </c>
      <c r="C174" s="16">
        <v>2.1740274696655499E-4</v>
      </c>
      <c r="D174">
        <f t="shared" si="20"/>
        <v>0.45303471426625558</v>
      </c>
      <c r="F174">
        <v>9.6825000000000001E-3</v>
      </c>
      <c r="G174">
        <v>2083.85</v>
      </c>
      <c r="H174" s="16">
        <v>0</v>
      </c>
      <c r="I174">
        <f t="shared" si="21"/>
        <v>0</v>
      </c>
      <c r="K174">
        <v>9.6825000000000001E-3</v>
      </c>
      <c r="L174">
        <v>2083.85</v>
      </c>
      <c r="M174" s="16">
        <v>0</v>
      </c>
      <c r="N174">
        <f t="shared" si="22"/>
        <v>0</v>
      </c>
      <c r="P174">
        <v>9.6825000000000001E-3</v>
      </c>
      <c r="Q174">
        <v>2083.85</v>
      </c>
      <c r="R174" s="16">
        <v>0</v>
      </c>
      <c r="S174">
        <f t="shared" si="23"/>
        <v>0</v>
      </c>
      <c r="U174">
        <v>9.6825000000000001E-3</v>
      </c>
      <c r="V174">
        <v>2083.85</v>
      </c>
      <c r="W174" s="16">
        <v>0</v>
      </c>
      <c r="X174">
        <f t="shared" si="24"/>
        <v>0</v>
      </c>
      <c r="Z174">
        <v>9.6825000000000001E-3</v>
      </c>
      <c r="AA174">
        <v>2083.85</v>
      </c>
      <c r="AB174" s="16">
        <v>0</v>
      </c>
      <c r="AC174">
        <f t="shared" si="25"/>
        <v>0</v>
      </c>
      <c r="AE174">
        <v>9.6825000000000001E-3</v>
      </c>
      <c r="AF174">
        <v>2083.85</v>
      </c>
      <c r="AG174" s="16">
        <v>0</v>
      </c>
      <c r="AH174">
        <f t="shared" si="26"/>
        <v>0</v>
      </c>
      <c r="AJ174">
        <v>9.6825000000000001E-3</v>
      </c>
      <c r="AK174">
        <v>2083.85</v>
      </c>
      <c r="AL174" s="17">
        <v>9.0419460367010404E-7</v>
      </c>
      <c r="AM174">
        <f t="shared" si="27"/>
        <v>1.8842059248579462E-3</v>
      </c>
      <c r="AO174">
        <v>9.6825000000000001E-3</v>
      </c>
      <c r="AP174">
        <v>2083.85</v>
      </c>
      <c r="AQ174" s="17">
        <v>4.5337417148083602E-7</v>
      </c>
      <c r="AR174">
        <f t="shared" si="28"/>
        <v>9.447637672403401E-4</v>
      </c>
      <c r="AT174">
        <v>9.6825000000000001E-3</v>
      </c>
      <c r="AU174">
        <v>2083.85</v>
      </c>
      <c r="AV174" s="16">
        <v>0</v>
      </c>
      <c r="AW174">
        <f t="shared" si="29"/>
        <v>0</v>
      </c>
    </row>
    <row r="175" spans="1:49" x14ac:dyDescent="0.3">
      <c r="A175">
        <v>1.0928E-2</v>
      </c>
      <c r="B175">
        <v>1971.18</v>
      </c>
      <c r="C175" s="16">
        <v>1.99952773143726E-4</v>
      </c>
      <c r="D175">
        <f t="shared" si="20"/>
        <v>0.39414290736544982</v>
      </c>
      <c r="F175">
        <v>1.0928E-2</v>
      </c>
      <c r="G175">
        <v>1971.18</v>
      </c>
      <c r="H175" s="16">
        <v>0</v>
      </c>
      <c r="I175">
        <f t="shared" si="21"/>
        <v>0</v>
      </c>
      <c r="K175">
        <v>1.0928E-2</v>
      </c>
      <c r="L175">
        <v>1971.18</v>
      </c>
      <c r="M175" s="16">
        <v>0</v>
      </c>
      <c r="N175">
        <f t="shared" si="22"/>
        <v>0</v>
      </c>
      <c r="P175">
        <v>1.0928E-2</v>
      </c>
      <c r="Q175">
        <v>1971.18</v>
      </c>
      <c r="R175" s="16">
        <v>0</v>
      </c>
      <c r="S175">
        <f t="shared" si="23"/>
        <v>0</v>
      </c>
      <c r="U175">
        <v>1.0928E-2</v>
      </c>
      <c r="V175">
        <v>1971.18</v>
      </c>
      <c r="W175" s="16">
        <v>0</v>
      </c>
      <c r="X175">
        <f t="shared" si="24"/>
        <v>0</v>
      </c>
      <c r="Z175">
        <v>1.0928E-2</v>
      </c>
      <c r="AA175">
        <v>1971.18</v>
      </c>
      <c r="AB175" s="16">
        <v>0</v>
      </c>
      <c r="AC175">
        <f t="shared" si="25"/>
        <v>0</v>
      </c>
      <c r="AE175">
        <v>1.0928E-2</v>
      </c>
      <c r="AF175">
        <v>1971.18</v>
      </c>
      <c r="AG175" s="16">
        <v>0</v>
      </c>
      <c r="AH175">
        <f t="shared" si="26"/>
        <v>0</v>
      </c>
      <c r="AJ175">
        <v>1.0928E-2</v>
      </c>
      <c r="AK175">
        <v>1971.18</v>
      </c>
      <c r="AL175" s="17">
        <v>6.3661399524048199E-7</v>
      </c>
      <c r="AM175">
        <f t="shared" si="27"/>
        <v>1.2548807751381333E-3</v>
      </c>
      <c r="AO175">
        <v>1.0928E-2</v>
      </c>
      <c r="AP175">
        <v>1971.18</v>
      </c>
      <c r="AQ175" s="17">
        <v>1.00471128682309E-6</v>
      </c>
      <c r="AR175">
        <f t="shared" si="28"/>
        <v>1.9804667943599387E-3</v>
      </c>
      <c r="AT175">
        <v>1.0928E-2</v>
      </c>
      <c r="AU175">
        <v>1971.18</v>
      </c>
      <c r="AV175" s="16">
        <v>0</v>
      </c>
      <c r="AW175">
        <f t="shared" si="29"/>
        <v>0</v>
      </c>
    </row>
    <row r="176" spans="1:49" x14ac:dyDescent="0.3">
      <c r="A176">
        <v>1.2333999999999999E-2</v>
      </c>
      <c r="B176">
        <v>2112.92</v>
      </c>
      <c r="C176" s="16">
        <v>1.9123853278234801E-4</v>
      </c>
      <c r="D176">
        <f t="shared" si="20"/>
        <v>0.40407172068647879</v>
      </c>
      <c r="F176">
        <v>1.2333999999999999E-2</v>
      </c>
      <c r="G176">
        <v>2112.92</v>
      </c>
      <c r="H176" s="16">
        <v>0</v>
      </c>
      <c r="I176">
        <f t="shared" si="21"/>
        <v>0</v>
      </c>
      <c r="K176">
        <v>1.2333999999999999E-2</v>
      </c>
      <c r="L176">
        <v>2112.92</v>
      </c>
      <c r="M176" s="16">
        <v>0</v>
      </c>
      <c r="N176">
        <f t="shared" si="22"/>
        <v>0</v>
      </c>
      <c r="P176">
        <v>1.2333999999999999E-2</v>
      </c>
      <c r="Q176">
        <v>2112.92</v>
      </c>
      <c r="R176" s="16">
        <v>0</v>
      </c>
      <c r="S176">
        <f t="shared" si="23"/>
        <v>0</v>
      </c>
      <c r="U176">
        <v>1.2333999999999999E-2</v>
      </c>
      <c r="V176">
        <v>2112.92</v>
      </c>
      <c r="W176" s="16">
        <v>0</v>
      </c>
      <c r="X176">
        <f t="shared" si="24"/>
        <v>0</v>
      </c>
      <c r="Z176">
        <v>1.2333999999999999E-2</v>
      </c>
      <c r="AA176">
        <v>2112.92</v>
      </c>
      <c r="AB176" s="16">
        <v>0</v>
      </c>
      <c r="AC176">
        <f t="shared" si="25"/>
        <v>0</v>
      </c>
      <c r="AE176">
        <v>1.2333999999999999E-2</v>
      </c>
      <c r="AF176">
        <v>2112.92</v>
      </c>
      <c r="AG176" s="16">
        <v>0</v>
      </c>
      <c r="AH176">
        <f t="shared" si="26"/>
        <v>0</v>
      </c>
      <c r="AJ176">
        <v>1.2333999999999999E-2</v>
      </c>
      <c r="AK176">
        <v>2112.92</v>
      </c>
      <c r="AL176" s="17">
        <v>4.57356651531955E-7</v>
      </c>
      <c r="AM176">
        <f t="shared" si="27"/>
        <v>9.6635801615489833E-4</v>
      </c>
      <c r="AO176">
        <v>1.2333999999999999E-2</v>
      </c>
      <c r="AP176">
        <v>2112.92</v>
      </c>
      <c r="AQ176" s="17">
        <v>2.5898170678198299E-7</v>
      </c>
      <c r="AR176">
        <f t="shared" si="28"/>
        <v>5.4720762789378749E-4</v>
      </c>
      <c r="AT176">
        <v>1.2333999999999999E-2</v>
      </c>
      <c r="AU176">
        <v>2112.92</v>
      </c>
      <c r="AV176" s="16">
        <v>0</v>
      </c>
      <c r="AW176">
        <f t="shared" si="29"/>
        <v>0</v>
      </c>
    </row>
    <row r="177" spans="1:49" x14ac:dyDescent="0.3">
      <c r="A177">
        <v>1.392E-2</v>
      </c>
      <c r="B177">
        <v>2003.99</v>
      </c>
      <c r="C177" s="16">
        <v>1.7818052100483601E-4</v>
      </c>
      <c r="D177">
        <f t="shared" si="20"/>
        <v>0.3570719822884813</v>
      </c>
      <c r="F177">
        <v>1.392E-2</v>
      </c>
      <c r="G177">
        <v>2003.99</v>
      </c>
      <c r="H177" s="16">
        <v>0</v>
      </c>
      <c r="I177">
        <f t="shared" si="21"/>
        <v>0</v>
      </c>
      <c r="K177">
        <v>1.392E-2</v>
      </c>
      <c r="L177">
        <v>2003.99</v>
      </c>
      <c r="M177" s="16">
        <v>0</v>
      </c>
      <c r="N177">
        <f t="shared" si="22"/>
        <v>0</v>
      </c>
      <c r="P177">
        <v>1.392E-2</v>
      </c>
      <c r="Q177">
        <v>2003.99</v>
      </c>
      <c r="R177" s="16">
        <v>0</v>
      </c>
      <c r="S177">
        <f t="shared" si="23"/>
        <v>0</v>
      </c>
      <c r="U177">
        <v>1.392E-2</v>
      </c>
      <c r="V177">
        <v>2003.99</v>
      </c>
      <c r="W177" s="16">
        <v>0</v>
      </c>
      <c r="X177">
        <f t="shared" si="24"/>
        <v>0</v>
      </c>
      <c r="Z177">
        <v>1.392E-2</v>
      </c>
      <c r="AA177">
        <v>2003.99</v>
      </c>
      <c r="AB177" s="16">
        <v>0</v>
      </c>
      <c r="AC177">
        <f t="shared" si="25"/>
        <v>0</v>
      </c>
      <c r="AE177">
        <v>1.392E-2</v>
      </c>
      <c r="AF177">
        <v>2003.99</v>
      </c>
      <c r="AG177" s="16">
        <v>0</v>
      </c>
      <c r="AH177">
        <f t="shared" si="26"/>
        <v>0</v>
      </c>
      <c r="AJ177">
        <v>1.392E-2</v>
      </c>
      <c r="AK177">
        <v>2003.99</v>
      </c>
      <c r="AL177" s="17">
        <v>3.2577469358777402E-7</v>
      </c>
      <c r="AM177">
        <f t="shared" si="27"/>
        <v>6.528492282029633E-4</v>
      </c>
      <c r="AO177">
        <v>1.392E-2</v>
      </c>
      <c r="AP177">
        <v>2003.99</v>
      </c>
      <c r="AQ177" s="17">
        <v>3.5186614274546901E-7</v>
      </c>
      <c r="AR177">
        <f t="shared" si="28"/>
        <v>7.0513623140049239E-4</v>
      </c>
      <c r="AT177">
        <v>1.392E-2</v>
      </c>
      <c r="AU177">
        <v>2003.99</v>
      </c>
      <c r="AV177" s="16">
        <v>0</v>
      </c>
      <c r="AW177">
        <f t="shared" si="29"/>
        <v>0</v>
      </c>
    </row>
    <row r="178" spans="1:49" x14ac:dyDescent="0.3">
      <c r="A178">
        <v>1.5709999999999998E-2</v>
      </c>
      <c r="B178">
        <v>2125.92</v>
      </c>
      <c r="C178" s="16">
        <v>1.63035255083824E-4</v>
      </c>
      <c r="D178">
        <f t="shared" si="20"/>
        <v>0.34659990948780312</v>
      </c>
      <c r="F178">
        <v>1.5709999999999998E-2</v>
      </c>
      <c r="G178">
        <v>2125.92</v>
      </c>
      <c r="H178" s="16">
        <v>0</v>
      </c>
      <c r="I178">
        <f t="shared" si="21"/>
        <v>0</v>
      </c>
      <c r="K178">
        <v>1.5709999999999998E-2</v>
      </c>
      <c r="L178">
        <v>2125.92</v>
      </c>
      <c r="M178" s="16">
        <v>0</v>
      </c>
      <c r="N178">
        <f t="shared" si="22"/>
        <v>0</v>
      </c>
      <c r="P178">
        <v>1.5709999999999998E-2</v>
      </c>
      <c r="Q178">
        <v>2125.92</v>
      </c>
      <c r="R178" s="16">
        <v>0</v>
      </c>
      <c r="S178">
        <f t="shared" si="23"/>
        <v>0</v>
      </c>
      <c r="U178">
        <v>1.5709999999999998E-2</v>
      </c>
      <c r="V178">
        <v>2125.92</v>
      </c>
      <c r="W178" s="16">
        <v>0</v>
      </c>
      <c r="X178">
        <f t="shared" si="24"/>
        <v>0</v>
      </c>
      <c r="Z178">
        <v>1.5709999999999998E-2</v>
      </c>
      <c r="AA178">
        <v>2125.92</v>
      </c>
      <c r="AB178" s="16">
        <v>0</v>
      </c>
      <c r="AC178">
        <f t="shared" si="25"/>
        <v>0</v>
      </c>
      <c r="AE178">
        <v>1.5709999999999998E-2</v>
      </c>
      <c r="AF178">
        <v>2125.92</v>
      </c>
      <c r="AG178" s="16">
        <v>0</v>
      </c>
      <c r="AH178">
        <f t="shared" si="26"/>
        <v>0</v>
      </c>
      <c r="AJ178">
        <v>1.5709999999999998E-2</v>
      </c>
      <c r="AK178">
        <v>2125.92</v>
      </c>
      <c r="AL178" s="17">
        <v>2.3455728928578401E-7</v>
      </c>
      <c r="AM178">
        <f t="shared" si="27"/>
        <v>4.98650032438434E-4</v>
      </c>
      <c r="AO178">
        <v>1.5709999999999998E-2</v>
      </c>
      <c r="AP178">
        <v>2125.92</v>
      </c>
      <c r="AQ178" s="17">
        <v>1.82124019523976E-7</v>
      </c>
      <c r="AR178">
        <f t="shared" si="28"/>
        <v>3.8718109558641108E-4</v>
      </c>
      <c r="AT178">
        <v>1.5709999999999998E-2</v>
      </c>
      <c r="AU178">
        <v>2125.92</v>
      </c>
      <c r="AV178" s="16">
        <v>0</v>
      </c>
      <c r="AW178">
        <f t="shared" si="29"/>
        <v>0</v>
      </c>
    </row>
    <row r="179" spans="1:49" x14ac:dyDescent="0.3">
      <c r="A179">
        <v>1.7731E-2</v>
      </c>
      <c r="B179">
        <v>2157.98</v>
      </c>
      <c r="C179" s="16">
        <v>1.4845606219616699E-4</v>
      </c>
      <c r="D179">
        <f t="shared" si="20"/>
        <v>0.32036521309808447</v>
      </c>
      <c r="F179">
        <v>1.7731E-2</v>
      </c>
      <c r="G179">
        <v>2157.98</v>
      </c>
      <c r="H179" s="16">
        <v>0</v>
      </c>
      <c r="I179">
        <f t="shared" si="21"/>
        <v>0</v>
      </c>
      <c r="K179">
        <v>1.7731E-2</v>
      </c>
      <c r="L179">
        <v>2157.98</v>
      </c>
      <c r="M179" s="16">
        <v>0</v>
      </c>
      <c r="N179">
        <f t="shared" si="22"/>
        <v>0</v>
      </c>
      <c r="P179">
        <v>1.7731E-2</v>
      </c>
      <c r="Q179">
        <v>2157.98</v>
      </c>
      <c r="R179" s="16">
        <v>0</v>
      </c>
      <c r="S179">
        <f t="shared" si="23"/>
        <v>0</v>
      </c>
      <c r="U179">
        <v>1.7731E-2</v>
      </c>
      <c r="V179">
        <v>2157.98</v>
      </c>
      <c r="W179" s="16">
        <v>0</v>
      </c>
      <c r="X179">
        <f t="shared" si="24"/>
        <v>0</v>
      </c>
      <c r="Z179">
        <v>1.7731E-2</v>
      </c>
      <c r="AA179">
        <v>2157.98</v>
      </c>
      <c r="AB179" s="16">
        <v>0</v>
      </c>
      <c r="AC179">
        <f t="shared" si="25"/>
        <v>0</v>
      </c>
      <c r="AE179">
        <v>1.7731E-2</v>
      </c>
      <c r="AF179">
        <v>2157.98</v>
      </c>
      <c r="AG179" s="16">
        <v>0</v>
      </c>
      <c r="AH179">
        <f t="shared" si="26"/>
        <v>0</v>
      </c>
      <c r="AJ179">
        <v>1.7731E-2</v>
      </c>
      <c r="AK179">
        <v>2157.98</v>
      </c>
      <c r="AL179" s="17">
        <v>1.81036103259923E-7</v>
      </c>
      <c r="AM179">
        <f t="shared" si="27"/>
        <v>3.9067229011284862E-4</v>
      </c>
      <c r="AO179">
        <v>1.7731E-2</v>
      </c>
      <c r="AP179">
        <v>2157.98</v>
      </c>
      <c r="AQ179" s="17">
        <v>6.4025396513565102E-8</v>
      </c>
      <c r="AR179">
        <f t="shared" si="28"/>
        <v>1.3816552516834321E-4</v>
      </c>
      <c r="AT179">
        <v>1.7731E-2</v>
      </c>
      <c r="AU179">
        <v>2157.98</v>
      </c>
      <c r="AV179" s="16">
        <v>0</v>
      </c>
      <c r="AW179">
        <f t="shared" si="29"/>
        <v>0</v>
      </c>
    </row>
    <row r="180" spans="1:49" x14ac:dyDescent="0.3">
      <c r="A180">
        <v>2.0011999999999999E-2</v>
      </c>
      <c r="B180">
        <v>2505.9899999999998</v>
      </c>
      <c r="C180" s="16">
        <v>1.3369126838950999E-4</v>
      </c>
      <c r="D180">
        <f t="shared" si="20"/>
        <v>0.33502898167142808</v>
      </c>
      <c r="F180">
        <v>2.0011999999999999E-2</v>
      </c>
      <c r="G180">
        <v>2505.9899999999998</v>
      </c>
      <c r="H180" s="16">
        <v>0</v>
      </c>
      <c r="I180">
        <f t="shared" si="21"/>
        <v>0</v>
      </c>
      <c r="K180">
        <v>2.0011999999999999E-2</v>
      </c>
      <c r="L180">
        <v>2505.9899999999998</v>
      </c>
      <c r="M180" s="16">
        <v>0</v>
      </c>
      <c r="N180">
        <f t="shared" si="22"/>
        <v>0</v>
      </c>
      <c r="P180">
        <v>2.0011999999999999E-2</v>
      </c>
      <c r="Q180">
        <v>2505.9899999999998</v>
      </c>
      <c r="R180" s="16">
        <v>0</v>
      </c>
      <c r="S180">
        <f t="shared" si="23"/>
        <v>0</v>
      </c>
      <c r="U180">
        <v>2.0011999999999999E-2</v>
      </c>
      <c r="V180">
        <v>2505.9899999999998</v>
      </c>
      <c r="W180" s="16">
        <v>0</v>
      </c>
      <c r="X180">
        <f t="shared" si="24"/>
        <v>0</v>
      </c>
      <c r="Z180">
        <v>2.0011999999999999E-2</v>
      </c>
      <c r="AA180">
        <v>2505.9899999999998</v>
      </c>
      <c r="AB180" s="16">
        <v>0</v>
      </c>
      <c r="AC180">
        <f t="shared" si="25"/>
        <v>0</v>
      </c>
      <c r="AE180">
        <v>2.0011999999999999E-2</v>
      </c>
      <c r="AF180">
        <v>2505.9899999999998</v>
      </c>
      <c r="AG180" s="16">
        <v>0</v>
      </c>
      <c r="AH180">
        <f t="shared" si="26"/>
        <v>0</v>
      </c>
      <c r="AJ180">
        <v>2.0011999999999999E-2</v>
      </c>
      <c r="AK180">
        <v>2505.9899999999998</v>
      </c>
      <c r="AL180" s="17">
        <v>1.4666777711193301E-7</v>
      </c>
      <c r="AM180">
        <f t="shared" si="27"/>
        <v>3.6754798276473295E-4</v>
      </c>
      <c r="AO180">
        <v>2.0011999999999999E-2</v>
      </c>
      <c r="AP180">
        <v>2505.9899999999998</v>
      </c>
      <c r="AQ180" s="17">
        <v>2.2185886529260601E-7</v>
      </c>
      <c r="AR180">
        <f t="shared" si="28"/>
        <v>5.559760978346177E-4</v>
      </c>
      <c r="AT180">
        <v>2.0011999999999999E-2</v>
      </c>
      <c r="AU180">
        <v>2505.9899999999998</v>
      </c>
      <c r="AV180" s="16">
        <v>0</v>
      </c>
      <c r="AW180">
        <f t="shared" si="29"/>
        <v>0</v>
      </c>
    </row>
    <row r="181" spans="1:49" x14ac:dyDescent="0.3">
      <c r="A181">
        <v>2.2585999999999998E-2</v>
      </c>
      <c r="B181">
        <v>2325.58</v>
      </c>
      <c r="C181" s="16">
        <v>1.2184442404213101E-4</v>
      </c>
      <c r="D181">
        <f t="shared" si="20"/>
        <v>0.28335895566389901</v>
      </c>
      <c r="F181">
        <v>2.2585999999999998E-2</v>
      </c>
      <c r="G181">
        <v>2325.58</v>
      </c>
      <c r="H181" s="16">
        <v>0</v>
      </c>
      <c r="I181">
        <f t="shared" si="21"/>
        <v>0</v>
      </c>
      <c r="K181">
        <v>2.2585999999999998E-2</v>
      </c>
      <c r="L181">
        <v>2325.58</v>
      </c>
      <c r="M181" s="16">
        <v>0</v>
      </c>
      <c r="N181">
        <f t="shared" si="22"/>
        <v>0</v>
      </c>
      <c r="P181">
        <v>2.2585999999999998E-2</v>
      </c>
      <c r="Q181">
        <v>2325.58</v>
      </c>
      <c r="R181" s="16">
        <v>0</v>
      </c>
      <c r="S181">
        <f t="shared" si="23"/>
        <v>0</v>
      </c>
      <c r="U181">
        <v>2.2585999999999998E-2</v>
      </c>
      <c r="V181">
        <v>2325.58</v>
      </c>
      <c r="W181" s="16">
        <v>0</v>
      </c>
      <c r="X181">
        <f t="shared" si="24"/>
        <v>0</v>
      </c>
      <c r="Z181">
        <v>2.2585999999999998E-2</v>
      </c>
      <c r="AA181">
        <v>2325.58</v>
      </c>
      <c r="AB181" s="16">
        <v>0</v>
      </c>
      <c r="AC181">
        <f t="shared" si="25"/>
        <v>0</v>
      </c>
      <c r="AE181">
        <v>2.2585999999999998E-2</v>
      </c>
      <c r="AF181">
        <v>2325.58</v>
      </c>
      <c r="AG181" s="16">
        <v>0</v>
      </c>
      <c r="AH181">
        <f t="shared" si="26"/>
        <v>0</v>
      </c>
      <c r="AJ181">
        <v>2.2585999999999998E-2</v>
      </c>
      <c r="AK181">
        <v>2325.58</v>
      </c>
      <c r="AL181" s="17">
        <v>1.2380338501917601E-7</v>
      </c>
      <c r="AM181">
        <f t="shared" si="27"/>
        <v>2.8791467613289534E-4</v>
      </c>
      <c r="AO181">
        <v>2.2585999999999998E-2</v>
      </c>
      <c r="AP181">
        <v>2325.58</v>
      </c>
      <c r="AQ181" s="17">
        <v>1.67239536136642E-7</v>
      </c>
      <c r="AR181">
        <f t="shared" si="28"/>
        <v>3.889289204486519E-4</v>
      </c>
      <c r="AT181">
        <v>2.2585999999999998E-2</v>
      </c>
      <c r="AU181">
        <v>2325.58</v>
      </c>
      <c r="AV181" s="16">
        <v>0</v>
      </c>
      <c r="AW181">
        <f t="shared" si="29"/>
        <v>0</v>
      </c>
    </row>
    <row r="182" spans="1:49" x14ac:dyDescent="0.3">
      <c r="A182">
        <v>2.5491E-2</v>
      </c>
      <c r="B182">
        <v>2689.4</v>
      </c>
      <c r="C182" s="16">
        <v>1.14227960651578E-4</v>
      </c>
      <c r="D182">
        <f t="shared" si="20"/>
        <v>0.30720467737635387</v>
      </c>
      <c r="F182">
        <v>2.5491E-2</v>
      </c>
      <c r="G182">
        <v>2689.4</v>
      </c>
      <c r="H182" s="16">
        <v>0</v>
      </c>
      <c r="I182">
        <f t="shared" si="21"/>
        <v>0</v>
      </c>
      <c r="K182">
        <v>2.5491E-2</v>
      </c>
      <c r="L182">
        <v>2689.4</v>
      </c>
      <c r="M182" s="16">
        <v>0</v>
      </c>
      <c r="N182">
        <f t="shared" si="22"/>
        <v>0</v>
      </c>
      <c r="P182">
        <v>2.5491E-2</v>
      </c>
      <c r="Q182">
        <v>2689.4</v>
      </c>
      <c r="R182" s="16">
        <v>0</v>
      </c>
      <c r="S182">
        <f t="shared" si="23"/>
        <v>0</v>
      </c>
      <c r="U182">
        <v>2.5491E-2</v>
      </c>
      <c r="V182">
        <v>2689.4</v>
      </c>
      <c r="W182" s="16">
        <v>0</v>
      </c>
      <c r="X182">
        <f t="shared" si="24"/>
        <v>0</v>
      </c>
      <c r="Z182">
        <v>2.5491E-2</v>
      </c>
      <c r="AA182">
        <v>2689.4</v>
      </c>
      <c r="AB182" s="16">
        <v>0</v>
      </c>
      <c r="AC182">
        <f t="shared" si="25"/>
        <v>0</v>
      </c>
      <c r="AE182">
        <v>2.5491E-2</v>
      </c>
      <c r="AF182">
        <v>2689.4</v>
      </c>
      <c r="AG182" s="16">
        <v>0</v>
      </c>
      <c r="AH182">
        <f t="shared" si="26"/>
        <v>0</v>
      </c>
      <c r="AJ182">
        <v>2.5491E-2</v>
      </c>
      <c r="AK182">
        <v>2689.4</v>
      </c>
      <c r="AL182" s="17">
        <v>1.07960618565056E-7</v>
      </c>
      <c r="AM182">
        <f t="shared" si="27"/>
        <v>2.9034928756886159E-4</v>
      </c>
      <c r="AO182">
        <v>2.5491E-2</v>
      </c>
      <c r="AP182">
        <v>2689.4</v>
      </c>
      <c r="AQ182" s="17">
        <v>4.7313117659902202E-8</v>
      </c>
      <c r="AR182">
        <f t="shared" si="28"/>
        <v>1.2724389863454099E-4</v>
      </c>
      <c r="AT182">
        <v>2.5491E-2</v>
      </c>
      <c r="AU182">
        <v>2689.4</v>
      </c>
      <c r="AV182" s="16">
        <v>0</v>
      </c>
      <c r="AW182">
        <f t="shared" si="29"/>
        <v>0</v>
      </c>
    </row>
    <row r="183" spans="1:49" x14ac:dyDescent="0.3">
      <c r="A183">
        <v>2.877E-2</v>
      </c>
      <c r="B183">
        <v>2573.5</v>
      </c>
      <c r="C183" s="16">
        <v>1.09452532003931E-4</v>
      </c>
      <c r="D183">
        <f t="shared" si="20"/>
        <v>0.28167609111211644</v>
      </c>
      <c r="F183">
        <v>2.877E-2</v>
      </c>
      <c r="G183">
        <v>2573.5</v>
      </c>
      <c r="H183" s="16">
        <v>0</v>
      </c>
      <c r="I183">
        <f t="shared" si="21"/>
        <v>0</v>
      </c>
      <c r="K183">
        <v>2.877E-2</v>
      </c>
      <c r="L183">
        <v>2573.5</v>
      </c>
      <c r="M183" s="16">
        <v>0</v>
      </c>
      <c r="N183">
        <f t="shared" si="22"/>
        <v>0</v>
      </c>
      <c r="P183">
        <v>2.877E-2</v>
      </c>
      <c r="Q183">
        <v>2573.5</v>
      </c>
      <c r="R183" s="16">
        <v>0</v>
      </c>
      <c r="S183">
        <f t="shared" si="23"/>
        <v>0</v>
      </c>
      <c r="U183">
        <v>2.877E-2</v>
      </c>
      <c r="V183">
        <v>2573.5</v>
      </c>
      <c r="W183" s="16">
        <v>0</v>
      </c>
      <c r="X183">
        <f t="shared" si="24"/>
        <v>0</v>
      </c>
      <c r="Z183">
        <v>2.877E-2</v>
      </c>
      <c r="AA183">
        <v>2573.5</v>
      </c>
      <c r="AB183" s="16">
        <v>0</v>
      </c>
      <c r="AC183">
        <f t="shared" si="25"/>
        <v>0</v>
      </c>
      <c r="AE183">
        <v>2.877E-2</v>
      </c>
      <c r="AF183">
        <v>2573.5</v>
      </c>
      <c r="AG183" s="16">
        <v>0</v>
      </c>
      <c r="AH183">
        <f t="shared" si="26"/>
        <v>0</v>
      </c>
      <c r="AJ183">
        <v>2.877E-2</v>
      </c>
      <c r="AK183">
        <v>2573.5</v>
      </c>
      <c r="AL183" s="17">
        <v>1.02212069966896E-7</v>
      </c>
      <c r="AM183">
        <f t="shared" si="27"/>
        <v>2.6304276205980687E-4</v>
      </c>
      <c r="AO183">
        <v>2.877E-2</v>
      </c>
      <c r="AP183">
        <v>2573.5</v>
      </c>
      <c r="AQ183" s="17">
        <v>1.90215121323692E-7</v>
      </c>
      <c r="AR183">
        <f t="shared" si="28"/>
        <v>4.8951861472652141E-4</v>
      </c>
      <c r="AT183">
        <v>2.877E-2</v>
      </c>
      <c r="AU183">
        <v>2573.5</v>
      </c>
      <c r="AV183" s="16">
        <v>0</v>
      </c>
      <c r="AW183">
        <f t="shared" si="29"/>
        <v>0</v>
      </c>
    </row>
    <row r="184" spans="1:49" x14ac:dyDescent="0.3">
      <c r="A184">
        <v>3.2469999999999999E-2</v>
      </c>
      <c r="B184">
        <v>2457.9899999999998</v>
      </c>
      <c r="C184" s="16">
        <v>1.04121060767367E-4</v>
      </c>
      <c r="D184">
        <f t="shared" si="20"/>
        <v>0.25592852615558037</v>
      </c>
      <c r="F184">
        <v>3.2469999999999999E-2</v>
      </c>
      <c r="G184">
        <v>2457.9899999999998</v>
      </c>
      <c r="H184" s="16">
        <v>0</v>
      </c>
      <c r="I184">
        <f t="shared" si="21"/>
        <v>0</v>
      </c>
      <c r="K184">
        <v>3.2469999999999999E-2</v>
      </c>
      <c r="L184">
        <v>2457.9899999999998</v>
      </c>
      <c r="M184" s="16">
        <v>0</v>
      </c>
      <c r="N184">
        <f t="shared" si="22"/>
        <v>0</v>
      </c>
      <c r="P184">
        <v>3.2469999999999999E-2</v>
      </c>
      <c r="Q184">
        <v>2457.9899999999998</v>
      </c>
      <c r="R184" s="16">
        <v>0</v>
      </c>
      <c r="S184">
        <f t="shared" si="23"/>
        <v>0</v>
      </c>
      <c r="U184">
        <v>3.2469999999999999E-2</v>
      </c>
      <c r="V184">
        <v>2457.9899999999998</v>
      </c>
      <c r="W184" s="16">
        <v>0</v>
      </c>
      <c r="X184">
        <f t="shared" si="24"/>
        <v>0</v>
      </c>
      <c r="Z184">
        <v>3.2469999999999999E-2</v>
      </c>
      <c r="AA184">
        <v>2457.9899999999998</v>
      </c>
      <c r="AB184" s="16">
        <v>0</v>
      </c>
      <c r="AC184">
        <f t="shared" si="25"/>
        <v>0</v>
      </c>
      <c r="AE184">
        <v>3.2469999999999999E-2</v>
      </c>
      <c r="AF184">
        <v>2457.9899999999998</v>
      </c>
      <c r="AG184" s="16">
        <v>0</v>
      </c>
      <c r="AH184">
        <f t="shared" si="26"/>
        <v>0</v>
      </c>
      <c r="AJ184">
        <v>3.2469999999999999E-2</v>
      </c>
      <c r="AK184">
        <v>2457.9899999999998</v>
      </c>
      <c r="AL184" s="17">
        <v>1.12620709818283E-7</v>
      </c>
      <c r="AM184">
        <f t="shared" si="27"/>
        <v>2.7682057852624139E-4</v>
      </c>
      <c r="AO184">
        <v>3.2469999999999999E-2</v>
      </c>
      <c r="AP184">
        <v>2457.9899999999998</v>
      </c>
      <c r="AQ184" s="17">
        <v>1.25496184082113E-7</v>
      </c>
      <c r="AR184">
        <f t="shared" si="28"/>
        <v>3.0846836551199291E-4</v>
      </c>
      <c r="AT184">
        <v>3.2469999999999999E-2</v>
      </c>
      <c r="AU184">
        <v>2457.9899999999998</v>
      </c>
      <c r="AV184" s="16">
        <v>0</v>
      </c>
      <c r="AW184">
        <f t="shared" si="29"/>
        <v>0</v>
      </c>
    </row>
    <row r="185" spans="1:49" x14ac:dyDescent="0.3">
      <c r="A185">
        <v>3.6646999999999999E-2</v>
      </c>
      <c r="B185">
        <v>2274.4299999999998</v>
      </c>
      <c r="C185" s="17">
        <v>9.6702840435426002E-5</v>
      </c>
      <c r="D185">
        <f t="shared" si="20"/>
        <v>0.21994384137154593</v>
      </c>
      <c r="F185">
        <v>3.6646999999999999E-2</v>
      </c>
      <c r="G185">
        <v>2274.4299999999998</v>
      </c>
      <c r="H185" s="16">
        <v>0</v>
      </c>
      <c r="I185">
        <f t="shared" si="21"/>
        <v>0</v>
      </c>
      <c r="K185">
        <v>3.6646999999999999E-2</v>
      </c>
      <c r="L185">
        <v>2274.4299999999998</v>
      </c>
      <c r="M185" s="16">
        <v>0</v>
      </c>
      <c r="N185">
        <f t="shared" si="22"/>
        <v>0</v>
      </c>
      <c r="P185">
        <v>3.6646999999999999E-2</v>
      </c>
      <c r="Q185">
        <v>2274.4299999999998</v>
      </c>
      <c r="R185" s="16">
        <v>0</v>
      </c>
      <c r="S185">
        <f t="shared" si="23"/>
        <v>0</v>
      </c>
      <c r="U185">
        <v>3.6646999999999999E-2</v>
      </c>
      <c r="V185">
        <v>2274.4299999999998</v>
      </c>
      <c r="W185" s="16">
        <v>0</v>
      </c>
      <c r="X185">
        <f t="shared" si="24"/>
        <v>0</v>
      </c>
      <c r="Z185">
        <v>3.6646999999999999E-2</v>
      </c>
      <c r="AA185">
        <v>2274.4299999999998</v>
      </c>
      <c r="AB185" s="16">
        <v>0</v>
      </c>
      <c r="AC185">
        <f t="shared" si="25"/>
        <v>0</v>
      </c>
      <c r="AE185">
        <v>3.6646999999999999E-2</v>
      </c>
      <c r="AF185">
        <v>2274.4299999999998</v>
      </c>
      <c r="AG185" s="16">
        <v>0</v>
      </c>
      <c r="AH185">
        <f t="shared" si="26"/>
        <v>0</v>
      </c>
      <c r="AJ185">
        <v>3.6646999999999999E-2</v>
      </c>
      <c r="AK185">
        <v>2274.4299999999998</v>
      </c>
      <c r="AL185" s="16">
        <v>6.68423678244754E-4</v>
      </c>
      <c r="AM185">
        <f t="shared" si="27"/>
        <v>1.5202828665102157</v>
      </c>
      <c r="AO185">
        <v>3.6646999999999999E-2</v>
      </c>
      <c r="AP185">
        <v>2274.4299999999998</v>
      </c>
      <c r="AQ185" s="17">
        <v>1.10626487593055E-7</v>
      </c>
      <c r="AR185">
        <f t="shared" si="28"/>
        <v>2.5161220217627205E-4</v>
      </c>
      <c r="AT185">
        <v>3.6646999999999999E-2</v>
      </c>
      <c r="AU185">
        <v>2274.4299999999998</v>
      </c>
      <c r="AV185" s="16">
        <v>0</v>
      </c>
      <c r="AW185">
        <f t="shared" si="29"/>
        <v>0</v>
      </c>
    </row>
    <row r="186" spans="1:49" x14ac:dyDescent="0.3">
      <c r="A186">
        <v>4.1360000000000001E-2</v>
      </c>
      <c r="B186">
        <v>2699.78</v>
      </c>
      <c r="C186" s="17">
        <v>9.0085389049373503E-5</v>
      </c>
      <c r="D186">
        <f t="shared" si="20"/>
        <v>0.24321073164771762</v>
      </c>
      <c r="F186">
        <v>4.1360000000000001E-2</v>
      </c>
      <c r="G186">
        <v>2699.78</v>
      </c>
      <c r="H186" s="16">
        <v>0</v>
      </c>
      <c r="I186">
        <f t="shared" si="21"/>
        <v>0</v>
      </c>
      <c r="K186">
        <v>4.1360000000000001E-2</v>
      </c>
      <c r="L186">
        <v>2699.78</v>
      </c>
      <c r="M186" s="16">
        <v>0</v>
      </c>
      <c r="N186">
        <f t="shared" si="22"/>
        <v>0</v>
      </c>
      <c r="P186">
        <v>4.1360000000000001E-2</v>
      </c>
      <c r="Q186">
        <v>2699.78</v>
      </c>
      <c r="R186" s="16">
        <v>0</v>
      </c>
      <c r="S186">
        <f t="shared" si="23"/>
        <v>0</v>
      </c>
      <c r="U186">
        <v>4.1360000000000001E-2</v>
      </c>
      <c r="V186">
        <v>2699.78</v>
      </c>
      <c r="W186" s="16">
        <v>0</v>
      </c>
      <c r="X186">
        <f t="shared" si="24"/>
        <v>0</v>
      </c>
      <c r="Z186">
        <v>4.1360000000000001E-2</v>
      </c>
      <c r="AA186">
        <v>2699.78</v>
      </c>
      <c r="AB186" s="16">
        <v>0</v>
      </c>
      <c r="AC186">
        <f t="shared" si="25"/>
        <v>0</v>
      </c>
      <c r="AE186">
        <v>4.1360000000000001E-2</v>
      </c>
      <c r="AF186">
        <v>2699.78</v>
      </c>
      <c r="AG186" s="16">
        <v>0</v>
      </c>
      <c r="AH186">
        <f t="shared" si="26"/>
        <v>0</v>
      </c>
      <c r="AJ186">
        <v>4.1360000000000001E-2</v>
      </c>
      <c r="AK186">
        <v>2699.78</v>
      </c>
      <c r="AL186" s="17">
        <v>1.9740234276106199E-7</v>
      </c>
      <c r="AM186">
        <f t="shared" si="27"/>
        <v>5.3294289693946E-4</v>
      </c>
      <c r="AO186">
        <v>4.1360000000000001E-2</v>
      </c>
      <c r="AP186">
        <v>2699.78</v>
      </c>
      <c r="AQ186" s="17">
        <v>6.7713014429795294E-8</v>
      </c>
      <c r="AR186">
        <f t="shared" si="28"/>
        <v>1.8281024209727275E-4</v>
      </c>
      <c r="AT186">
        <v>4.1360000000000001E-2</v>
      </c>
      <c r="AU186">
        <v>2699.78</v>
      </c>
      <c r="AV186" s="16">
        <v>0</v>
      </c>
      <c r="AW186">
        <f t="shared" si="29"/>
        <v>0</v>
      </c>
    </row>
    <row r="187" spans="1:49" x14ac:dyDescent="0.3">
      <c r="A187">
        <v>4.6679999999999999E-2</v>
      </c>
      <c r="B187">
        <v>2588.4299999999998</v>
      </c>
      <c r="C187" s="17">
        <v>8.3787894836606996E-5</v>
      </c>
      <c r="D187">
        <f t="shared" si="20"/>
        <v>0.21687910063191865</v>
      </c>
      <c r="F187">
        <v>4.6679999999999999E-2</v>
      </c>
      <c r="G187">
        <v>2588.4299999999998</v>
      </c>
      <c r="H187" s="16">
        <v>0</v>
      </c>
      <c r="I187">
        <f t="shared" si="21"/>
        <v>0</v>
      </c>
      <c r="K187">
        <v>4.6679999999999999E-2</v>
      </c>
      <c r="L187">
        <v>2588.4299999999998</v>
      </c>
      <c r="M187" s="16">
        <v>0</v>
      </c>
      <c r="N187">
        <f t="shared" si="22"/>
        <v>0</v>
      </c>
      <c r="P187">
        <v>4.6679999999999999E-2</v>
      </c>
      <c r="Q187">
        <v>2588.4299999999998</v>
      </c>
      <c r="R187" s="16">
        <v>0</v>
      </c>
      <c r="S187">
        <f t="shared" si="23"/>
        <v>0</v>
      </c>
      <c r="U187">
        <v>4.6679999999999999E-2</v>
      </c>
      <c r="V187">
        <v>2588.4299999999998</v>
      </c>
      <c r="W187" s="16">
        <v>0</v>
      </c>
      <c r="X187">
        <f t="shared" si="24"/>
        <v>0</v>
      </c>
      <c r="Z187">
        <v>4.6679999999999999E-2</v>
      </c>
      <c r="AA187">
        <v>2588.4299999999998</v>
      </c>
      <c r="AB187" s="16">
        <v>0</v>
      </c>
      <c r="AC187">
        <f t="shared" si="25"/>
        <v>0</v>
      </c>
      <c r="AE187">
        <v>4.6679999999999999E-2</v>
      </c>
      <c r="AF187">
        <v>2588.4299999999998</v>
      </c>
      <c r="AG187" s="16">
        <v>0</v>
      </c>
      <c r="AH187">
        <f t="shared" si="26"/>
        <v>0</v>
      </c>
      <c r="AJ187">
        <v>4.6679999999999999E-2</v>
      </c>
      <c r="AK187">
        <v>2588.4299999999998</v>
      </c>
      <c r="AL187" s="17">
        <v>4.6018117062575702E-7</v>
      </c>
      <c r="AM187">
        <f t="shared" si="27"/>
        <v>1.1911467474828282E-3</v>
      </c>
      <c r="AO187">
        <v>4.6679999999999999E-2</v>
      </c>
      <c r="AP187">
        <v>2588.4299999999998</v>
      </c>
      <c r="AQ187" s="17">
        <v>6.21819001312724E-8</v>
      </c>
      <c r="AR187">
        <f t="shared" si="28"/>
        <v>1.6095349575678941E-4</v>
      </c>
      <c r="AT187">
        <v>4.6679999999999999E-2</v>
      </c>
      <c r="AU187">
        <v>2588.4299999999998</v>
      </c>
      <c r="AV187" s="16">
        <v>0</v>
      </c>
      <c r="AW187">
        <f t="shared" si="29"/>
        <v>0</v>
      </c>
    </row>
    <row r="188" spans="1:49" x14ac:dyDescent="0.3">
      <c r="A188">
        <v>5.2684000000000002E-2</v>
      </c>
      <c r="B188">
        <v>3088.74</v>
      </c>
      <c r="C188" s="17">
        <v>7.9095524009668801E-5</v>
      </c>
      <c r="D188">
        <f t="shared" si="20"/>
        <v>0.2443055088296244</v>
      </c>
      <c r="F188">
        <v>5.2684000000000002E-2</v>
      </c>
      <c r="G188">
        <v>3088.74</v>
      </c>
      <c r="H188" s="16">
        <v>0</v>
      </c>
      <c r="I188">
        <f t="shared" si="21"/>
        <v>0</v>
      </c>
      <c r="K188">
        <v>5.2684000000000002E-2</v>
      </c>
      <c r="L188">
        <v>3088.74</v>
      </c>
      <c r="M188" s="16">
        <v>0</v>
      </c>
      <c r="N188">
        <f t="shared" si="22"/>
        <v>0</v>
      </c>
      <c r="P188">
        <v>5.2684000000000002E-2</v>
      </c>
      <c r="Q188">
        <v>3088.74</v>
      </c>
      <c r="R188" s="16">
        <v>0</v>
      </c>
      <c r="S188">
        <f t="shared" si="23"/>
        <v>0</v>
      </c>
      <c r="U188">
        <v>5.2684000000000002E-2</v>
      </c>
      <c r="V188">
        <v>3088.74</v>
      </c>
      <c r="W188" s="16">
        <v>0</v>
      </c>
      <c r="X188">
        <f t="shared" si="24"/>
        <v>0</v>
      </c>
      <c r="Z188">
        <v>5.2684000000000002E-2</v>
      </c>
      <c r="AA188">
        <v>3088.74</v>
      </c>
      <c r="AB188" s="16">
        <v>0</v>
      </c>
      <c r="AC188">
        <f t="shared" si="25"/>
        <v>0</v>
      </c>
      <c r="AE188">
        <v>5.2684000000000002E-2</v>
      </c>
      <c r="AF188">
        <v>3088.74</v>
      </c>
      <c r="AG188" s="16">
        <v>0</v>
      </c>
      <c r="AH188">
        <f t="shared" si="26"/>
        <v>0</v>
      </c>
      <c r="AJ188">
        <v>5.2684000000000002E-2</v>
      </c>
      <c r="AK188">
        <v>3088.74</v>
      </c>
      <c r="AL188" s="17">
        <v>1.1774753453198E-5</v>
      </c>
      <c r="AM188">
        <f t="shared" si="27"/>
        <v>3.6369151981030787E-2</v>
      </c>
      <c r="AO188">
        <v>5.2684000000000002E-2</v>
      </c>
      <c r="AP188">
        <v>3088.74</v>
      </c>
      <c r="AQ188" s="17">
        <v>5.1037609587697301E-8</v>
      </c>
      <c r="AR188">
        <f t="shared" si="28"/>
        <v>1.5764190623790414E-4</v>
      </c>
      <c r="AT188">
        <v>5.2684000000000002E-2</v>
      </c>
      <c r="AU188">
        <v>3088.74</v>
      </c>
      <c r="AV188" s="16">
        <v>0</v>
      </c>
      <c r="AW188">
        <f t="shared" si="29"/>
        <v>0</v>
      </c>
    </row>
    <row r="189" spans="1:49" x14ac:dyDescent="0.3">
      <c r="A189">
        <v>5.9461E-2</v>
      </c>
      <c r="B189">
        <v>2644.3</v>
      </c>
      <c r="C189" s="17">
        <v>7.5255626740615607E-5</v>
      </c>
      <c r="D189">
        <f t="shared" si="20"/>
        <v>0.19899845379020986</v>
      </c>
      <c r="F189">
        <v>5.9461E-2</v>
      </c>
      <c r="G189">
        <v>2644.3</v>
      </c>
      <c r="H189" s="16">
        <v>0</v>
      </c>
      <c r="I189">
        <f t="shared" si="21"/>
        <v>0</v>
      </c>
      <c r="K189">
        <v>5.9461E-2</v>
      </c>
      <c r="L189">
        <v>2644.3</v>
      </c>
      <c r="M189" s="16">
        <v>0</v>
      </c>
      <c r="N189">
        <f t="shared" si="22"/>
        <v>0</v>
      </c>
      <c r="P189">
        <v>5.9461E-2</v>
      </c>
      <c r="Q189">
        <v>2644.3</v>
      </c>
      <c r="R189" s="16">
        <v>0</v>
      </c>
      <c r="S189">
        <f t="shared" si="23"/>
        <v>0</v>
      </c>
      <c r="U189">
        <v>5.9461E-2</v>
      </c>
      <c r="V189">
        <v>2644.3</v>
      </c>
      <c r="W189" s="16">
        <v>0</v>
      </c>
      <c r="X189">
        <f t="shared" si="24"/>
        <v>0</v>
      </c>
      <c r="Z189">
        <v>5.9461E-2</v>
      </c>
      <c r="AA189">
        <v>2644.3</v>
      </c>
      <c r="AB189" s="16">
        <v>0</v>
      </c>
      <c r="AC189">
        <f t="shared" si="25"/>
        <v>0</v>
      </c>
      <c r="AE189">
        <v>5.9461E-2</v>
      </c>
      <c r="AF189">
        <v>2644.3</v>
      </c>
      <c r="AG189" s="16">
        <v>0</v>
      </c>
      <c r="AH189">
        <f t="shared" si="26"/>
        <v>0</v>
      </c>
      <c r="AJ189">
        <v>5.9461E-2</v>
      </c>
      <c r="AK189">
        <v>2644.3</v>
      </c>
      <c r="AL189" s="17">
        <v>3.3519756004186501E-5</v>
      </c>
      <c r="AM189">
        <f t="shared" si="27"/>
        <v>8.8636290801870368E-2</v>
      </c>
      <c r="AO189">
        <v>5.9461E-2</v>
      </c>
      <c r="AP189">
        <v>2644.3</v>
      </c>
      <c r="AQ189" s="17">
        <v>5.9287431427363097E-8</v>
      </c>
      <c r="AR189">
        <f t="shared" si="28"/>
        <v>1.5677375492337625E-4</v>
      </c>
      <c r="AT189">
        <v>5.9461E-2</v>
      </c>
      <c r="AU189">
        <v>2644.3</v>
      </c>
      <c r="AV189" s="16">
        <v>0</v>
      </c>
      <c r="AW189">
        <f t="shared" si="29"/>
        <v>0</v>
      </c>
    </row>
    <row r="190" spans="1:49" x14ac:dyDescent="0.3">
      <c r="A190">
        <v>6.7109000000000002E-2</v>
      </c>
      <c r="B190">
        <v>3086.87</v>
      </c>
      <c r="C190" s="17">
        <v>7.1040178269464794E-5</v>
      </c>
      <c r="D190">
        <f t="shared" si="20"/>
        <v>0.21929179509466279</v>
      </c>
      <c r="F190">
        <v>6.7109000000000002E-2</v>
      </c>
      <c r="G190">
        <v>3086.87</v>
      </c>
      <c r="H190" s="16">
        <v>0</v>
      </c>
      <c r="I190">
        <f t="shared" si="21"/>
        <v>0</v>
      </c>
      <c r="K190">
        <v>6.7109000000000002E-2</v>
      </c>
      <c r="L190">
        <v>3086.87</v>
      </c>
      <c r="M190" s="16">
        <v>0</v>
      </c>
      <c r="N190">
        <f t="shared" si="22"/>
        <v>0</v>
      </c>
      <c r="P190">
        <v>6.7109000000000002E-2</v>
      </c>
      <c r="Q190">
        <v>3086.87</v>
      </c>
      <c r="R190" s="16">
        <v>0</v>
      </c>
      <c r="S190">
        <f t="shared" si="23"/>
        <v>0</v>
      </c>
      <c r="U190">
        <v>6.7109000000000002E-2</v>
      </c>
      <c r="V190">
        <v>3086.87</v>
      </c>
      <c r="W190" s="16">
        <v>0</v>
      </c>
      <c r="X190">
        <f t="shared" si="24"/>
        <v>0</v>
      </c>
      <c r="Z190">
        <v>6.7109000000000002E-2</v>
      </c>
      <c r="AA190">
        <v>3086.87</v>
      </c>
      <c r="AB190" s="16">
        <v>0</v>
      </c>
      <c r="AC190">
        <f t="shared" si="25"/>
        <v>0</v>
      </c>
      <c r="AE190">
        <v>6.7109000000000002E-2</v>
      </c>
      <c r="AF190">
        <v>3086.87</v>
      </c>
      <c r="AG190" s="16">
        <v>0</v>
      </c>
      <c r="AH190">
        <f t="shared" si="26"/>
        <v>0</v>
      </c>
      <c r="AJ190">
        <v>6.7109000000000002E-2</v>
      </c>
      <c r="AK190">
        <v>3086.87</v>
      </c>
      <c r="AL190" s="17">
        <v>4.7022068922532399E-7</v>
      </c>
      <c r="AM190">
        <f t="shared" si="27"/>
        <v>1.4515101389489758E-3</v>
      </c>
      <c r="AO190">
        <v>6.7109000000000002E-2</v>
      </c>
      <c r="AP190">
        <v>3086.87</v>
      </c>
      <c r="AQ190" s="17">
        <v>5.2547427099157E-8</v>
      </c>
      <c r="AR190">
        <f t="shared" si="28"/>
        <v>1.6220707628957477E-4</v>
      </c>
      <c r="AT190">
        <v>6.7109000000000002E-2</v>
      </c>
      <c r="AU190">
        <v>3086.87</v>
      </c>
      <c r="AV190" s="16">
        <v>0</v>
      </c>
      <c r="AW190">
        <f t="shared" si="29"/>
        <v>0</v>
      </c>
    </row>
    <row r="191" spans="1:49" x14ac:dyDescent="0.3">
      <c r="A191">
        <v>7.5741000000000003E-2</v>
      </c>
      <c r="B191">
        <v>3125.58</v>
      </c>
      <c r="C191" s="17">
        <v>6.7336019263561904E-5</v>
      </c>
      <c r="D191">
        <f t="shared" si="20"/>
        <v>0.21046411508980381</v>
      </c>
      <c r="F191">
        <v>7.5741000000000003E-2</v>
      </c>
      <c r="G191">
        <v>3125.58</v>
      </c>
      <c r="H191" s="16">
        <v>0</v>
      </c>
      <c r="I191">
        <f t="shared" si="21"/>
        <v>0</v>
      </c>
      <c r="K191">
        <v>7.5741000000000003E-2</v>
      </c>
      <c r="L191">
        <v>3125.58</v>
      </c>
      <c r="M191" s="16">
        <v>0</v>
      </c>
      <c r="N191">
        <f t="shared" si="22"/>
        <v>0</v>
      </c>
      <c r="P191">
        <v>7.5741000000000003E-2</v>
      </c>
      <c r="Q191">
        <v>3125.58</v>
      </c>
      <c r="R191" s="16">
        <v>0</v>
      </c>
      <c r="S191">
        <f t="shared" si="23"/>
        <v>0</v>
      </c>
      <c r="U191">
        <v>7.5741000000000003E-2</v>
      </c>
      <c r="V191">
        <v>3125.58</v>
      </c>
      <c r="W191" s="16">
        <v>0</v>
      </c>
      <c r="X191">
        <f t="shared" si="24"/>
        <v>0</v>
      </c>
      <c r="Z191">
        <v>7.5741000000000003E-2</v>
      </c>
      <c r="AA191">
        <v>3125.58</v>
      </c>
      <c r="AB191" s="16">
        <v>0</v>
      </c>
      <c r="AC191">
        <f t="shared" si="25"/>
        <v>0</v>
      </c>
      <c r="AE191">
        <v>7.5741000000000003E-2</v>
      </c>
      <c r="AF191">
        <v>3125.58</v>
      </c>
      <c r="AG191" s="16">
        <v>0</v>
      </c>
      <c r="AH191">
        <f t="shared" si="26"/>
        <v>0</v>
      </c>
      <c r="AJ191">
        <v>7.5741000000000003E-2</v>
      </c>
      <c r="AK191">
        <v>3125.58</v>
      </c>
      <c r="AL191" s="17">
        <v>1.5361858367436601E-7</v>
      </c>
      <c r="AM191">
        <f t="shared" si="27"/>
        <v>4.8014717276092492E-4</v>
      </c>
      <c r="AO191">
        <v>7.5741000000000003E-2</v>
      </c>
      <c r="AP191">
        <v>3125.58</v>
      </c>
      <c r="AQ191" s="17">
        <v>5.30726559315358E-8</v>
      </c>
      <c r="AR191">
        <f t="shared" si="28"/>
        <v>1.6588283192648967E-4</v>
      </c>
      <c r="AT191">
        <v>7.5741000000000003E-2</v>
      </c>
      <c r="AU191">
        <v>3125.58</v>
      </c>
      <c r="AV191" s="16">
        <v>0</v>
      </c>
      <c r="AW191">
        <f t="shared" si="29"/>
        <v>0</v>
      </c>
    </row>
    <row r="192" spans="1:49" x14ac:dyDescent="0.3">
      <c r="A192">
        <v>8.5483000000000003E-2</v>
      </c>
      <c r="B192">
        <v>3754.01</v>
      </c>
      <c r="C192" s="17">
        <v>6.1434476278400801E-5</v>
      </c>
      <c r="D192">
        <f t="shared" si="20"/>
        <v>0.23062563829387941</v>
      </c>
      <c r="F192">
        <v>8.5483000000000003E-2</v>
      </c>
      <c r="G192">
        <v>3754.01</v>
      </c>
      <c r="H192" s="16">
        <v>0</v>
      </c>
      <c r="I192">
        <f t="shared" si="21"/>
        <v>0</v>
      </c>
      <c r="K192">
        <v>8.5483000000000003E-2</v>
      </c>
      <c r="L192">
        <v>3754.01</v>
      </c>
      <c r="M192" s="16">
        <v>0</v>
      </c>
      <c r="N192">
        <f t="shared" si="22"/>
        <v>0</v>
      </c>
      <c r="P192">
        <v>8.5483000000000003E-2</v>
      </c>
      <c r="Q192">
        <v>3754.01</v>
      </c>
      <c r="R192" s="16">
        <v>0</v>
      </c>
      <c r="S192">
        <f t="shared" si="23"/>
        <v>0</v>
      </c>
      <c r="U192">
        <v>8.5483000000000003E-2</v>
      </c>
      <c r="V192">
        <v>3754.01</v>
      </c>
      <c r="W192" s="16">
        <v>0</v>
      </c>
      <c r="X192">
        <f t="shared" si="24"/>
        <v>0</v>
      </c>
      <c r="Z192">
        <v>8.5483000000000003E-2</v>
      </c>
      <c r="AA192">
        <v>3754.01</v>
      </c>
      <c r="AB192" s="16">
        <v>0</v>
      </c>
      <c r="AC192">
        <f t="shared" si="25"/>
        <v>0</v>
      </c>
      <c r="AE192">
        <v>8.5483000000000003E-2</v>
      </c>
      <c r="AF192">
        <v>3754.01</v>
      </c>
      <c r="AG192" s="16">
        <v>0</v>
      </c>
      <c r="AH192">
        <f t="shared" si="26"/>
        <v>0</v>
      </c>
      <c r="AJ192">
        <v>8.5483000000000003E-2</v>
      </c>
      <c r="AK192">
        <v>3754.01</v>
      </c>
      <c r="AL192" s="17">
        <v>9.0487284403467805E-8</v>
      </c>
      <c r="AM192">
        <f t="shared" si="27"/>
        <v>3.3969017052346218E-4</v>
      </c>
      <c r="AO192">
        <v>8.5483000000000003E-2</v>
      </c>
      <c r="AP192">
        <v>3754.01</v>
      </c>
      <c r="AQ192" s="17">
        <v>5.3912756567499802E-8</v>
      </c>
      <c r="AR192">
        <f t="shared" si="28"/>
        <v>2.0238902728195995E-4</v>
      </c>
      <c r="AT192">
        <v>8.5483000000000003E-2</v>
      </c>
      <c r="AU192">
        <v>3754.01</v>
      </c>
      <c r="AV192" s="16">
        <v>0</v>
      </c>
      <c r="AW192">
        <f t="shared" si="29"/>
        <v>0</v>
      </c>
    </row>
    <row r="193" spans="1:49" x14ac:dyDescent="0.3">
      <c r="A193">
        <v>9.6477999999999994E-2</v>
      </c>
      <c r="B193">
        <v>3487.9</v>
      </c>
      <c r="C193" s="17">
        <v>5.7185705104983897E-5</v>
      </c>
      <c r="D193">
        <f t="shared" si="20"/>
        <v>0.19945802083567335</v>
      </c>
      <c r="F193">
        <v>9.6477999999999994E-2</v>
      </c>
      <c r="G193">
        <v>3487.9</v>
      </c>
      <c r="H193" s="16">
        <v>0</v>
      </c>
      <c r="I193">
        <f t="shared" si="21"/>
        <v>0</v>
      </c>
      <c r="K193">
        <v>9.6477999999999994E-2</v>
      </c>
      <c r="L193">
        <v>3487.9</v>
      </c>
      <c r="M193" s="16">
        <v>0</v>
      </c>
      <c r="N193">
        <f t="shared" si="22"/>
        <v>0</v>
      </c>
      <c r="P193">
        <v>9.6477999999999994E-2</v>
      </c>
      <c r="Q193">
        <v>3487.9</v>
      </c>
      <c r="R193" s="16">
        <v>0</v>
      </c>
      <c r="S193">
        <f t="shared" si="23"/>
        <v>0</v>
      </c>
      <c r="U193">
        <v>9.6477999999999994E-2</v>
      </c>
      <c r="V193">
        <v>3487.9</v>
      </c>
      <c r="W193" s="16">
        <v>0</v>
      </c>
      <c r="X193">
        <f t="shared" si="24"/>
        <v>0</v>
      </c>
      <c r="Z193">
        <v>9.6477999999999994E-2</v>
      </c>
      <c r="AA193">
        <v>3487.9</v>
      </c>
      <c r="AB193" s="16">
        <v>0</v>
      </c>
      <c r="AC193">
        <f t="shared" si="25"/>
        <v>0</v>
      </c>
      <c r="AE193">
        <v>9.6477999999999994E-2</v>
      </c>
      <c r="AF193">
        <v>3487.9</v>
      </c>
      <c r="AG193" s="16">
        <v>0</v>
      </c>
      <c r="AH193">
        <f t="shared" si="26"/>
        <v>0</v>
      </c>
      <c r="AJ193">
        <v>9.6477999999999994E-2</v>
      </c>
      <c r="AK193">
        <v>3487.9</v>
      </c>
      <c r="AL193" s="17">
        <v>6.9084376410631897E-8</v>
      </c>
      <c r="AM193">
        <f t="shared" si="27"/>
        <v>2.40959396482643E-4</v>
      </c>
      <c r="AO193">
        <v>9.6477999999999994E-2</v>
      </c>
      <c r="AP193">
        <v>3487.9</v>
      </c>
      <c r="AQ193" s="17">
        <v>5.44877547442551E-8</v>
      </c>
      <c r="AR193">
        <f t="shared" si="28"/>
        <v>1.9004783977248738E-4</v>
      </c>
      <c r="AT193">
        <v>9.6477999999999994E-2</v>
      </c>
      <c r="AU193">
        <v>3487.9</v>
      </c>
      <c r="AV193" s="16">
        <v>0</v>
      </c>
      <c r="AW193">
        <f t="shared" si="29"/>
        <v>0</v>
      </c>
    </row>
    <row r="194" spans="1:49" x14ac:dyDescent="0.3">
      <c r="A194">
        <v>0.10889</v>
      </c>
      <c r="B194">
        <v>3346.86</v>
      </c>
      <c r="C194" s="17">
        <v>5.8004017148219499E-5</v>
      </c>
      <c r="D194">
        <f t="shared" si="20"/>
        <v>0.19413132483268991</v>
      </c>
      <c r="F194">
        <v>0.10889</v>
      </c>
      <c r="G194">
        <v>3346.86</v>
      </c>
      <c r="H194" s="16">
        <v>0</v>
      </c>
      <c r="I194">
        <f t="shared" si="21"/>
        <v>0</v>
      </c>
      <c r="K194">
        <v>0.10889</v>
      </c>
      <c r="L194">
        <v>3346.86</v>
      </c>
      <c r="M194" s="16">
        <v>0</v>
      </c>
      <c r="N194">
        <f t="shared" si="22"/>
        <v>0</v>
      </c>
      <c r="P194">
        <v>0.10889</v>
      </c>
      <c r="Q194">
        <v>3346.86</v>
      </c>
      <c r="R194" s="16">
        <v>0</v>
      </c>
      <c r="S194">
        <f t="shared" si="23"/>
        <v>0</v>
      </c>
      <c r="U194">
        <v>0.10889</v>
      </c>
      <c r="V194">
        <v>3346.86</v>
      </c>
      <c r="W194" s="16">
        <v>0</v>
      </c>
      <c r="X194">
        <f t="shared" si="24"/>
        <v>0</v>
      </c>
      <c r="Z194">
        <v>0.10889</v>
      </c>
      <c r="AA194">
        <v>3346.86</v>
      </c>
      <c r="AB194" s="16">
        <v>0</v>
      </c>
      <c r="AC194">
        <f t="shared" si="25"/>
        <v>0</v>
      </c>
      <c r="AE194">
        <v>0.10889</v>
      </c>
      <c r="AF194">
        <v>3346.86</v>
      </c>
      <c r="AG194" s="16">
        <v>0</v>
      </c>
      <c r="AH194">
        <f t="shared" si="26"/>
        <v>0</v>
      </c>
      <c r="AJ194">
        <v>0.10889</v>
      </c>
      <c r="AK194">
        <v>3346.86</v>
      </c>
      <c r="AL194" s="17">
        <v>6.8186852107012296E-8</v>
      </c>
      <c r="AM194">
        <f t="shared" si="27"/>
        <v>2.2821184784287517E-4</v>
      </c>
      <c r="AO194">
        <v>0.10889</v>
      </c>
      <c r="AP194">
        <v>3346.86</v>
      </c>
      <c r="AQ194" s="17">
        <v>4.89191522629098E-8</v>
      </c>
      <c r="AR194">
        <f t="shared" si="28"/>
        <v>1.6372555394264231E-4</v>
      </c>
      <c r="AT194">
        <v>0.10889</v>
      </c>
      <c r="AU194">
        <v>3346.86</v>
      </c>
      <c r="AV194" s="16">
        <v>0</v>
      </c>
      <c r="AW194">
        <f t="shared" si="29"/>
        <v>0</v>
      </c>
    </row>
    <row r="195" spans="1:49" x14ac:dyDescent="0.3">
      <c r="A195">
        <v>0.12289</v>
      </c>
      <c r="B195">
        <v>4254.05</v>
      </c>
      <c r="C195" s="17">
        <v>5.3907227672711898E-5</v>
      </c>
      <c r="D195">
        <f t="shared" si="20"/>
        <v>0.22932404188110006</v>
      </c>
      <c r="F195">
        <v>0.12289</v>
      </c>
      <c r="G195">
        <v>4254.05</v>
      </c>
      <c r="H195" s="16">
        <v>0</v>
      </c>
      <c r="I195">
        <f t="shared" si="21"/>
        <v>0</v>
      </c>
      <c r="K195">
        <v>0.12289</v>
      </c>
      <c r="L195">
        <v>4254.05</v>
      </c>
      <c r="M195" s="16">
        <v>0</v>
      </c>
      <c r="N195">
        <f t="shared" si="22"/>
        <v>0</v>
      </c>
      <c r="P195">
        <v>0.12289</v>
      </c>
      <c r="Q195">
        <v>4254.05</v>
      </c>
      <c r="R195" s="16">
        <v>0</v>
      </c>
      <c r="S195">
        <f t="shared" si="23"/>
        <v>0</v>
      </c>
      <c r="U195">
        <v>0.12289</v>
      </c>
      <c r="V195">
        <v>4254.05</v>
      </c>
      <c r="W195" s="16">
        <v>0</v>
      </c>
      <c r="X195">
        <f t="shared" si="24"/>
        <v>0</v>
      </c>
      <c r="Z195">
        <v>0.12289</v>
      </c>
      <c r="AA195">
        <v>4254.05</v>
      </c>
      <c r="AB195" s="16">
        <v>0</v>
      </c>
      <c r="AC195">
        <f t="shared" si="25"/>
        <v>0</v>
      </c>
      <c r="AE195">
        <v>0.12289</v>
      </c>
      <c r="AF195">
        <v>4254.05</v>
      </c>
      <c r="AG195" s="16">
        <v>0</v>
      </c>
      <c r="AH195">
        <f t="shared" si="26"/>
        <v>0</v>
      </c>
      <c r="AJ195">
        <v>0.12289</v>
      </c>
      <c r="AK195">
        <v>4254.05</v>
      </c>
      <c r="AL195" s="16">
        <v>3.1814433904513899E-4</v>
      </c>
      <c r="AM195">
        <f t="shared" si="27"/>
        <v>1.3534019255149736</v>
      </c>
      <c r="AO195">
        <v>0.12289</v>
      </c>
      <c r="AP195">
        <v>4254.05</v>
      </c>
      <c r="AQ195" s="17">
        <v>1.5273558082715401E-8</v>
      </c>
      <c r="AR195">
        <f t="shared" si="28"/>
        <v>6.4974479761775451E-5</v>
      </c>
      <c r="AT195">
        <v>0.12289</v>
      </c>
      <c r="AU195">
        <v>4254.05</v>
      </c>
      <c r="AV195" s="16">
        <v>0</v>
      </c>
      <c r="AW195">
        <f t="shared" si="29"/>
        <v>0</v>
      </c>
    </row>
    <row r="196" spans="1:49" x14ac:dyDescent="0.3">
      <c r="A196">
        <v>0.13869999999999999</v>
      </c>
      <c r="B196">
        <v>4578.25</v>
      </c>
      <c r="C196" s="17">
        <v>5.0743481084013398E-5</v>
      </c>
      <c r="D196">
        <f t="shared" ref="D196:D241" si="30">B196*C196</f>
        <v>0.23231634227288434</v>
      </c>
      <c r="F196">
        <v>0.13869999999999999</v>
      </c>
      <c r="G196">
        <v>4578.25</v>
      </c>
      <c r="H196" s="16">
        <v>0</v>
      </c>
      <c r="I196">
        <f t="shared" ref="I196:I241" si="31">G196*H196</f>
        <v>0</v>
      </c>
      <c r="K196">
        <v>0.13869999999999999</v>
      </c>
      <c r="L196">
        <v>4578.25</v>
      </c>
      <c r="M196" s="16">
        <v>0</v>
      </c>
      <c r="N196">
        <f t="shared" ref="N196:N241" si="32">L196*M196</f>
        <v>0</v>
      </c>
      <c r="P196">
        <v>0.13869999999999999</v>
      </c>
      <c r="Q196">
        <v>4578.25</v>
      </c>
      <c r="R196" s="16">
        <v>0</v>
      </c>
      <c r="S196">
        <f t="shared" ref="S196:S241" si="33">Q196*R196</f>
        <v>0</v>
      </c>
      <c r="U196">
        <v>0.13869999999999999</v>
      </c>
      <c r="V196">
        <v>4578.25</v>
      </c>
      <c r="W196" s="16">
        <v>0</v>
      </c>
      <c r="X196">
        <f t="shared" ref="X196:X241" si="34">V196*W196</f>
        <v>0</v>
      </c>
      <c r="Z196">
        <v>0.13869999999999999</v>
      </c>
      <c r="AA196">
        <v>4578.25</v>
      </c>
      <c r="AB196" s="16">
        <v>0</v>
      </c>
      <c r="AC196">
        <f t="shared" ref="AC196:AC241" si="35">AA196*AB196</f>
        <v>0</v>
      </c>
      <c r="AE196">
        <v>0.13869999999999999</v>
      </c>
      <c r="AF196">
        <v>4578.25</v>
      </c>
      <c r="AG196" s="16">
        <v>0</v>
      </c>
      <c r="AH196">
        <f t="shared" ref="AH196:AH241" si="36">AF196*AG196</f>
        <v>0</v>
      </c>
      <c r="AJ196">
        <v>0.13869999999999999</v>
      </c>
      <c r="AK196">
        <v>4578.25</v>
      </c>
      <c r="AL196" s="17">
        <v>8.7403345341923999E-8</v>
      </c>
      <c r="AM196">
        <f t="shared" ref="AM196:AM241" si="37">AK196*AL196</f>
        <v>4.0015436581166357E-4</v>
      </c>
      <c r="AO196">
        <v>0.13869999999999999</v>
      </c>
      <c r="AP196">
        <v>4578.25</v>
      </c>
      <c r="AQ196" s="17">
        <v>1.4447266873318801E-8</v>
      </c>
      <c r="AR196">
        <f t="shared" ref="AR196:AR241" si="38">AP196*AQ196</f>
        <v>6.6143199562771805E-5</v>
      </c>
      <c r="AT196">
        <v>0.13869999999999999</v>
      </c>
      <c r="AU196">
        <v>4578.25</v>
      </c>
      <c r="AV196" s="16">
        <v>0</v>
      </c>
      <c r="AW196">
        <f t="shared" ref="AW196:AW241" si="39">AU196*AV196</f>
        <v>0</v>
      </c>
    </row>
    <row r="197" spans="1:49" x14ac:dyDescent="0.3">
      <c r="A197">
        <v>0.15654000000000001</v>
      </c>
      <c r="B197">
        <v>5277.23</v>
      </c>
      <c r="C197" s="17">
        <v>4.9426959179728601E-5</v>
      </c>
      <c r="D197">
        <f t="shared" si="30"/>
        <v>0.26083743179203916</v>
      </c>
      <c r="F197">
        <v>0.15654000000000001</v>
      </c>
      <c r="G197">
        <v>5277.23</v>
      </c>
      <c r="H197" s="16">
        <v>0</v>
      </c>
      <c r="I197">
        <f t="shared" si="31"/>
        <v>0</v>
      </c>
      <c r="K197">
        <v>0.15654000000000001</v>
      </c>
      <c r="L197">
        <v>5277.23</v>
      </c>
      <c r="M197" s="16">
        <v>0</v>
      </c>
      <c r="N197">
        <f t="shared" si="32"/>
        <v>0</v>
      </c>
      <c r="P197">
        <v>0.15654000000000001</v>
      </c>
      <c r="Q197">
        <v>5277.23</v>
      </c>
      <c r="R197" s="16">
        <v>0</v>
      </c>
      <c r="S197">
        <f t="shared" si="33"/>
        <v>0</v>
      </c>
      <c r="U197">
        <v>0.15654000000000001</v>
      </c>
      <c r="V197">
        <v>5277.23</v>
      </c>
      <c r="W197" s="16">
        <v>0</v>
      </c>
      <c r="X197">
        <f t="shared" si="34"/>
        <v>0</v>
      </c>
      <c r="Z197">
        <v>0.15654000000000001</v>
      </c>
      <c r="AA197">
        <v>5277.23</v>
      </c>
      <c r="AB197" s="16">
        <v>0</v>
      </c>
      <c r="AC197">
        <f t="shared" si="35"/>
        <v>0</v>
      </c>
      <c r="AE197">
        <v>0.15654000000000001</v>
      </c>
      <c r="AF197">
        <v>5277.23</v>
      </c>
      <c r="AG197" s="16">
        <v>0</v>
      </c>
      <c r="AH197">
        <f t="shared" si="36"/>
        <v>0</v>
      </c>
      <c r="AJ197">
        <v>0.15654000000000001</v>
      </c>
      <c r="AK197">
        <v>5277.23</v>
      </c>
      <c r="AL197" s="16">
        <v>1.34422498789743E-4</v>
      </c>
      <c r="AM197">
        <f t="shared" si="37"/>
        <v>0.70937844328819533</v>
      </c>
      <c r="AO197">
        <v>0.15654000000000001</v>
      </c>
      <c r="AP197">
        <v>5277.23</v>
      </c>
      <c r="AQ197" s="17">
        <v>1.2980502599683401E-8</v>
      </c>
      <c r="AR197">
        <f t="shared" si="38"/>
        <v>6.8501097734127229E-5</v>
      </c>
      <c r="AT197">
        <v>0.15654000000000001</v>
      </c>
      <c r="AU197">
        <v>5277.23</v>
      </c>
      <c r="AV197" s="16">
        <v>0</v>
      </c>
      <c r="AW197">
        <f t="shared" si="39"/>
        <v>0</v>
      </c>
    </row>
    <row r="198" spans="1:49" x14ac:dyDescent="0.3">
      <c r="A198">
        <v>0.17668</v>
      </c>
      <c r="B198">
        <v>5305.23</v>
      </c>
      <c r="C198" s="17">
        <v>4.83308852667054E-5</v>
      </c>
      <c r="D198">
        <f t="shared" si="30"/>
        <v>0.25640646244348347</v>
      </c>
      <c r="F198">
        <v>0.17668</v>
      </c>
      <c r="G198">
        <v>5305.23</v>
      </c>
      <c r="H198" s="16">
        <v>0</v>
      </c>
      <c r="I198">
        <f t="shared" si="31"/>
        <v>0</v>
      </c>
      <c r="K198">
        <v>0.17668</v>
      </c>
      <c r="L198">
        <v>5305.23</v>
      </c>
      <c r="M198" s="16">
        <v>0</v>
      </c>
      <c r="N198">
        <f t="shared" si="32"/>
        <v>0</v>
      </c>
      <c r="P198">
        <v>0.17668</v>
      </c>
      <c r="Q198">
        <v>5305.23</v>
      </c>
      <c r="R198" s="16">
        <v>0</v>
      </c>
      <c r="S198">
        <f t="shared" si="33"/>
        <v>0</v>
      </c>
      <c r="U198">
        <v>0.17668</v>
      </c>
      <c r="V198">
        <v>5305.23</v>
      </c>
      <c r="W198" s="16">
        <v>0</v>
      </c>
      <c r="X198">
        <f t="shared" si="34"/>
        <v>0</v>
      </c>
      <c r="Z198">
        <v>0.17668</v>
      </c>
      <c r="AA198">
        <v>5305.23</v>
      </c>
      <c r="AB198" s="16">
        <v>0</v>
      </c>
      <c r="AC198">
        <f t="shared" si="35"/>
        <v>0</v>
      </c>
      <c r="AE198">
        <v>0.17668</v>
      </c>
      <c r="AF198">
        <v>5305.23</v>
      </c>
      <c r="AG198" s="16">
        <v>0</v>
      </c>
      <c r="AH198">
        <f t="shared" si="36"/>
        <v>0</v>
      </c>
      <c r="AJ198">
        <v>0.17668</v>
      </c>
      <c r="AK198">
        <v>5305.23</v>
      </c>
      <c r="AL198" s="17">
        <v>1.82855573569776E-7</v>
      </c>
      <c r="AM198">
        <f t="shared" si="37"/>
        <v>9.7009087456958261E-4</v>
      </c>
      <c r="AO198">
        <v>0.17668</v>
      </c>
      <c r="AP198">
        <v>5305.23</v>
      </c>
      <c r="AQ198" s="17">
        <v>1.2194509751492801E-8</v>
      </c>
      <c r="AR198">
        <f t="shared" si="38"/>
        <v>6.4694678968912141E-5</v>
      </c>
      <c r="AT198">
        <v>0.17668</v>
      </c>
      <c r="AU198">
        <v>5305.23</v>
      </c>
      <c r="AV198" s="16">
        <v>0</v>
      </c>
      <c r="AW198">
        <f t="shared" si="39"/>
        <v>0</v>
      </c>
    </row>
    <row r="199" spans="1:49" x14ac:dyDescent="0.3">
      <c r="A199">
        <v>0.19939999999999999</v>
      </c>
      <c r="B199">
        <v>4167.93</v>
      </c>
      <c r="C199" s="17">
        <v>4.6859169376463701E-5</v>
      </c>
      <c r="D199">
        <f t="shared" si="30"/>
        <v>0.19530573781924437</v>
      </c>
      <c r="F199">
        <v>0.19939999999999999</v>
      </c>
      <c r="G199">
        <v>4167.93</v>
      </c>
      <c r="H199" s="16">
        <v>0</v>
      </c>
      <c r="I199">
        <f t="shared" si="31"/>
        <v>0</v>
      </c>
      <c r="K199">
        <v>0.19939999999999999</v>
      </c>
      <c r="L199">
        <v>4167.93</v>
      </c>
      <c r="M199" s="16">
        <v>0</v>
      </c>
      <c r="N199">
        <f t="shared" si="32"/>
        <v>0</v>
      </c>
      <c r="P199">
        <v>0.19939999999999999</v>
      </c>
      <c r="Q199">
        <v>4167.93</v>
      </c>
      <c r="R199" s="16">
        <v>0</v>
      </c>
      <c r="S199">
        <f t="shared" si="33"/>
        <v>0</v>
      </c>
      <c r="U199">
        <v>0.19939999999999999</v>
      </c>
      <c r="V199">
        <v>4167.93</v>
      </c>
      <c r="W199" s="16">
        <v>0</v>
      </c>
      <c r="X199">
        <f t="shared" si="34"/>
        <v>0</v>
      </c>
      <c r="Z199">
        <v>0.19939999999999999</v>
      </c>
      <c r="AA199">
        <v>4167.93</v>
      </c>
      <c r="AB199" s="16">
        <v>0</v>
      </c>
      <c r="AC199">
        <f t="shared" si="35"/>
        <v>0</v>
      </c>
      <c r="AE199">
        <v>0.19939999999999999</v>
      </c>
      <c r="AF199">
        <v>4167.93</v>
      </c>
      <c r="AG199" s="16">
        <v>0</v>
      </c>
      <c r="AH199">
        <f t="shared" si="36"/>
        <v>0</v>
      </c>
      <c r="AJ199">
        <v>0.19939999999999999</v>
      </c>
      <c r="AK199">
        <v>4167.93</v>
      </c>
      <c r="AL199" s="16">
        <v>1.15679220175912E-4</v>
      </c>
      <c r="AM199">
        <f t="shared" si="37"/>
        <v>0.48214289214778894</v>
      </c>
      <c r="AO199">
        <v>0.19939999999999999</v>
      </c>
      <c r="AP199">
        <v>4167.93</v>
      </c>
      <c r="AQ199" s="17">
        <v>1.11804322838995E-8</v>
      </c>
      <c r="AR199">
        <f t="shared" si="38"/>
        <v>4.6599259129033246E-5</v>
      </c>
      <c r="AT199">
        <v>0.19939999999999999</v>
      </c>
      <c r="AU199">
        <v>4167.93</v>
      </c>
      <c r="AV199" s="16">
        <v>0</v>
      </c>
      <c r="AW199">
        <f t="shared" si="39"/>
        <v>0</v>
      </c>
    </row>
    <row r="200" spans="1:49" x14ac:dyDescent="0.3">
      <c r="A200">
        <v>0.22505</v>
      </c>
      <c r="B200">
        <v>4203.3100000000004</v>
      </c>
      <c r="C200" s="17">
        <v>4.5346408714673497E-5</v>
      </c>
      <c r="D200">
        <f t="shared" si="30"/>
        <v>0.19060501321447429</v>
      </c>
      <c r="F200">
        <v>0.22505</v>
      </c>
      <c r="G200">
        <v>4203.3100000000004</v>
      </c>
      <c r="H200" s="16">
        <v>0</v>
      </c>
      <c r="I200">
        <f t="shared" si="31"/>
        <v>0</v>
      </c>
      <c r="K200">
        <v>0.22505</v>
      </c>
      <c r="L200">
        <v>4203.3100000000004</v>
      </c>
      <c r="M200" s="16">
        <v>0</v>
      </c>
      <c r="N200">
        <f t="shared" si="32"/>
        <v>0</v>
      </c>
      <c r="P200">
        <v>0.22505</v>
      </c>
      <c r="Q200">
        <v>4203.3100000000004</v>
      </c>
      <c r="R200" s="16">
        <v>0</v>
      </c>
      <c r="S200">
        <f t="shared" si="33"/>
        <v>0</v>
      </c>
      <c r="U200">
        <v>0.22505</v>
      </c>
      <c r="V200">
        <v>4203.3100000000004</v>
      </c>
      <c r="W200" s="16">
        <v>0</v>
      </c>
      <c r="X200">
        <f t="shared" si="34"/>
        <v>0</v>
      </c>
      <c r="Z200">
        <v>0.22505</v>
      </c>
      <c r="AA200">
        <v>4203.3100000000004</v>
      </c>
      <c r="AB200" s="16">
        <v>0</v>
      </c>
      <c r="AC200">
        <f t="shared" si="35"/>
        <v>0</v>
      </c>
      <c r="AE200">
        <v>0.22505</v>
      </c>
      <c r="AF200">
        <v>4203.3100000000004</v>
      </c>
      <c r="AG200" s="16">
        <v>0</v>
      </c>
      <c r="AH200">
        <f t="shared" si="36"/>
        <v>0</v>
      </c>
      <c r="AJ200">
        <v>0.22505</v>
      </c>
      <c r="AK200">
        <v>4203.3100000000004</v>
      </c>
      <c r="AL200" s="17">
        <v>6.6147394147535701E-6</v>
      </c>
      <c r="AM200">
        <f t="shared" si="37"/>
        <v>2.7803800329427832E-2</v>
      </c>
      <c r="AO200">
        <v>0.22505</v>
      </c>
      <c r="AP200">
        <v>4203.3100000000004</v>
      </c>
      <c r="AQ200" s="17">
        <v>1.0614479576833899E-8</v>
      </c>
      <c r="AR200">
        <f t="shared" si="38"/>
        <v>4.4615948150101705E-5</v>
      </c>
      <c r="AT200">
        <v>0.22505</v>
      </c>
      <c r="AU200">
        <v>4203.3100000000004</v>
      </c>
      <c r="AV200" s="16">
        <v>0</v>
      </c>
      <c r="AW200">
        <f t="shared" si="39"/>
        <v>0</v>
      </c>
    </row>
    <row r="201" spans="1:49" x14ac:dyDescent="0.3">
      <c r="A201">
        <v>0.254</v>
      </c>
      <c r="B201">
        <v>5636.39</v>
      </c>
      <c r="C201" s="17">
        <v>4.3034819842555703E-5</v>
      </c>
      <c r="D201">
        <f t="shared" si="30"/>
        <v>0.24256102821238254</v>
      </c>
      <c r="F201">
        <v>0.254</v>
      </c>
      <c r="G201">
        <v>5636.39</v>
      </c>
      <c r="H201" s="16">
        <v>0</v>
      </c>
      <c r="I201">
        <f t="shared" si="31"/>
        <v>0</v>
      </c>
      <c r="K201">
        <v>0.254</v>
      </c>
      <c r="L201">
        <v>5636.39</v>
      </c>
      <c r="M201" s="16">
        <v>0</v>
      </c>
      <c r="N201">
        <f t="shared" si="32"/>
        <v>0</v>
      </c>
      <c r="P201">
        <v>0.254</v>
      </c>
      <c r="Q201">
        <v>5636.39</v>
      </c>
      <c r="R201" s="16">
        <v>0</v>
      </c>
      <c r="S201">
        <f t="shared" si="33"/>
        <v>0</v>
      </c>
      <c r="U201">
        <v>0.254</v>
      </c>
      <c r="V201">
        <v>5636.39</v>
      </c>
      <c r="W201" s="16">
        <v>0</v>
      </c>
      <c r="X201">
        <f t="shared" si="34"/>
        <v>0</v>
      </c>
      <c r="Z201">
        <v>0.254</v>
      </c>
      <c r="AA201">
        <v>5636.39</v>
      </c>
      <c r="AB201" s="16">
        <v>0</v>
      </c>
      <c r="AC201">
        <f t="shared" si="35"/>
        <v>0</v>
      </c>
      <c r="AE201">
        <v>0.254</v>
      </c>
      <c r="AF201">
        <v>5636.39</v>
      </c>
      <c r="AG201" s="16">
        <v>0</v>
      </c>
      <c r="AH201">
        <f t="shared" si="36"/>
        <v>0</v>
      </c>
      <c r="AJ201">
        <v>0.254</v>
      </c>
      <c r="AK201">
        <v>5636.39</v>
      </c>
      <c r="AL201" s="17">
        <v>6.8121302056341196E-5</v>
      </c>
      <c r="AM201">
        <f t="shared" si="37"/>
        <v>0.38395822569734095</v>
      </c>
      <c r="AO201">
        <v>0.254</v>
      </c>
      <c r="AP201">
        <v>5636.39</v>
      </c>
      <c r="AQ201" s="17">
        <v>9.1660095823902997E-9</v>
      </c>
      <c r="AR201">
        <f t="shared" si="38"/>
        <v>5.1663204750088862E-5</v>
      </c>
      <c r="AT201">
        <v>0.254</v>
      </c>
      <c r="AU201">
        <v>5636.39</v>
      </c>
      <c r="AV201" s="16">
        <v>0</v>
      </c>
      <c r="AW201">
        <f t="shared" si="39"/>
        <v>0</v>
      </c>
    </row>
    <row r="202" spans="1:49" x14ac:dyDescent="0.3">
      <c r="A202">
        <v>0.28666999999999998</v>
      </c>
      <c r="B202">
        <v>6363.2</v>
      </c>
      <c r="C202" s="17">
        <v>4.0526134078068199E-5</v>
      </c>
      <c r="D202">
        <f t="shared" si="30"/>
        <v>0.25787589636556357</v>
      </c>
      <c r="F202">
        <v>0.28666999999999998</v>
      </c>
      <c r="G202">
        <v>6363.2</v>
      </c>
      <c r="H202" s="16">
        <v>0</v>
      </c>
      <c r="I202">
        <f t="shared" si="31"/>
        <v>0</v>
      </c>
      <c r="K202">
        <v>0.28666999999999998</v>
      </c>
      <c r="L202">
        <v>6363.2</v>
      </c>
      <c r="M202" s="16">
        <v>0</v>
      </c>
      <c r="N202">
        <f t="shared" si="32"/>
        <v>0</v>
      </c>
      <c r="P202">
        <v>0.28666999999999998</v>
      </c>
      <c r="Q202">
        <v>6363.2</v>
      </c>
      <c r="R202" s="16">
        <v>0</v>
      </c>
      <c r="S202">
        <f t="shared" si="33"/>
        <v>0</v>
      </c>
      <c r="U202">
        <v>0.28666999999999998</v>
      </c>
      <c r="V202">
        <v>6363.2</v>
      </c>
      <c r="W202" s="16">
        <v>0</v>
      </c>
      <c r="X202">
        <f t="shared" si="34"/>
        <v>0</v>
      </c>
      <c r="Z202">
        <v>0.28666999999999998</v>
      </c>
      <c r="AA202">
        <v>6363.2</v>
      </c>
      <c r="AB202" s="16">
        <v>0</v>
      </c>
      <c r="AC202">
        <f t="shared" si="35"/>
        <v>0</v>
      </c>
      <c r="AE202">
        <v>0.28666999999999998</v>
      </c>
      <c r="AF202">
        <v>6363.2</v>
      </c>
      <c r="AG202" s="16">
        <v>0</v>
      </c>
      <c r="AH202">
        <f t="shared" si="36"/>
        <v>0</v>
      </c>
      <c r="AJ202">
        <v>0.28666999999999998</v>
      </c>
      <c r="AK202">
        <v>6363.2</v>
      </c>
      <c r="AL202" s="17">
        <v>2.7499050353348901E-7</v>
      </c>
      <c r="AM202">
        <f t="shared" si="37"/>
        <v>1.7498195720842971E-3</v>
      </c>
      <c r="AO202">
        <v>0.28666999999999998</v>
      </c>
      <c r="AP202">
        <v>6363.2</v>
      </c>
      <c r="AQ202" s="17">
        <v>8.7761786216581305E-9</v>
      </c>
      <c r="AR202">
        <f t="shared" si="38"/>
        <v>5.5844579805335013E-5</v>
      </c>
      <c r="AT202">
        <v>0.28666999999999998</v>
      </c>
      <c r="AU202">
        <v>6363.2</v>
      </c>
      <c r="AV202" s="16">
        <v>0</v>
      </c>
      <c r="AW202">
        <f t="shared" si="39"/>
        <v>0</v>
      </c>
    </row>
    <row r="203" spans="1:49" x14ac:dyDescent="0.3">
      <c r="A203">
        <v>0.32353999999999999</v>
      </c>
      <c r="B203">
        <v>6366.45</v>
      </c>
      <c r="C203" s="17">
        <v>3.50998612862632E-5</v>
      </c>
      <c r="D203">
        <f t="shared" si="30"/>
        <v>0.22346151188593033</v>
      </c>
      <c r="F203">
        <v>0.32353999999999999</v>
      </c>
      <c r="G203">
        <v>6366.45</v>
      </c>
      <c r="H203" s="16">
        <v>0</v>
      </c>
      <c r="I203">
        <f t="shared" si="31"/>
        <v>0</v>
      </c>
      <c r="K203">
        <v>0.32353999999999999</v>
      </c>
      <c r="L203">
        <v>6366.45</v>
      </c>
      <c r="M203" s="16">
        <v>0</v>
      </c>
      <c r="N203">
        <f t="shared" si="32"/>
        <v>0</v>
      </c>
      <c r="P203">
        <v>0.32353999999999999</v>
      </c>
      <c r="Q203">
        <v>6366.45</v>
      </c>
      <c r="R203" s="16">
        <v>0</v>
      </c>
      <c r="S203">
        <f t="shared" si="33"/>
        <v>0</v>
      </c>
      <c r="U203">
        <v>0.32353999999999999</v>
      </c>
      <c r="V203">
        <v>6366.45</v>
      </c>
      <c r="W203" s="16">
        <v>0</v>
      </c>
      <c r="X203">
        <f t="shared" si="34"/>
        <v>0</v>
      </c>
      <c r="Z203">
        <v>0.32353999999999999</v>
      </c>
      <c r="AA203">
        <v>6366.45</v>
      </c>
      <c r="AB203" s="16">
        <v>0</v>
      </c>
      <c r="AC203">
        <f t="shared" si="35"/>
        <v>0</v>
      </c>
      <c r="AE203">
        <v>0.32353999999999999</v>
      </c>
      <c r="AF203">
        <v>6366.45</v>
      </c>
      <c r="AG203" s="16">
        <v>0</v>
      </c>
      <c r="AH203">
        <f t="shared" si="36"/>
        <v>0</v>
      </c>
      <c r="AJ203">
        <v>0.32353999999999999</v>
      </c>
      <c r="AK203">
        <v>6366.45</v>
      </c>
      <c r="AL203" s="17">
        <v>5.5179926185051303E-5</v>
      </c>
      <c r="AM203">
        <f t="shared" si="37"/>
        <v>0.35130024106081986</v>
      </c>
      <c r="AO203">
        <v>0.32353999999999999</v>
      </c>
      <c r="AP203">
        <v>6366.45</v>
      </c>
      <c r="AQ203" s="17">
        <v>8.2086184828119595E-9</v>
      </c>
      <c r="AR203">
        <f t="shared" si="38"/>
        <v>5.2259759139898196E-5</v>
      </c>
      <c r="AT203">
        <v>0.32353999999999999</v>
      </c>
      <c r="AU203">
        <v>6366.45</v>
      </c>
      <c r="AV203" s="16">
        <v>0</v>
      </c>
      <c r="AW203">
        <f t="shared" si="39"/>
        <v>0</v>
      </c>
    </row>
    <row r="204" spans="1:49" x14ac:dyDescent="0.3">
      <c r="A204">
        <v>0.36514999999999997</v>
      </c>
      <c r="B204">
        <v>6515.09</v>
      </c>
      <c r="C204" s="17">
        <v>3.2875027465216299E-5</v>
      </c>
      <c r="D204">
        <f t="shared" si="30"/>
        <v>0.21418376268835607</v>
      </c>
      <c r="F204">
        <v>0.36514999999999997</v>
      </c>
      <c r="G204">
        <v>6515.09</v>
      </c>
      <c r="H204" s="16">
        <v>0</v>
      </c>
      <c r="I204">
        <f t="shared" si="31"/>
        <v>0</v>
      </c>
      <c r="K204">
        <v>0.36514999999999997</v>
      </c>
      <c r="L204">
        <v>6515.09</v>
      </c>
      <c r="M204" s="16">
        <v>0</v>
      </c>
      <c r="N204">
        <f t="shared" si="32"/>
        <v>0</v>
      </c>
      <c r="P204">
        <v>0.36514999999999997</v>
      </c>
      <c r="Q204">
        <v>6515.09</v>
      </c>
      <c r="R204" s="16">
        <v>0</v>
      </c>
      <c r="S204">
        <f t="shared" si="33"/>
        <v>0</v>
      </c>
      <c r="U204">
        <v>0.36514999999999997</v>
      </c>
      <c r="V204">
        <v>6515.09</v>
      </c>
      <c r="W204" s="16">
        <v>0</v>
      </c>
      <c r="X204">
        <f t="shared" si="34"/>
        <v>0</v>
      </c>
      <c r="Z204">
        <v>0.36514999999999997</v>
      </c>
      <c r="AA204">
        <v>6515.09</v>
      </c>
      <c r="AB204" s="16">
        <v>0</v>
      </c>
      <c r="AC204">
        <f t="shared" si="35"/>
        <v>0</v>
      </c>
      <c r="AE204">
        <v>0.36514999999999997</v>
      </c>
      <c r="AF204">
        <v>6515.09</v>
      </c>
      <c r="AG204" s="16">
        <v>0</v>
      </c>
      <c r="AH204">
        <f t="shared" si="36"/>
        <v>0</v>
      </c>
      <c r="AJ204">
        <v>0.36514999999999997</v>
      </c>
      <c r="AK204">
        <v>6515.09</v>
      </c>
      <c r="AL204" s="17">
        <v>4.60575814641392E-7</v>
      </c>
      <c r="AM204">
        <f t="shared" si="37"/>
        <v>3.0006928842119867E-3</v>
      </c>
      <c r="AO204">
        <v>0.36514999999999997</v>
      </c>
      <c r="AP204">
        <v>6515.09</v>
      </c>
      <c r="AQ204" s="17">
        <v>7.5396145831094794E-9</v>
      </c>
      <c r="AR204">
        <f t="shared" si="38"/>
        <v>4.9121267574270737E-5</v>
      </c>
      <c r="AT204">
        <v>0.36514999999999997</v>
      </c>
      <c r="AU204">
        <v>6515.09</v>
      </c>
      <c r="AV204" s="16">
        <v>0</v>
      </c>
      <c r="AW204">
        <f t="shared" si="39"/>
        <v>0</v>
      </c>
    </row>
    <row r="205" spans="1:49" x14ac:dyDescent="0.3">
      <c r="A205">
        <v>0.41211999999999999</v>
      </c>
      <c r="B205">
        <v>7337.2</v>
      </c>
      <c r="C205" s="17">
        <v>2.98722109599199E-5</v>
      </c>
      <c r="D205">
        <f t="shared" si="30"/>
        <v>0.21917838625512429</v>
      </c>
      <c r="F205">
        <v>0.41211999999999999</v>
      </c>
      <c r="G205">
        <v>7337.2</v>
      </c>
      <c r="H205" s="16">
        <v>0</v>
      </c>
      <c r="I205">
        <f t="shared" si="31"/>
        <v>0</v>
      </c>
      <c r="K205">
        <v>0.41211999999999999</v>
      </c>
      <c r="L205">
        <v>7337.2</v>
      </c>
      <c r="M205" s="16">
        <v>0</v>
      </c>
      <c r="N205">
        <f t="shared" si="32"/>
        <v>0</v>
      </c>
      <c r="P205">
        <v>0.41211999999999999</v>
      </c>
      <c r="Q205">
        <v>7337.2</v>
      </c>
      <c r="R205" s="16">
        <v>0</v>
      </c>
      <c r="S205">
        <f t="shared" si="33"/>
        <v>0</v>
      </c>
      <c r="U205">
        <v>0.41211999999999999</v>
      </c>
      <c r="V205">
        <v>7337.2</v>
      </c>
      <c r="W205" s="16">
        <v>0</v>
      </c>
      <c r="X205">
        <f t="shared" si="34"/>
        <v>0</v>
      </c>
      <c r="Z205">
        <v>0.41211999999999999</v>
      </c>
      <c r="AA205">
        <v>7337.2</v>
      </c>
      <c r="AB205" s="16">
        <v>0</v>
      </c>
      <c r="AC205">
        <f t="shared" si="35"/>
        <v>0</v>
      </c>
      <c r="AE205">
        <v>0.41211999999999999</v>
      </c>
      <c r="AF205">
        <v>7337.2</v>
      </c>
      <c r="AG205" s="16">
        <v>0</v>
      </c>
      <c r="AH205">
        <f t="shared" si="36"/>
        <v>0</v>
      </c>
      <c r="AJ205">
        <v>0.41211999999999999</v>
      </c>
      <c r="AK205">
        <v>7337.2</v>
      </c>
      <c r="AL205" s="17">
        <v>3.25163196532029E-6</v>
      </c>
      <c r="AM205">
        <f t="shared" si="37"/>
        <v>2.3857874055948032E-2</v>
      </c>
      <c r="AO205">
        <v>0.41211999999999999</v>
      </c>
      <c r="AP205">
        <v>7337.2</v>
      </c>
      <c r="AQ205" s="17">
        <v>7.03328050989446E-9</v>
      </c>
      <c r="AR205">
        <f t="shared" si="38"/>
        <v>5.1604585757197632E-5</v>
      </c>
      <c r="AT205">
        <v>0.41211999999999999</v>
      </c>
      <c r="AU205">
        <v>7337.2</v>
      </c>
      <c r="AV205" s="16">
        <v>0</v>
      </c>
      <c r="AW205">
        <f t="shared" si="39"/>
        <v>0</v>
      </c>
    </row>
    <row r="206" spans="1:49" x14ac:dyDescent="0.3">
      <c r="A206">
        <v>0.46512999999999999</v>
      </c>
      <c r="B206">
        <v>5586.71</v>
      </c>
      <c r="C206" s="17">
        <v>2.6849788456682701E-5</v>
      </c>
      <c r="D206">
        <f t="shared" si="30"/>
        <v>0.15000198166883383</v>
      </c>
      <c r="F206">
        <v>0.46512999999999999</v>
      </c>
      <c r="G206">
        <v>5586.71</v>
      </c>
      <c r="H206" s="16">
        <v>0</v>
      </c>
      <c r="I206">
        <f t="shared" si="31"/>
        <v>0</v>
      </c>
      <c r="K206">
        <v>0.46512999999999999</v>
      </c>
      <c r="L206">
        <v>5586.71</v>
      </c>
      <c r="M206" s="16">
        <v>0</v>
      </c>
      <c r="N206">
        <f t="shared" si="32"/>
        <v>0</v>
      </c>
      <c r="P206">
        <v>0.46512999999999999</v>
      </c>
      <c r="Q206">
        <v>5586.71</v>
      </c>
      <c r="R206" s="16">
        <v>0</v>
      </c>
      <c r="S206">
        <f t="shared" si="33"/>
        <v>0</v>
      </c>
      <c r="U206">
        <v>0.46512999999999999</v>
      </c>
      <c r="V206">
        <v>5586.71</v>
      </c>
      <c r="W206" s="16">
        <v>0</v>
      </c>
      <c r="X206">
        <f t="shared" si="34"/>
        <v>0</v>
      </c>
      <c r="Z206">
        <v>0.46512999999999999</v>
      </c>
      <c r="AA206">
        <v>5586.71</v>
      </c>
      <c r="AB206" s="16">
        <v>0</v>
      </c>
      <c r="AC206">
        <f t="shared" si="35"/>
        <v>0</v>
      </c>
      <c r="AE206">
        <v>0.46512999999999999</v>
      </c>
      <c r="AF206">
        <v>5586.71</v>
      </c>
      <c r="AG206" s="16">
        <v>0</v>
      </c>
      <c r="AH206">
        <f t="shared" si="36"/>
        <v>0</v>
      </c>
      <c r="AJ206">
        <v>0.46512999999999999</v>
      </c>
      <c r="AK206">
        <v>5586.71</v>
      </c>
      <c r="AL206" s="17">
        <v>3.4014772531276402E-6</v>
      </c>
      <c r="AM206">
        <f t="shared" si="37"/>
        <v>1.9003066984820717E-2</v>
      </c>
      <c r="AO206">
        <v>0.46512999999999999</v>
      </c>
      <c r="AP206">
        <v>5586.71</v>
      </c>
      <c r="AQ206" s="17">
        <v>6.6757487546549604E-9</v>
      </c>
      <c r="AR206">
        <f t="shared" si="38"/>
        <v>3.7295472325118417E-5</v>
      </c>
      <c r="AT206">
        <v>0.46512999999999999</v>
      </c>
      <c r="AU206">
        <v>5586.71</v>
      </c>
      <c r="AV206" s="16">
        <v>0</v>
      </c>
      <c r="AW206">
        <f t="shared" si="39"/>
        <v>0</v>
      </c>
    </row>
    <row r="207" spans="1:49" x14ac:dyDescent="0.3">
      <c r="A207">
        <v>0.52495999999999998</v>
      </c>
      <c r="B207">
        <v>9387.69</v>
      </c>
      <c r="C207" s="17">
        <v>2.4250399624821698E-5</v>
      </c>
      <c r="D207">
        <f t="shared" si="30"/>
        <v>0.22765523405394242</v>
      </c>
      <c r="F207">
        <v>0.52495999999999998</v>
      </c>
      <c r="G207">
        <v>9387.69</v>
      </c>
      <c r="H207" s="16">
        <v>0</v>
      </c>
      <c r="I207">
        <f t="shared" si="31"/>
        <v>0</v>
      </c>
      <c r="K207">
        <v>0.52495999999999998</v>
      </c>
      <c r="L207">
        <v>9387.69</v>
      </c>
      <c r="M207" s="16">
        <v>0</v>
      </c>
      <c r="N207">
        <f t="shared" si="32"/>
        <v>0</v>
      </c>
      <c r="P207">
        <v>0.52495999999999998</v>
      </c>
      <c r="Q207">
        <v>9387.69</v>
      </c>
      <c r="R207" s="16">
        <v>0</v>
      </c>
      <c r="S207">
        <f t="shared" si="33"/>
        <v>0</v>
      </c>
      <c r="U207">
        <v>0.52495999999999998</v>
      </c>
      <c r="V207">
        <v>9387.69</v>
      </c>
      <c r="W207" s="16">
        <v>0</v>
      </c>
      <c r="X207">
        <f t="shared" si="34"/>
        <v>0</v>
      </c>
      <c r="Z207">
        <v>0.52495999999999998</v>
      </c>
      <c r="AA207">
        <v>9387.69</v>
      </c>
      <c r="AB207" s="16">
        <v>0</v>
      </c>
      <c r="AC207">
        <f t="shared" si="35"/>
        <v>0</v>
      </c>
      <c r="AE207">
        <v>0.52495999999999998</v>
      </c>
      <c r="AF207">
        <v>9387.69</v>
      </c>
      <c r="AG207" s="16">
        <v>0</v>
      </c>
      <c r="AH207">
        <f t="shared" si="36"/>
        <v>0</v>
      </c>
      <c r="AJ207">
        <v>0.52495999999999998</v>
      </c>
      <c r="AK207">
        <v>9387.69</v>
      </c>
      <c r="AL207" s="17">
        <v>8.5434989212738799E-7</v>
      </c>
      <c r="AM207">
        <f t="shared" si="37"/>
        <v>8.0203719388253596E-3</v>
      </c>
      <c r="AO207">
        <v>0.52495999999999998</v>
      </c>
      <c r="AP207">
        <v>9387.69</v>
      </c>
      <c r="AQ207" s="17">
        <v>6.4076160204916703E-9</v>
      </c>
      <c r="AR207">
        <f t="shared" si="38"/>
        <v>6.0152712839409451E-5</v>
      </c>
      <c r="AT207">
        <v>0.52495999999999998</v>
      </c>
      <c r="AU207">
        <v>9387.69</v>
      </c>
      <c r="AV207" s="16">
        <v>0</v>
      </c>
      <c r="AW207">
        <f t="shared" si="39"/>
        <v>0</v>
      </c>
    </row>
    <row r="208" spans="1:49" x14ac:dyDescent="0.3">
      <c r="A208">
        <v>0.59248000000000001</v>
      </c>
      <c r="B208">
        <v>10599.7</v>
      </c>
      <c r="C208" s="17">
        <v>2.13949707621006E-5</v>
      </c>
      <c r="D208">
        <f t="shared" si="30"/>
        <v>0.22678027158703776</v>
      </c>
      <c r="F208">
        <v>0.59248000000000001</v>
      </c>
      <c r="G208">
        <v>10599.7</v>
      </c>
      <c r="H208" s="16">
        <v>0</v>
      </c>
      <c r="I208">
        <f t="shared" si="31"/>
        <v>0</v>
      </c>
      <c r="K208">
        <v>0.59248000000000001</v>
      </c>
      <c r="L208">
        <v>10599.7</v>
      </c>
      <c r="M208" s="16">
        <v>0</v>
      </c>
      <c r="N208">
        <f t="shared" si="32"/>
        <v>0</v>
      </c>
      <c r="P208">
        <v>0.59248000000000001</v>
      </c>
      <c r="Q208">
        <v>10599.7</v>
      </c>
      <c r="R208" s="17">
        <v>2.3583473528786101E-8</v>
      </c>
      <c r="S208">
        <f t="shared" si="33"/>
        <v>2.4997774436307408E-4</v>
      </c>
      <c r="U208">
        <v>0.59248000000000001</v>
      </c>
      <c r="V208">
        <v>10599.7</v>
      </c>
      <c r="W208" s="16">
        <v>0</v>
      </c>
      <c r="X208">
        <f t="shared" si="34"/>
        <v>0</v>
      </c>
      <c r="Z208">
        <v>0.59248000000000001</v>
      </c>
      <c r="AA208">
        <v>10599.7</v>
      </c>
      <c r="AB208" s="16">
        <v>0</v>
      </c>
      <c r="AC208">
        <f t="shared" si="35"/>
        <v>0</v>
      </c>
      <c r="AE208">
        <v>0.59248000000000001</v>
      </c>
      <c r="AF208">
        <v>10599.7</v>
      </c>
      <c r="AG208" s="16">
        <v>0</v>
      </c>
      <c r="AH208">
        <f t="shared" si="36"/>
        <v>0</v>
      </c>
      <c r="AJ208">
        <v>0.59248000000000001</v>
      </c>
      <c r="AK208">
        <v>10599.7</v>
      </c>
      <c r="AL208" s="17">
        <v>1.56918863548892E-6</v>
      </c>
      <c r="AM208">
        <f t="shared" si="37"/>
        <v>1.6632928779591907E-2</v>
      </c>
      <c r="AO208">
        <v>0.59248000000000001</v>
      </c>
      <c r="AP208">
        <v>10599.7</v>
      </c>
      <c r="AQ208" s="17">
        <v>6.2056980831701303E-9</v>
      </c>
      <c r="AR208">
        <f t="shared" si="38"/>
        <v>6.5778537972178435E-5</v>
      </c>
      <c r="AT208">
        <v>0.59248000000000001</v>
      </c>
      <c r="AU208">
        <v>10599.7</v>
      </c>
      <c r="AV208" s="16">
        <v>0</v>
      </c>
      <c r="AW208">
        <f t="shared" si="39"/>
        <v>0</v>
      </c>
    </row>
    <row r="209" spans="1:49" x14ac:dyDescent="0.3">
      <c r="A209">
        <v>0.66869000000000001</v>
      </c>
      <c r="B209">
        <v>11799.3</v>
      </c>
      <c r="C209" s="17">
        <v>1.87279591151532E-5</v>
      </c>
      <c r="D209">
        <f t="shared" si="30"/>
        <v>0.22097680798742714</v>
      </c>
      <c r="F209">
        <v>0.66869000000000001</v>
      </c>
      <c r="G209">
        <v>11799.3</v>
      </c>
      <c r="H209" s="16">
        <v>0</v>
      </c>
      <c r="I209">
        <f t="shared" si="31"/>
        <v>0</v>
      </c>
      <c r="K209">
        <v>0.66869000000000001</v>
      </c>
      <c r="L209">
        <v>11799.3</v>
      </c>
      <c r="M209" s="16">
        <v>0</v>
      </c>
      <c r="N209">
        <f t="shared" si="32"/>
        <v>0</v>
      </c>
      <c r="P209">
        <v>0.66869000000000001</v>
      </c>
      <c r="Q209">
        <v>11799.3</v>
      </c>
      <c r="R209" s="17">
        <v>5.2446319665472399E-8</v>
      </c>
      <c r="S209">
        <f t="shared" si="33"/>
        <v>6.1882985962880845E-4</v>
      </c>
      <c r="U209">
        <v>0.66869000000000001</v>
      </c>
      <c r="V209">
        <v>11799.3</v>
      </c>
      <c r="W209" s="16">
        <v>0</v>
      </c>
      <c r="X209">
        <f t="shared" si="34"/>
        <v>0</v>
      </c>
      <c r="Z209">
        <v>0.66869000000000001</v>
      </c>
      <c r="AA209">
        <v>11799.3</v>
      </c>
      <c r="AB209" s="16">
        <v>0</v>
      </c>
      <c r="AC209">
        <f t="shared" si="35"/>
        <v>0</v>
      </c>
      <c r="AE209">
        <v>0.66869000000000001</v>
      </c>
      <c r="AF209">
        <v>11799.3</v>
      </c>
      <c r="AG209" s="16">
        <v>0</v>
      </c>
      <c r="AH209">
        <f t="shared" si="36"/>
        <v>0</v>
      </c>
      <c r="AJ209">
        <v>0.66869000000000001</v>
      </c>
      <c r="AK209">
        <v>11799.3</v>
      </c>
      <c r="AL209" s="17">
        <v>1.7153148076030899E-6</v>
      </c>
      <c r="AM209">
        <f t="shared" si="37"/>
        <v>2.0239514009351138E-2</v>
      </c>
      <c r="AO209">
        <v>0.66869000000000001</v>
      </c>
      <c r="AP209">
        <v>11799.3</v>
      </c>
      <c r="AQ209" s="17">
        <v>6.0551111222144103E-9</v>
      </c>
      <c r="AR209">
        <f t="shared" si="38"/>
        <v>7.1446072664344492E-5</v>
      </c>
      <c r="AT209">
        <v>0.66869000000000001</v>
      </c>
      <c r="AU209">
        <v>11799.3</v>
      </c>
      <c r="AV209" s="16">
        <v>0</v>
      </c>
      <c r="AW209">
        <f t="shared" si="39"/>
        <v>0</v>
      </c>
    </row>
    <row r="210" spans="1:49" x14ac:dyDescent="0.3">
      <c r="A210">
        <v>0.75470000000000004</v>
      </c>
      <c r="B210">
        <v>13219.4</v>
      </c>
      <c r="C210" s="17">
        <v>1.7056663996456899E-5</v>
      </c>
      <c r="D210">
        <f t="shared" si="30"/>
        <v>0.22547886403476233</v>
      </c>
      <c r="F210">
        <v>0.75470000000000004</v>
      </c>
      <c r="G210">
        <v>13219.4</v>
      </c>
      <c r="H210" s="16">
        <v>0</v>
      </c>
      <c r="I210">
        <f t="shared" si="31"/>
        <v>0</v>
      </c>
      <c r="K210">
        <v>0.75470000000000004</v>
      </c>
      <c r="L210">
        <v>13219.4</v>
      </c>
      <c r="M210" s="16">
        <v>0</v>
      </c>
      <c r="N210">
        <f t="shared" si="32"/>
        <v>0</v>
      </c>
      <c r="P210">
        <v>0.75470000000000004</v>
      </c>
      <c r="Q210">
        <v>13219.4</v>
      </c>
      <c r="R210" s="17">
        <v>8.5022197354843005E-8</v>
      </c>
      <c r="S210">
        <f t="shared" si="33"/>
        <v>1.1239424357126116E-3</v>
      </c>
      <c r="U210">
        <v>0.75470000000000004</v>
      </c>
      <c r="V210">
        <v>13219.4</v>
      </c>
      <c r="W210" s="17">
        <v>2.6100160540765501E-11</v>
      </c>
      <c r="X210">
        <f t="shared" si="34"/>
        <v>3.4502846225259543E-7</v>
      </c>
      <c r="Z210">
        <v>0.75470000000000004</v>
      </c>
      <c r="AA210">
        <v>13219.4</v>
      </c>
      <c r="AB210" s="16">
        <v>0</v>
      </c>
      <c r="AC210">
        <f t="shared" si="35"/>
        <v>0</v>
      </c>
      <c r="AE210">
        <v>0.75470000000000004</v>
      </c>
      <c r="AF210">
        <v>13219.4</v>
      </c>
      <c r="AG210" s="16">
        <v>0</v>
      </c>
      <c r="AH210">
        <f t="shared" si="36"/>
        <v>0</v>
      </c>
      <c r="AJ210">
        <v>0.75470000000000004</v>
      </c>
      <c r="AK210">
        <v>13219.4</v>
      </c>
      <c r="AL210" s="17">
        <v>1.5965339817156399E-6</v>
      </c>
      <c r="AM210">
        <f t="shared" si="37"/>
        <v>2.1105221317891731E-2</v>
      </c>
      <c r="AO210">
        <v>0.75470000000000004</v>
      </c>
      <c r="AP210">
        <v>13219.4</v>
      </c>
      <c r="AQ210" s="17">
        <v>5.8415570050506702E-9</v>
      </c>
      <c r="AR210">
        <f t="shared" si="38"/>
        <v>7.7221878672566833E-5</v>
      </c>
      <c r="AT210">
        <v>0.75470000000000004</v>
      </c>
      <c r="AU210">
        <v>13219.4</v>
      </c>
      <c r="AV210" s="16">
        <v>0</v>
      </c>
      <c r="AW210">
        <f t="shared" si="39"/>
        <v>0</v>
      </c>
    </row>
    <row r="211" spans="1:49" x14ac:dyDescent="0.3">
      <c r="A211">
        <v>0.85177000000000003</v>
      </c>
      <c r="B211">
        <v>14933.3</v>
      </c>
      <c r="C211" s="17">
        <v>1.59107679076867E-5</v>
      </c>
      <c r="D211">
        <f t="shared" si="30"/>
        <v>0.23760027039585779</v>
      </c>
      <c r="F211">
        <v>0.85177000000000003</v>
      </c>
      <c r="G211">
        <v>14933.3</v>
      </c>
      <c r="H211" s="16">
        <v>0</v>
      </c>
      <c r="I211">
        <f t="shared" si="31"/>
        <v>0</v>
      </c>
      <c r="K211">
        <v>0.85177000000000003</v>
      </c>
      <c r="L211">
        <v>14933.3</v>
      </c>
      <c r="M211" s="16">
        <v>0</v>
      </c>
      <c r="N211">
        <f t="shared" si="32"/>
        <v>0</v>
      </c>
      <c r="P211">
        <v>0.85177000000000003</v>
      </c>
      <c r="Q211">
        <v>14933.3</v>
      </c>
      <c r="R211" s="17">
        <v>1.2178703330213601E-7</v>
      </c>
      <c r="S211">
        <f t="shared" si="33"/>
        <v>1.8186823044107877E-3</v>
      </c>
      <c r="U211">
        <v>0.85177000000000003</v>
      </c>
      <c r="V211">
        <v>14933.3</v>
      </c>
      <c r="W211" s="17">
        <v>1.7532446152093501E-10</v>
      </c>
      <c r="X211">
        <f t="shared" si="34"/>
        <v>2.6181727812305785E-6</v>
      </c>
      <c r="Z211">
        <v>0.85177000000000003</v>
      </c>
      <c r="AA211">
        <v>14933.3</v>
      </c>
      <c r="AB211" s="16">
        <v>0</v>
      </c>
      <c r="AC211">
        <f t="shared" si="35"/>
        <v>0</v>
      </c>
      <c r="AE211">
        <v>0.85177000000000003</v>
      </c>
      <c r="AF211">
        <v>14933.3</v>
      </c>
      <c r="AG211" s="16">
        <v>0</v>
      </c>
      <c r="AH211">
        <f t="shared" si="36"/>
        <v>0</v>
      </c>
      <c r="AJ211">
        <v>0.85177000000000003</v>
      </c>
      <c r="AK211">
        <v>14933.3</v>
      </c>
      <c r="AL211" s="17">
        <v>1.3618189790823E-6</v>
      </c>
      <c r="AM211">
        <f t="shared" si="37"/>
        <v>2.0336451360329709E-2</v>
      </c>
      <c r="AO211">
        <v>0.85177000000000003</v>
      </c>
      <c r="AP211">
        <v>14933.3</v>
      </c>
      <c r="AQ211" s="17">
        <v>5.7392186519765898E-9</v>
      </c>
      <c r="AR211">
        <f t="shared" si="38"/>
        <v>8.5705473895562E-5</v>
      </c>
      <c r="AT211">
        <v>0.85177000000000003</v>
      </c>
      <c r="AU211">
        <v>14933.3</v>
      </c>
      <c r="AV211" s="16">
        <v>0</v>
      </c>
      <c r="AW211">
        <f t="shared" si="39"/>
        <v>0</v>
      </c>
    </row>
    <row r="212" spans="1:49" x14ac:dyDescent="0.3">
      <c r="A212">
        <v>0.96133000000000002</v>
      </c>
      <c r="B212">
        <v>13690.5</v>
      </c>
      <c r="C212" s="17">
        <v>1.52253326848421E-5</v>
      </c>
      <c r="D212">
        <f t="shared" si="30"/>
        <v>0.20844241712183076</v>
      </c>
      <c r="F212">
        <v>0.96133000000000002</v>
      </c>
      <c r="G212">
        <v>13690.5</v>
      </c>
      <c r="H212" s="16">
        <v>0</v>
      </c>
      <c r="I212">
        <f t="shared" si="31"/>
        <v>0</v>
      </c>
      <c r="K212">
        <v>0.96133000000000002</v>
      </c>
      <c r="L212">
        <v>13690.5</v>
      </c>
      <c r="M212" s="16">
        <v>0</v>
      </c>
      <c r="N212">
        <f t="shared" si="32"/>
        <v>0</v>
      </c>
      <c r="P212">
        <v>0.96133000000000002</v>
      </c>
      <c r="Q212">
        <v>13690.5</v>
      </c>
      <c r="R212" s="17">
        <v>1.6328101435844699E-7</v>
      </c>
      <c r="S212">
        <f t="shared" si="33"/>
        <v>2.2353987270743187E-3</v>
      </c>
      <c r="U212">
        <v>0.96133000000000002</v>
      </c>
      <c r="V212">
        <v>13690.5</v>
      </c>
      <c r="W212" s="17">
        <v>1.80734212945676E-9</v>
      </c>
      <c r="X212">
        <f t="shared" si="34"/>
        <v>2.4743417423327772E-5</v>
      </c>
      <c r="Z212">
        <v>0.96133000000000002</v>
      </c>
      <c r="AA212">
        <v>13690.5</v>
      </c>
      <c r="AB212" s="16">
        <v>0</v>
      </c>
      <c r="AC212">
        <f t="shared" si="35"/>
        <v>0</v>
      </c>
      <c r="AE212">
        <v>0.96133000000000002</v>
      </c>
      <c r="AF212">
        <v>13690.5</v>
      </c>
      <c r="AG212" s="16">
        <v>0</v>
      </c>
      <c r="AH212">
        <f t="shared" si="36"/>
        <v>0</v>
      </c>
      <c r="AJ212">
        <v>0.96133000000000002</v>
      </c>
      <c r="AK212">
        <v>13690.5</v>
      </c>
      <c r="AL212" s="17">
        <v>1.1762582965038899E-6</v>
      </c>
      <c r="AM212">
        <f t="shared" si="37"/>
        <v>1.6103564208286503E-2</v>
      </c>
      <c r="AO212">
        <v>0.96133000000000002</v>
      </c>
      <c r="AP212">
        <v>13690.5</v>
      </c>
      <c r="AQ212" s="17">
        <v>5.7077249795641603E-9</v>
      </c>
      <c r="AR212">
        <f t="shared" si="38"/>
        <v>7.8141608832723138E-5</v>
      </c>
      <c r="AT212">
        <v>0.96133000000000002</v>
      </c>
      <c r="AU212">
        <v>13690.5</v>
      </c>
      <c r="AV212" s="16">
        <v>0</v>
      </c>
      <c r="AW212">
        <f t="shared" si="39"/>
        <v>0</v>
      </c>
    </row>
    <row r="213" spans="1:49" x14ac:dyDescent="0.3">
      <c r="A213">
        <v>1.085</v>
      </c>
      <c r="B213">
        <v>11897.9</v>
      </c>
      <c r="C213" s="17">
        <v>1.49797869282598E-5</v>
      </c>
      <c r="D213">
        <f t="shared" si="30"/>
        <v>0.17822800689374227</v>
      </c>
      <c r="F213">
        <v>1.085</v>
      </c>
      <c r="G213">
        <v>11897.9</v>
      </c>
      <c r="H213" s="16">
        <v>0</v>
      </c>
      <c r="I213">
        <f t="shared" si="31"/>
        <v>0</v>
      </c>
      <c r="K213">
        <v>1.085</v>
      </c>
      <c r="L213">
        <v>11897.9</v>
      </c>
      <c r="M213" s="16">
        <v>0</v>
      </c>
      <c r="N213">
        <f t="shared" si="32"/>
        <v>0</v>
      </c>
      <c r="P213">
        <v>1.085</v>
      </c>
      <c r="Q213">
        <v>11897.9</v>
      </c>
      <c r="R213" s="17">
        <v>2.00812955796884E-7</v>
      </c>
      <c r="S213">
        <f t="shared" si="33"/>
        <v>2.3892524667757462E-3</v>
      </c>
      <c r="U213">
        <v>1.085</v>
      </c>
      <c r="V213">
        <v>11897.9</v>
      </c>
      <c r="W213" s="17">
        <v>7.07705035228066E-9</v>
      </c>
      <c r="X213">
        <f t="shared" si="34"/>
        <v>8.4202037386400065E-5</v>
      </c>
      <c r="Z213">
        <v>1.085</v>
      </c>
      <c r="AA213">
        <v>11897.9</v>
      </c>
      <c r="AB213" s="16">
        <v>0</v>
      </c>
      <c r="AC213">
        <f t="shared" si="35"/>
        <v>0</v>
      </c>
      <c r="AE213">
        <v>1.085</v>
      </c>
      <c r="AF213">
        <v>11897.9</v>
      </c>
      <c r="AG213" s="16">
        <v>0</v>
      </c>
      <c r="AH213">
        <f t="shared" si="36"/>
        <v>0</v>
      </c>
      <c r="AJ213">
        <v>1.085</v>
      </c>
      <c r="AK213">
        <v>11897.9</v>
      </c>
      <c r="AL213" s="17">
        <v>1.12525385871419E-6</v>
      </c>
      <c r="AM213">
        <f t="shared" si="37"/>
        <v>1.338815788559556E-2</v>
      </c>
      <c r="AO213">
        <v>1.085</v>
      </c>
      <c r="AP213">
        <v>11897.9</v>
      </c>
      <c r="AQ213" s="17">
        <v>5.7374082482808703E-9</v>
      </c>
      <c r="AR213">
        <f t="shared" si="38"/>
        <v>6.8263109597220968E-5</v>
      </c>
      <c r="AT213">
        <v>1.085</v>
      </c>
      <c r="AU213">
        <v>11897.9</v>
      </c>
      <c r="AV213" s="17">
        <v>1.76784575026259E-11</v>
      </c>
      <c r="AW213">
        <f t="shared" si="39"/>
        <v>2.1033651952049268E-7</v>
      </c>
    </row>
    <row r="214" spans="1:49" x14ac:dyDescent="0.3">
      <c r="A214">
        <v>1.2244999999999999</v>
      </c>
      <c r="B214">
        <v>16705.7</v>
      </c>
      <c r="C214" s="17">
        <v>1.3781860454072699E-5</v>
      </c>
      <c r="D214">
        <f t="shared" si="30"/>
        <v>0.23023562618760229</v>
      </c>
      <c r="F214">
        <v>1.2244999999999999</v>
      </c>
      <c r="G214">
        <v>16705.7</v>
      </c>
      <c r="H214" s="16">
        <v>0</v>
      </c>
      <c r="I214">
        <f t="shared" si="31"/>
        <v>0</v>
      </c>
      <c r="K214">
        <v>1.2244999999999999</v>
      </c>
      <c r="L214">
        <v>16705.7</v>
      </c>
      <c r="M214" s="16">
        <v>0</v>
      </c>
      <c r="N214">
        <f t="shared" si="32"/>
        <v>0</v>
      </c>
      <c r="P214">
        <v>1.2244999999999999</v>
      </c>
      <c r="Q214">
        <v>16705.7</v>
      </c>
      <c r="R214" s="17">
        <v>6.7707114723264204E-7</v>
      </c>
      <c r="S214">
        <f t="shared" si="33"/>
        <v>1.1310947464324348E-2</v>
      </c>
      <c r="U214">
        <v>1.2244999999999999</v>
      </c>
      <c r="V214">
        <v>16705.7</v>
      </c>
      <c r="W214" s="17">
        <v>1.7116334508879101E-8</v>
      </c>
      <c r="X214">
        <f t="shared" si="34"/>
        <v>2.8594034940498161E-4</v>
      </c>
      <c r="Z214">
        <v>1.2244999999999999</v>
      </c>
      <c r="AA214">
        <v>16705.7</v>
      </c>
      <c r="AB214" s="16">
        <v>0</v>
      </c>
      <c r="AC214">
        <f t="shared" si="35"/>
        <v>0</v>
      </c>
      <c r="AE214">
        <v>1.2244999999999999</v>
      </c>
      <c r="AF214">
        <v>16705.7</v>
      </c>
      <c r="AG214" s="16">
        <v>0</v>
      </c>
      <c r="AH214">
        <f t="shared" si="36"/>
        <v>0</v>
      </c>
      <c r="AJ214">
        <v>1.2244999999999999</v>
      </c>
      <c r="AK214">
        <v>16705.7</v>
      </c>
      <c r="AL214" s="17">
        <v>1.09260356904811E-6</v>
      </c>
      <c r="AM214">
        <f t="shared" si="37"/>
        <v>1.8252707443447012E-2</v>
      </c>
      <c r="AO214">
        <v>1.2244999999999999</v>
      </c>
      <c r="AP214">
        <v>16705.7</v>
      </c>
      <c r="AQ214" s="17">
        <v>5.6431937371713603E-9</v>
      </c>
      <c r="AR214">
        <f t="shared" si="38"/>
        <v>9.4273501615063597E-5</v>
      </c>
      <c r="AT214">
        <v>1.2244999999999999</v>
      </c>
      <c r="AU214">
        <v>16705.7</v>
      </c>
      <c r="AV214" s="17">
        <v>6.5316060094312601E-11</v>
      </c>
      <c r="AW214">
        <f t="shared" si="39"/>
        <v>1.091150505117558E-6</v>
      </c>
    </row>
    <row r="215" spans="1:49" x14ac:dyDescent="0.3">
      <c r="A215">
        <v>1.3819999999999999</v>
      </c>
      <c r="B215">
        <v>18471.599999999999</v>
      </c>
      <c r="C215" s="17">
        <v>1.3203852989550201E-5</v>
      </c>
      <c r="D215">
        <f t="shared" si="30"/>
        <v>0.24389629088177547</v>
      </c>
      <c r="F215">
        <v>1.3819999999999999</v>
      </c>
      <c r="G215">
        <v>18471.599999999999</v>
      </c>
      <c r="H215" s="16">
        <v>0</v>
      </c>
      <c r="I215">
        <f t="shared" si="31"/>
        <v>0</v>
      </c>
      <c r="K215">
        <v>1.3819999999999999</v>
      </c>
      <c r="L215">
        <v>18471.599999999999</v>
      </c>
      <c r="M215" s="16">
        <v>0</v>
      </c>
      <c r="N215">
        <f t="shared" si="32"/>
        <v>0</v>
      </c>
      <c r="P215">
        <v>1.3819999999999999</v>
      </c>
      <c r="Q215">
        <v>18471.599999999999</v>
      </c>
      <c r="R215" s="17">
        <v>1.13409435516937E-6</v>
      </c>
      <c r="S215">
        <f t="shared" si="33"/>
        <v>2.0948537290946534E-2</v>
      </c>
      <c r="U215">
        <v>1.3819999999999999</v>
      </c>
      <c r="V215">
        <v>18471.599999999999</v>
      </c>
      <c r="W215" s="17">
        <v>3.9730635600369197E-8</v>
      </c>
      <c r="X215">
        <f t="shared" si="34"/>
        <v>7.3388840855577963E-4</v>
      </c>
      <c r="Z215">
        <v>1.3819999999999999</v>
      </c>
      <c r="AA215">
        <v>18471.599999999999</v>
      </c>
      <c r="AB215" s="16">
        <v>0</v>
      </c>
      <c r="AC215">
        <f t="shared" si="35"/>
        <v>0</v>
      </c>
      <c r="AE215">
        <v>1.3819999999999999</v>
      </c>
      <c r="AF215">
        <v>18471.599999999999</v>
      </c>
      <c r="AG215" s="16">
        <v>0</v>
      </c>
      <c r="AH215">
        <f t="shared" si="36"/>
        <v>0</v>
      </c>
      <c r="AJ215">
        <v>1.3819999999999999</v>
      </c>
      <c r="AK215">
        <v>18471.599999999999</v>
      </c>
      <c r="AL215" s="17">
        <v>1.05173434576298E-6</v>
      </c>
      <c r="AM215">
        <f t="shared" si="37"/>
        <v>1.9427216141195459E-2</v>
      </c>
      <c r="AO215">
        <v>1.3819999999999999</v>
      </c>
      <c r="AP215">
        <v>18471.599999999999</v>
      </c>
      <c r="AQ215" s="17">
        <v>4.7499938549262097E-9</v>
      </c>
      <c r="AR215">
        <f t="shared" si="38"/>
        <v>8.7739986490654973E-5</v>
      </c>
      <c r="AT215">
        <v>1.3819999999999999</v>
      </c>
      <c r="AU215">
        <v>18471.599999999999</v>
      </c>
      <c r="AV215" s="17">
        <v>1.6884541103478499E-9</v>
      </c>
      <c r="AW215">
        <f t="shared" si="39"/>
        <v>3.1188448944701341E-5</v>
      </c>
    </row>
    <row r="216" spans="1:49" x14ac:dyDescent="0.3">
      <c r="A216">
        <v>1.5598000000000001</v>
      </c>
      <c r="B216">
        <v>21511.4</v>
      </c>
      <c r="C216" s="17">
        <v>1.2651410792859499E-5</v>
      </c>
      <c r="D216">
        <f t="shared" si="30"/>
        <v>0.27214955812951785</v>
      </c>
      <c r="F216">
        <v>1.5598000000000001</v>
      </c>
      <c r="G216">
        <v>21511.4</v>
      </c>
      <c r="H216" s="16">
        <v>0</v>
      </c>
      <c r="I216">
        <f t="shared" si="31"/>
        <v>0</v>
      </c>
      <c r="K216">
        <v>1.5598000000000001</v>
      </c>
      <c r="L216">
        <v>21511.4</v>
      </c>
      <c r="M216" s="16">
        <v>0</v>
      </c>
      <c r="N216">
        <f t="shared" si="32"/>
        <v>0</v>
      </c>
      <c r="P216">
        <v>1.5598000000000001</v>
      </c>
      <c r="Q216">
        <v>21511.4</v>
      </c>
      <c r="R216" s="17">
        <v>1.7396116357185499E-6</v>
      </c>
      <c r="S216">
        <f t="shared" si="33"/>
        <v>3.7421481740596015E-2</v>
      </c>
      <c r="U216">
        <v>1.5598000000000001</v>
      </c>
      <c r="V216">
        <v>21511.4</v>
      </c>
      <c r="W216" s="17">
        <v>7.1535834703683797E-8</v>
      </c>
      <c r="X216">
        <f t="shared" si="34"/>
        <v>1.5388359546448238E-3</v>
      </c>
      <c r="Z216">
        <v>1.5598000000000001</v>
      </c>
      <c r="AA216">
        <v>21511.4</v>
      </c>
      <c r="AB216" s="16">
        <v>0</v>
      </c>
      <c r="AC216">
        <f t="shared" si="35"/>
        <v>0</v>
      </c>
      <c r="AE216">
        <v>1.5598000000000001</v>
      </c>
      <c r="AF216">
        <v>21511.4</v>
      </c>
      <c r="AG216" s="16">
        <v>0</v>
      </c>
      <c r="AH216">
        <f t="shared" si="36"/>
        <v>0</v>
      </c>
      <c r="AJ216">
        <v>1.5598000000000001</v>
      </c>
      <c r="AK216">
        <v>21511.4</v>
      </c>
      <c r="AL216" s="17">
        <v>1.01705505280633E-6</v>
      </c>
      <c r="AM216">
        <f t="shared" si="37"/>
        <v>2.187827806293809E-2</v>
      </c>
      <c r="AO216">
        <v>1.5598000000000001</v>
      </c>
      <c r="AP216">
        <v>21511.4</v>
      </c>
      <c r="AQ216" s="17">
        <v>3.9571381247299E-9</v>
      </c>
      <c r="AR216">
        <f t="shared" si="38"/>
        <v>8.5123581056314776E-5</v>
      </c>
      <c r="AT216">
        <v>1.5598000000000001</v>
      </c>
      <c r="AU216">
        <v>21511.4</v>
      </c>
      <c r="AV216" s="17">
        <v>3.3929452959496302E-8</v>
      </c>
      <c r="AW216">
        <f t="shared" si="39"/>
        <v>7.2987003439290874E-4</v>
      </c>
    </row>
    <row r="217" spans="1:49" x14ac:dyDescent="0.3">
      <c r="A217">
        <v>1.7604</v>
      </c>
      <c r="B217">
        <v>22451.8</v>
      </c>
      <c r="C217" s="17">
        <v>1.17759702088153E-5</v>
      </c>
      <c r="D217">
        <f t="shared" si="30"/>
        <v>0.26439172793427934</v>
      </c>
      <c r="F217">
        <v>1.7604</v>
      </c>
      <c r="G217">
        <v>22451.8</v>
      </c>
      <c r="H217" s="16">
        <v>0</v>
      </c>
      <c r="I217">
        <f t="shared" si="31"/>
        <v>0</v>
      </c>
      <c r="K217">
        <v>1.7604</v>
      </c>
      <c r="L217">
        <v>22451.8</v>
      </c>
      <c r="M217" s="16">
        <v>0</v>
      </c>
      <c r="N217">
        <f t="shared" si="32"/>
        <v>0</v>
      </c>
      <c r="P217">
        <v>1.7604</v>
      </c>
      <c r="Q217">
        <v>22451.8</v>
      </c>
      <c r="R217" s="17">
        <v>2.7767512710386901E-6</v>
      </c>
      <c r="S217">
        <f t="shared" si="33"/>
        <v>6.2343064187106459E-2</v>
      </c>
      <c r="U217">
        <v>1.7604</v>
      </c>
      <c r="V217">
        <v>22451.8</v>
      </c>
      <c r="W217" s="17">
        <v>1.4916889534330801E-7</v>
      </c>
      <c r="X217">
        <f t="shared" si="34"/>
        <v>3.3491102044688826E-3</v>
      </c>
      <c r="Z217">
        <v>1.7604</v>
      </c>
      <c r="AA217">
        <v>22451.8</v>
      </c>
      <c r="AB217" s="16">
        <v>0</v>
      </c>
      <c r="AC217">
        <f t="shared" si="35"/>
        <v>0</v>
      </c>
      <c r="AE217">
        <v>1.7604</v>
      </c>
      <c r="AF217">
        <v>22451.8</v>
      </c>
      <c r="AG217" s="16">
        <v>0</v>
      </c>
      <c r="AH217">
        <f t="shared" si="36"/>
        <v>0</v>
      </c>
      <c r="AJ217">
        <v>1.7604</v>
      </c>
      <c r="AK217">
        <v>22451.8</v>
      </c>
      <c r="AL217" s="17">
        <v>9.8402738813209993E-7</v>
      </c>
      <c r="AM217">
        <f t="shared" si="37"/>
        <v>2.2093186112864281E-2</v>
      </c>
      <c r="AO217">
        <v>1.7604</v>
      </c>
      <c r="AP217">
        <v>22451.8</v>
      </c>
      <c r="AQ217" s="17">
        <v>3.4175826842049901E-9</v>
      </c>
      <c r="AR217">
        <f t="shared" si="38"/>
        <v>7.673088290923359E-5</v>
      </c>
      <c r="AT217">
        <v>1.7604</v>
      </c>
      <c r="AU217">
        <v>22451.8</v>
      </c>
      <c r="AV217" s="17">
        <v>5.0818275099136203E-7</v>
      </c>
      <c r="AW217">
        <f t="shared" si="39"/>
        <v>1.1409617488707861E-2</v>
      </c>
    </row>
    <row r="218" spans="1:49" x14ac:dyDescent="0.3">
      <c r="A218">
        <v>1.9869000000000001</v>
      </c>
      <c r="B218">
        <v>24401.3</v>
      </c>
      <c r="C218" s="17">
        <v>1.00238912274787E-5</v>
      </c>
      <c r="D218">
        <f t="shared" si="30"/>
        <v>0.24459597700907601</v>
      </c>
      <c r="F218">
        <v>1.9869000000000001</v>
      </c>
      <c r="G218">
        <v>24401.3</v>
      </c>
      <c r="H218" s="16">
        <v>0</v>
      </c>
      <c r="I218">
        <f t="shared" si="31"/>
        <v>0</v>
      </c>
      <c r="K218">
        <v>1.9869000000000001</v>
      </c>
      <c r="L218">
        <v>24401.3</v>
      </c>
      <c r="M218" s="16">
        <v>0</v>
      </c>
      <c r="N218">
        <f t="shared" si="32"/>
        <v>0</v>
      </c>
      <c r="P218">
        <v>1.9869000000000001</v>
      </c>
      <c r="Q218">
        <v>24401.3</v>
      </c>
      <c r="R218" s="17">
        <v>4.1601439576259102E-6</v>
      </c>
      <c r="S218">
        <f t="shared" si="33"/>
        <v>0.10151292075321712</v>
      </c>
      <c r="U218">
        <v>1.9869000000000001</v>
      </c>
      <c r="V218">
        <v>24401.3</v>
      </c>
      <c r="W218" s="17">
        <v>3.0300490130188799E-7</v>
      </c>
      <c r="X218">
        <f t="shared" si="34"/>
        <v>7.393713498137759E-3</v>
      </c>
      <c r="Z218">
        <v>1.9869000000000001</v>
      </c>
      <c r="AA218">
        <v>24401.3</v>
      </c>
      <c r="AB218" s="17">
        <v>1.54677327642773E-12</v>
      </c>
      <c r="AC218">
        <f t="shared" si="35"/>
        <v>3.7743278750095967E-8</v>
      </c>
      <c r="AE218">
        <v>1.9869000000000001</v>
      </c>
      <c r="AF218">
        <v>24401.3</v>
      </c>
      <c r="AG218" s="16">
        <v>0</v>
      </c>
      <c r="AH218">
        <f t="shared" si="36"/>
        <v>0</v>
      </c>
      <c r="AJ218">
        <v>1.9869000000000001</v>
      </c>
      <c r="AK218">
        <v>24401.3</v>
      </c>
      <c r="AL218" s="17">
        <v>9.6039489086853598E-7</v>
      </c>
      <c r="AM218">
        <f t="shared" si="37"/>
        <v>2.3434883850550408E-2</v>
      </c>
      <c r="AO218">
        <v>1.9869000000000001</v>
      </c>
      <c r="AP218">
        <v>24401.3</v>
      </c>
      <c r="AQ218" s="17">
        <v>2.8385016279678398E-9</v>
      </c>
      <c r="AR218">
        <f t="shared" si="38"/>
        <v>6.9263129774531647E-5</v>
      </c>
      <c r="AT218">
        <v>1.9869000000000001</v>
      </c>
      <c r="AU218">
        <v>24401.3</v>
      </c>
      <c r="AV218" s="17">
        <v>1.8204367639813999E-6</v>
      </c>
      <c r="AW218">
        <f t="shared" si="39"/>
        <v>4.4421023608939333E-2</v>
      </c>
    </row>
    <row r="219" spans="1:49" x14ac:dyDescent="0.3">
      <c r="A219">
        <v>2.2423999999999999</v>
      </c>
      <c r="B219">
        <v>28565.3</v>
      </c>
      <c r="C219" s="17">
        <v>8.9550306205874795E-6</v>
      </c>
      <c r="D219">
        <f t="shared" si="30"/>
        <v>0.25580313618626754</v>
      </c>
      <c r="F219">
        <v>2.2423999999999999</v>
      </c>
      <c r="G219">
        <v>28565.3</v>
      </c>
      <c r="H219" s="16">
        <v>0</v>
      </c>
      <c r="I219">
        <f t="shared" si="31"/>
        <v>0</v>
      </c>
      <c r="K219">
        <v>2.2423999999999999</v>
      </c>
      <c r="L219">
        <v>28565.3</v>
      </c>
      <c r="M219" s="16">
        <v>0</v>
      </c>
      <c r="N219">
        <f t="shared" si="32"/>
        <v>0</v>
      </c>
      <c r="P219">
        <v>2.2423999999999999</v>
      </c>
      <c r="Q219">
        <v>28565.3</v>
      </c>
      <c r="R219" s="17">
        <v>4.9786485979925499E-6</v>
      </c>
      <c r="S219">
        <f t="shared" si="33"/>
        <v>0.14221659079623658</v>
      </c>
      <c r="U219">
        <v>2.2423999999999999</v>
      </c>
      <c r="V219">
        <v>28565.3</v>
      </c>
      <c r="W219" s="17">
        <v>8.1813254955787503E-7</v>
      </c>
      <c r="X219">
        <f t="shared" si="34"/>
        <v>2.3370201717885567E-2</v>
      </c>
      <c r="Z219">
        <v>2.2423999999999999</v>
      </c>
      <c r="AA219">
        <v>28565.3</v>
      </c>
      <c r="AB219" s="17">
        <v>3.0335348091523098E-12</v>
      </c>
      <c r="AC219">
        <f t="shared" si="35"/>
        <v>8.6653831883878469E-8</v>
      </c>
      <c r="AE219">
        <v>2.2423999999999999</v>
      </c>
      <c r="AF219">
        <v>28565.3</v>
      </c>
      <c r="AG219" s="16">
        <v>0</v>
      </c>
      <c r="AH219">
        <f t="shared" si="36"/>
        <v>0</v>
      </c>
      <c r="AJ219">
        <v>2.2423999999999999</v>
      </c>
      <c r="AK219">
        <v>28565.3</v>
      </c>
      <c r="AL219" s="17">
        <v>9.3017058339769395E-7</v>
      </c>
      <c r="AM219">
        <f t="shared" si="37"/>
        <v>2.6570601765930145E-2</v>
      </c>
      <c r="AO219">
        <v>2.2423999999999999</v>
      </c>
      <c r="AP219">
        <v>28565.3</v>
      </c>
      <c r="AQ219" s="17">
        <v>2.5021800845543999E-9</v>
      </c>
      <c r="AR219">
        <f t="shared" si="38"/>
        <v>7.147552476932179E-5</v>
      </c>
      <c r="AT219">
        <v>2.2423999999999999</v>
      </c>
      <c r="AU219">
        <v>28565.3</v>
      </c>
      <c r="AV219" s="17">
        <v>8.6581528202984494E-6</v>
      </c>
      <c r="AW219">
        <f t="shared" si="39"/>
        <v>0.2473227327576713</v>
      </c>
    </row>
    <row r="220" spans="1:49" x14ac:dyDescent="0.3">
      <c r="A220">
        <v>2.5308999999999999</v>
      </c>
      <c r="B220">
        <v>32989.199999999997</v>
      </c>
      <c r="C220" s="17">
        <v>6.7604222164269103E-6</v>
      </c>
      <c r="D220">
        <f t="shared" si="30"/>
        <v>0.22302092058215062</v>
      </c>
      <c r="F220">
        <v>2.5308999999999999</v>
      </c>
      <c r="G220">
        <v>32989.199999999997</v>
      </c>
      <c r="H220" s="16">
        <v>0</v>
      </c>
      <c r="I220">
        <f t="shared" si="31"/>
        <v>0</v>
      </c>
      <c r="K220">
        <v>2.5308999999999999</v>
      </c>
      <c r="L220">
        <v>32989.199999999997</v>
      </c>
      <c r="M220" s="16">
        <v>0</v>
      </c>
      <c r="N220">
        <f t="shared" si="32"/>
        <v>0</v>
      </c>
      <c r="P220">
        <v>2.5308999999999999</v>
      </c>
      <c r="Q220">
        <v>32989.199999999997</v>
      </c>
      <c r="R220" s="17">
        <v>1.37281843057214E-5</v>
      </c>
      <c r="S220">
        <f t="shared" si="33"/>
        <v>0.45288181769830438</v>
      </c>
      <c r="U220">
        <v>2.5308999999999999</v>
      </c>
      <c r="V220">
        <v>32989.199999999997</v>
      </c>
      <c r="W220" s="17">
        <v>1.4399944748688401E-6</v>
      </c>
      <c r="X220">
        <f t="shared" si="34"/>
        <v>4.7504265730343137E-2</v>
      </c>
      <c r="Z220">
        <v>2.5308999999999999</v>
      </c>
      <c r="AA220">
        <v>32989.199999999997</v>
      </c>
      <c r="AB220" s="17">
        <v>4.8260292055667999E-11</v>
      </c>
      <c r="AC220">
        <f t="shared" si="35"/>
        <v>1.5920684266828426E-6</v>
      </c>
      <c r="AE220">
        <v>2.5308999999999999</v>
      </c>
      <c r="AF220">
        <v>32989.199999999997</v>
      </c>
      <c r="AG220" s="16">
        <v>0</v>
      </c>
      <c r="AH220">
        <f t="shared" si="36"/>
        <v>0</v>
      </c>
      <c r="AJ220">
        <v>2.5308999999999999</v>
      </c>
      <c r="AK220">
        <v>32989.199999999997</v>
      </c>
      <c r="AL220" s="17">
        <v>9.0649397736694302E-7</v>
      </c>
      <c r="AM220">
        <f t="shared" si="37"/>
        <v>2.9904511118153555E-2</v>
      </c>
      <c r="AO220">
        <v>2.5308999999999999</v>
      </c>
      <c r="AP220">
        <v>32989.199999999997</v>
      </c>
      <c r="AQ220" s="17">
        <v>2.0528875125544299E-9</v>
      </c>
      <c r="AR220">
        <f t="shared" si="38"/>
        <v>6.7723116729160587E-5</v>
      </c>
      <c r="AT220">
        <v>2.5308999999999999</v>
      </c>
      <c r="AU220">
        <v>32989.199999999997</v>
      </c>
      <c r="AV220" s="17">
        <v>1.9116823926056699E-5</v>
      </c>
      <c r="AW220">
        <f t="shared" si="39"/>
        <v>0.63064872786146964</v>
      </c>
    </row>
    <row r="221" spans="1:49" x14ac:dyDescent="0.3">
      <c r="A221">
        <v>2.8563999999999998</v>
      </c>
      <c r="B221">
        <v>33968.1</v>
      </c>
      <c r="C221" s="17">
        <v>5.1418413093675397E-6</v>
      </c>
      <c r="D221">
        <f t="shared" si="30"/>
        <v>0.17465857978072752</v>
      </c>
      <c r="F221">
        <v>2.8563999999999998</v>
      </c>
      <c r="G221">
        <v>33968.1</v>
      </c>
      <c r="H221" s="16">
        <v>0</v>
      </c>
      <c r="I221">
        <f t="shared" si="31"/>
        <v>0</v>
      </c>
      <c r="K221">
        <v>2.8563999999999998</v>
      </c>
      <c r="L221">
        <v>33968.1</v>
      </c>
      <c r="M221" s="16">
        <v>0</v>
      </c>
      <c r="N221">
        <f t="shared" si="32"/>
        <v>0</v>
      </c>
      <c r="P221">
        <v>2.8563999999999998</v>
      </c>
      <c r="Q221">
        <v>33968.1</v>
      </c>
      <c r="R221" s="17">
        <v>1.79424382673167E-5</v>
      </c>
      <c r="S221">
        <f t="shared" si="33"/>
        <v>0.60947053730804035</v>
      </c>
      <c r="U221">
        <v>2.8563999999999998</v>
      </c>
      <c r="V221">
        <v>33968.1</v>
      </c>
      <c r="W221" s="17">
        <v>3.0413682018476699E-6</v>
      </c>
      <c r="X221">
        <f t="shared" si="34"/>
        <v>0.10330949921718183</v>
      </c>
      <c r="Z221">
        <v>2.8563999999999998</v>
      </c>
      <c r="AA221">
        <v>33968.1</v>
      </c>
      <c r="AB221" s="17">
        <v>2.0893137608279299E-10</v>
      </c>
      <c r="AC221">
        <f t="shared" si="35"/>
        <v>7.0970018759179204E-6</v>
      </c>
      <c r="AE221">
        <v>2.8563999999999998</v>
      </c>
      <c r="AF221">
        <v>33968.1</v>
      </c>
      <c r="AG221" s="16">
        <v>0</v>
      </c>
      <c r="AH221">
        <f t="shared" si="36"/>
        <v>0</v>
      </c>
      <c r="AJ221">
        <v>2.8563999999999998</v>
      </c>
      <c r="AK221">
        <v>33968.1</v>
      </c>
      <c r="AL221" s="17">
        <v>8.7720575595527503E-7</v>
      </c>
      <c r="AM221">
        <f t="shared" si="37"/>
        <v>2.9797012838864375E-2</v>
      </c>
      <c r="AO221">
        <v>2.8563999999999998</v>
      </c>
      <c r="AP221">
        <v>33968.1</v>
      </c>
      <c r="AQ221" s="17">
        <v>1.6372803961213599E-9</v>
      </c>
      <c r="AR221">
        <f t="shared" si="38"/>
        <v>5.5615304223489962E-5</v>
      </c>
      <c r="AT221">
        <v>2.8563999999999998</v>
      </c>
      <c r="AU221">
        <v>33968.1</v>
      </c>
      <c r="AV221" s="17">
        <v>2.1337491125418999E-5</v>
      </c>
      <c r="AW221">
        <f t="shared" si="39"/>
        <v>0.72479403229734507</v>
      </c>
    </row>
    <row r="222" spans="1:49" x14ac:dyDescent="0.3">
      <c r="A222">
        <v>3.2238000000000002</v>
      </c>
      <c r="B222">
        <v>34780.699999999997</v>
      </c>
      <c r="C222" s="17">
        <v>4.1888244397017904E-6</v>
      </c>
      <c r="D222">
        <f t="shared" si="30"/>
        <v>0.14569024618993603</v>
      </c>
      <c r="F222">
        <v>3.2238000000000002</v>
      </c>
      <c r="G222">
        <v>34780.699999999997</v>
      </c>
      <c r="H222" s="17">
        <v>1.9228333694907701E-13</v>
      </c>
      <c r="I222">
        <f t="shared" si="31"/>
        <v>6.6877490574247619E-9</v>
      </c>
      <c r="K222">
        <v>3.2238000000000002</v>
      </c>
      <c r="L222">
        <v>34780.699999999997</v>
      </c>
      <c r="M222" s="17">
        <v>2.98403342993714E-11</v>
      </c>
      <c r="N222">
        <f t="shared" si="32"/>
        <v>1.0378677151661467E-6</v>
      </c>
      <c r="P222">
        <v>3.2238000000000002</v>
      </c>
      <c r="Q222">
        <v>34780.699999999997</v>
      </c>
      <c r="R222" s="17">
        <v>2.46092944570132E-5</v>
      </c>
      <c r="S222">
        <f t="shared" si="33"/>
        <v>0.85592848772103891</v>
      </c>
      <c r="U222">
        <v>3.2238000000000002</v>
      </c>
      <c r="V222">
        <v>34780.699999999997</v>
      </c>
      <c r="W222" s="17">
        <v>3.97752108490011E-6</v>
      </c>
      <c r="X222">
        <f t="shared" si="34"/>
        <v>0.13834096759758524</v>
      </c>
      <c r="Z222">
        <v>3.2238000000000002</v>
      </c>
      <c r="AA222">
        <v>34780.699999999997</v>
      </c>
      <c r="AB222" s="17">
        <v>4.6310946331083299E-10</v>
      </c>
      <c r="AC222">
        <f t="shared" si="35"/>
        <v>1.6107271310575087E-5</v>
      </c>
      <c r="AE222">
        <v>3.2238000000000002</v>
      </c>
      <c r="AF222">
        <v>34780.699999999997</v>
      </c>
      <c r="AG222" s="16">
        <v>0</v>
      </c>
      <c r="AH222">
        <f t="shared" si="36"/>
        <v>0</v>
      </c>
      <c r="AJ222">
        <v>3.2238000000000002</v>
      </c>
      <c r="AK222">
        <v>34780.699999999997</v>
      </c>
      <c r="AL222" s="17">
        <v>8.4828510760349305E-7</v>
      </c>
      <c r="AM222">
        <f t="shared" si="37"/>
        <v>2.9503949842024809E-2</v>
      </c>
      <c r="AO222">
        <v>3.2238000000000002</v>
      </c>
      <c r="AP222">
        <v>34780.699999999997</v>
      </c>
      <c r="AQ222" s="17">
        <v>1.2415647456750699E-9</v>
      </c>
      <c r="AR222">
        <f t="shared" si="38"/>
        <v>4.3182490949900899E-5</v>
      </c>
      <c r="AT222">
        <v>3.2238000000000002</v>
      </c>
      <c r="AU222">
        <v>34780.699999999997</v>
      </c>
      <c r="AV222" s="17">
        <v>3.2822851540357099E-5</v>
      </c>
      <c r="AW222">
        <f t="shared" si="39"/>
        <v>1.141601752569698</v>
      </c>
    </row>
    <row r="223" spans="1:49" x14ac:dyDescent="0.3">
      <c r="A223">
        <v>3.6385000000000001</v>
      </c>
      <c r="B223">
        <v>34700.199999999997</v>
      </c>
      <c r="C223" s="17">
        <v>3.1978261633867602E-6</v>
      </c>
      <c r="D223">
        <f t="shared" si="30"/>
        <v>0.11096520743475324</v>
      </c>
      <c r="F223">
        <v>3.6385000000000001</v>
      </c>
      <c r="G223">
        <v>34700.199999999997</v>
      </c>
      <c r="H223" s="17">
        <v>2.10253748510955E-12</v>
      </c>
      <c r="I223">
        <f t="shared" si="31"/>
        <v>7.2958471240798403E-8</v>
      </c>
      <c r="K223">
        <v>3.6385000000000001</v>
      </c>
      <c r="L223">
        <v>34700.199999999997</v>
      </c>
      <c r="M223" s="17">
        <v>9.601783699155381E-10</v>
      </c>
      <c r="N223">
        <f t="shared" si="32"/>
        <v>3.3318381471743152E-5</v>
      </c>
      <c r="P223">
        <v>3.6385000000000001</v>
      </c>
      <c r="Q223">
        <v>34700.199999999997</v>
      </c>
      <c r="R223" s="17">
        <v>3.4861796942933402E-5</v>
      </c>
      <c r="S223">
        <f t="shared" si="33"/>
        <v>1.2097113262791774</v>
      </c>
      <c r="U223">
        <v>3.6385000000000001</v>
      </c>
      <c r="V223">
        <v>34700.199999999997</v>
      </c>
      <c r="W223" s="17">
        <v>5.5192514557505402E-6</v>
      </c>
      <c r="X223">
        <f t="shared" si="34"/>
        <v>0.19151912936483487</v>
      </c>
      <c r="Z223">
        <v>3.6385000000000001</v>
      </c>
      <c r="AA223">
        <v>34700.199999999997</v>
      </c>
      <c r="AB223" s="17">
        <v>2.4558743895755902E-9</v>
      </c>
      <c r="AC223">
        <f t="shared" si="35"/>
        <v>8.521933249315089E-5</v>
      </c>
      <c r="AE223">
        <v>3.6385000000000001</v>
      </c>
      <c r="AF223">
        <v>34700.199999999997</v>
      </c>
      <c r="AG223" s="16">
        <v>0</v>
      </c>
      <c r="AH223">
        <f t="shared" si="36"/>
        <v>0</v>
      </c>
      <c r="AJ223">
        <v>3.6385000000000001</v>
      </c>
      <c r="AK223">
        <v>34700.199999999997</v>
      </c>
      <c r="AL223" s="17">
        <v>8.2073183103448503E-7</v>
      </c>
      <c r="AM223">
        <f t="shared" si="37"/>
        <v>2.8479558683262834E-2</v>
      </c>
      <c r="AO223">
        <v>3.6385000000000001</v>
      </c>
      <c r="AP223">
        <v>34700.199999999997</v>
      </c>
      <c r="AQ223" s="17">
        <v>8.50609216316574E-10</v>
      </c>
      <c r="AR223">
        <f t="shared" si="38"/>
        <v>2.9516309928028378E-5</v>
      </c>
      <c r="AT223">
        <v>3.6385000000000001</v>
      </c>
      <c r="AU223">
        <v>34700.199999999997</v>
      </c>
      <c r="AV223" s="17">
        <v>4.3996756168143302E-5</v>
      </c>
      <c r="AW223">
        <f t="shared" si="39"/>
        <v>1.526696238385806</v>
      </c>
    </row>
    <row r="224" spans="1:49" x14ac:dyDescent="0.3">
      <c r="A224">
        <v>4.1064999999999996</v>
      </c>
      <c r="B224">
        <v>34376.9</v>
      </c>
      <c r="C224" s="17">
        <v>2.4121053671840902E-6</v>
      </c>
      <c r="D224">
        <f t="shared" si="30"/>
        <v>8.2920704997150749E-2</v>
      </c>
      <c r="F224">
        <v>4.1064999999999996</v>
      </c>
      <c r="G224">
        <v>34376.9</v>
      </c>
      <c r="H224" s="17">
        <v>7.1330009234252201E-9</v>
      </c>
      <c r="I224">
        <f t="shared" si="31"/>
        <v>2.4521045944449644E-4</v>
      </c>
      <c r="K224">
        <v>4.1064999999999996</v>
      </c>
      <c r="L224">
        <v>34376.9</v>
      </c>
      <c r="M224" s="17">
        <v>3.09577139263138E-9</v>
      </c>
      <c r="N224">
        <f t="shared" si="32"/>
        <v>1.0642302358734969E-4</v>
      </c>
      <c r="P224">
        <v>4.1064999999999996</v>
      </c>
      <c r="Q224">
        <v>34376.9</v>
      </c>
      <c r="R224" s="17">
        <v>4.5035881571201501E-5</v>
      </c>
      <c r="S224">
        <f t="shared" si="33"/>
        <v>1.5481939971850369</v>
      </c>
      <c r="U224">
        <v>4.1064999999999996</v>
      </c>
      <c r="V224">
        <v>34376.9</v>
      </c>
      <c r="W224" s="17">
        <v>8.1632360843638397E-6</v>
      </c>
      <c r="X224">
        <f t="shared" si="34"/>
        <v>0.28062675054856728</v>
      </c>
      <c r="Z224">
        <v>4.1064999999999996</v>
      </c>
      <c r="AA224">
        <v>34376.9</v>
      </c>
      <c r="AB224" s="17">
        <v>1.0430075424389399E-8</v>
      </c>
      <c r="AC224">
        <f t="shared" si="35"/>
        <v>3.5855365985669197E-4</v>
      </c>
      <c r="AE224">
        <v>4.1064999999999996</v>
      </c>
      <c r="AF224">
        <v>34376.9</v>
      </c>
      <c r="AG224" s="17">
        <v>6.9103087128657699E-9</v>
      </c>
      <c r="AH224">
        <f t="shared" si="36"/>
        <v>2.3755499159131531E-4</v>
      </c>
      <c r="AJ224">
        <v>4.1064999999999996</v>
      </c>
      <c r="AK224">
        <v>34376.9</v>
      </c>
      <c r="AL224" s="17">
        <v>7.9258798708259395E-7</v>
      </c>
      <c r="AM224">
        <f t="shared" si="37"/>
        <v>2.7246717973139625E-2</v>
      </c>
      <c r="AO224">
        <v>4.1064999999999996</v>
      </c>
      <c r="AP224">
        <v>34376.9</v>
      </c>
      <c r="AQ224" s="17">
        <v>6.5649235598905099E-10</v>
      </c>
      <c r="AR224">
        <f t="shared" si="38"/>
        <v>2.2568172072600009E-5</v>
      </c>
      <c r="AT224">
        <v>4.1064999999999996</v>
      </c>
      <c r="AU224">
        <v>34376.9</v>
      </c>
      <c r="AV224" s="17">
        <v>4.80697115026364E-5</v>
      </c>
      <c r="AW224">
        <f t="shared" si="39"/>
        <v>1.6524876653549814</v>
      </c>
    </row>
    <row r="225" spans="1:49" x14ac:dyDescent="0.3">
      <c r="A225">
        <v>4.6346999999999996</v>
      </c>
      <c r="B225">
        <v>34662.1</v>
      </c>
      <c r="C225" s="17">
        <v>1.8519935901438599E-6</v>
      </c>
      <c r="D225">
        <f t="shared" si="30"/>
        <v>6.4193987020925478E-2</v>
      </c>
      <c r="F225">
        <v>4.6346999999999996</v>
      </c>
      <c r="G225">
        <v>34662.1</v>
      </c>
      <c r="H225" s="17">
        <v>1.8514039950214201E-7</v>
      </c>
      <c r="I225">
        <f t="shared" si="31"/>
        <v>6.4173550415831965E-3</v>
      </c>
      <c r="K225">
        <v>4.6346999999999996</v>
      </c>
      <c r="L225">
        <v>34662.1</v>
      </c>
      <c r="M225" s="17">
        <v>6.03027710274001E-9</v>
      </c>
      <c r="N225">
        <f t="shared" si="32"/>
        <v>2.0902206796288448E-4</v>
      </c>
      <c r="P225">
        <v>4.6346999999999996</v>
      </c>
      <c r="Q225">
        <v>34662.1</v>
      </c>
      <c r="R225" s="17">
        <v>5.1292867729337199E-5</v>
      </c>
      <c r="S225">
        <f t="shared" si="33"/>
        <v>1.7779185105210589</v>
      </c>
      <c r="U225">
        <v>4.6346999999999996</v>
      </c>
      <c r="V225">
        <v>34662.1</v>
      </c>
      <c r="W225" s="17">
        <v>1.0350441277927299E-5</v>
      </c>
      <c r="X225">
        <f t="shared" si="34"/>
        <v>0.3587680306196438</v>
      </c>
      <c r="Z225">
        <v>4.6346999999999996</v>
      </c>
      <c r="AA225">
        <v>34662.1</v>
      </c>
      <c r="AB225" s="17">
        <v>2.8405366728440899E-8</v>
      </c>
      <c r="AC225">
        <f t="shared" si="35"/>
        <v>9.8458966207789133E-4</v>
      </c>
      <c r="AE225">
        <v>4.6346999999999996</v>
      </c>
      <c r="AF225">
        <v>34662.1</v>
      </c>
      <c r="AG225" s="17">
        <v>1.8684280781548599E-8</v>
      </c>
      <c r="AH225">
        <f t="shared" si="36"/>
        <v>6.4763640887811566E-4</v>
      </c>
      <c r="AJ225">
        <v>4.6346999999999996</v>
      </c>
      <c r="AK225">
        <v>34662.1</v>
      </c>
      <c r="AL225" s="17">
        <v>7.8415586108882297E-7</v>
      </c>
      <c r="AM225">
        <f t="shared" si="37"/>
        <v>2.7180488872646888E-2</v>
      </c>
      <c r="AO225">
        <v>4.6346999999999996</v>
      </c>
      <c r="AP225">
        <v>34662.1</v>
      </c>
      <c r="AQ225" s="17">
        <v>5.66274977303178E-10</v>
      </c>
      <c r="AR225">
        <f t="shared" si="38"/>
        <v>1.9628279890780487E-5</v>
      </c>
      <c r="AT225">
        <v>4.6346999999999996</v>
      </c>
      <c r="AU225">
        <v>34662.1</v>
      </c>
      <c r="AV225" s="17">
        <v>7.4071691606364601E-5</v>
      </c>
      <c r="AW225">
        <f t="shared" si="39"/>
        <v>2.5674803816289704</v>
      </c>
    </row>
    <row r="226" spans="1:49" x14ac:dyDescent="0.3">
      <c r="A226">
        <v>5.2308000000000003</v>
      </c>
      <c r="B226">
        <v>35846.300000000003</v>
      </c>
      <c r="C226" s="17">
        <v>1.31622155708229E-6</v>
      </c>
      <c r="D226">
        <f t="shared" si="30"/>
        <v>4.7181672801638895E-2</v>
      </c>
      <c r="F226">
        <v>5.2308000000000003</v>
      </c>
      <c r="G226">
        <v>35846.300000000003</v>
      </c>
      <c r="H226" s="17">
        <v>1.5246846936896401E-6</v>
      </c>
      <c r="I226">
        <f t="shared" si="31"/>
        <v>5.4654304935406947E-2</v>
      </c>
      <c r="K226">
        <v>5.2308000000000003</v>
      </c>
      <c r="L226">
        <v>35846.300000000003</v>
      </c>
      <c r="M226" s="17">
        <v>7.0069116739235499E-8</v>
      </c>
      <c r="N226">
        <f t="shared" si="32"/>
        <v>2.5117185793696577E-3</v>
      </c>
      <c r="P226">
        <v>5.2308000000000003</v>
      </c>
      <c r="Q226">
        <v>35846.300000000003</v>
      </c>
      <c r="R226" s="17">
        <v>5.6249635215436501E-5</v>
      </c>
      <c r="S226">
        <f t="shared" si="33"/>
        <v>2.0163412988231015</v>
      </c>
      <c r="U226">
        <v>5.2308000000000003</v>
      </c>
      <c r="V226">
        <v>35846.300000000003</v>
      </c>
      <c r="W226" s="17">
        <v>1.26199949258222E-5</v>
      </c>
      <c r="X226">
        <f t="shared" si="34"/>
        <v>0.45238012410950035</v>
      </c>
      <c r="Z226">
        <v>5.2308000000000003</v>
      </c>
      <c r="AA226">
        <v>35846.300000000003</v>
      </c>
      <c r="AB226" s="17">
        <v>6.3545228068305806E-8</v>
      </c>
      <c r="AC226">
        <f t="shared" si="35"/>
        <v>2.2778613089049107E-3</v>
      </c>
      <c r="AE226">
        <v>5.2308000000000003</v>
      </c>
      <c r="AF226">
        <v>35846.300000000003</v>
      </c>
      <c r="AG226" s="17">
        <v>1.1722541065555299E-7</v>
      </c>
      <c r="AH226">
        <f t="shared" si="36"/>
        <v>4.2020972379821497E-3</v>
      </c>
      <c r="AJ226">
        <v>5.2308000000000003</v>
      </c>
      <c r="AK226">
        <v>35846.300000000003</v>
      </c>
      <c r="AL226" s="17">
        <v>7.9103601625489002E-7</v>
      </c>
      <c r="AM226">
        <f t="shared" si="37"/>
        <v>2.8355714349477666E-2</v>
      </c>
      <c r="AO226">
        <v>5.2308000000000003</v>
      </c>
      <c r="AP226">
        <v>35846.300000000003</v>
      </c>
      <c r="AQ226" s="17">
        <v>5.42078977859146E-10</v>
      </c>
      <c r="AR226">
        <f t="shared" si="38"/>
        <v>1.9431525664032306E-5</v>
      </c>
      <c r="AT226">
        <v>5.2308000000000003</v>
      </c>
      <c r="AU226">
        <v>35846.300000000003</v>
      </c>
      <c r="AV226" s="17">
        <v>5.69585137137262E-5</v>
      </c>
      <c r="AW226">
        <f t="shared" si="39"/>
        <v>2.0417519701363438</v>
      </c>
    </row>
    <row r="227" spans="1:49" x14ac:dyDescent="0.3">
      <c r="A227">
        <v>5.9036</v>
      </c>
      <c r="B227">
        <v>34860.6</v>
      </c>
      <c r="C227" s="17">
        <v>1.0410155607701399E-6</v>
      </c>
      <c r="D227">
        <f t="shared" si="30"/>
        <v>3.6290427057783535E-2</v>
      </c>
      <c r="F227">
        <v>5.9036</v>
      </c>
      <c r="G227">
        <v>34860.6</v>
      </c>
      <c r="H227" s="17">
        <v>8.9623976255131208E-6</v>
      </c>
      <c r="I227">
        <f t="shared" si="31"/>
        <v>0.31243455866396269</v>
      </c>
      <c r="K227">
        <v>5.9036</v>
      </c>
      <c r="L227">
        <v>34860.6</v>
      </c>
      <c r="M227" s="17">
        <v>2.0307828731711999E-6</v>
      </c>
      <c r="N227">
        <f t="shared" si="32"/>
        <v>7.0794309428471924E-2</v>
      </c>
      <c r="P227">
        <v>5.9036</v>
      </c>
      <c r="Q227">
        <v>34860.6</v>
      </c>
      <c r="R227" s="17">
        <v>6.4711175016917596E-5</v>
      </c>
      <c r="S227">
        <f t="shared" si="33"/>
        <v>2.2558703877947575</v>
      </c>
      <c r="U227">
        <v>5.9036</v>
      </c>
      <c r="V227">
        <v>34860.6</v>
      </c>
      <c r="W227" s="17">
        <v>1.4448103050894899E-5</v>
      </c>
      <c r="X227">
        <f t="shared" si="34"/>
        <v>0.50366954121602669</v>
      </c>
      <c r="Z227">
        <v>5.9036</v>
      </c>
      <c r="AA227">
        <v>34860.6</v>
      </c>
      <c r="AB227" s="17">
        <v>1.3525791349922E-7</v>
      </c>
      <c r="AC227">
        <f t="shared" si="35"/>
        <v>4.7151720193309085E-3</v>
      </c>
      <c r="AE227">
        <v>5.9036</v>
      </c>
      <c r="AF227">
        <v>34860.6</v>
      </c>
      <c r="AG227" s="17">
        <v>9.2506813172359098E-7</v>
      </c>
      <c r="AH227">
        <f t="shared" si="36"/>
        <v>3.2248430112763411E-2</v>
      </c>
      <c r="AJ227">
        <v>5.9036</v>
      </c>
      <c r="AK227">
        <v>34860.6</v>
      </c>
      <c r="AL227" s="17">
        <v>8.0083315337779703E-7</v>
      </c>
      <c r="AM227">
        <f t="shared" si="37"/>
        <v>2.7917524226642031E-2</v>
      </c>
      <c r="AO227">
        <v>5.9036</v>
      </c>
      <c r="AP227">
        <v>34860.6</v>
      </c>
      <c r="AQ227" s="17">
        <v>5.3351402230373696E-10</v>
      </c>
      <c r="AR227">
        <f t="shared" si="38"/>
        <v>1.8598618925921653E-5</v>
      </c>
      <c r="AT227">
        <v>5.9036</v>
      </c>
      <c r="AU227">
        <v>34860.6</v>
      </c>
      <c r="AV227" s="17">
        <v>6.3765025003366399E-5</v>
      </c>
      <c r="AW227">
        <f t="shared" si="39"/>
        <v>2.2228870306323545</v>
      </c>
    </row>
    <row r="228" spans="1:49" x14ac:dyDescent="0.3">
      <c r="A228">
        <v>6.6630000000000003</v>
      </c>
      <c r="B228">
        <v>35437.199999999997</v>
      </c>
      <c r="C228" s="17">
        <v>6.7036810281612597E-7</v>
      </c>
      <c r="D228">
        <f t="shared" si="30"/>
        <v>2.3755968533115616E-2</v>
      </c>
      <c r="F228">
        <v>6.6630000000000003</v>
      </c>
      <c r="G228">
        <v>35437.199999999997</v>
      </c>
      <c r="H228" s="17">
        <v>3.1581293240137299E-5</v>
      </c>
      <c r="I228">
        <f t="shared" si="31"/>
        <v>1.1191526048093934</v>
      </c>
      <c r="K228">
        <v>6.6630000000000003</v>
      </c>
      <c r="L228">
        <v>35437.199999999997</v>
      </c>
      <c r="M228" s="17">
        <v>1.7113575173369199E-5</v>
      </c>
      <c r="N228">
        <f t="shared" si="32"/>
        <v>0.60645718613371891</v>
      </c>
      <c r="P228">
        <v>6.6630000000000003</v>
      </c>
      <c r="Q228">
        <v>35437.199999999997</v>
      </c>
      <c r="R228" s="17">
        <v>7.50028864316638E-5</v>
      </c>
      <c r="S228">
        <f t="shared" si="33"/>
        <v>2.6578922870561561</v>
      </c>
      <c r="U228">
        <v>6.6630000000000003</v>
      </c>
      <c r="V228">
        <v>35437.199999999997</v>
      </c>
      <c r="W228" s="17">
        <v>1.5278705332387401E-5</v>
      </c>
      <c r="X228">
        <f t="shared" si="34"/>
        <v>0.54143453660487872</v>
      </c>
      <c r="Z228">
        <v>6.6630000000000003</v>
      </c>
      <c r="AA228">
        <v>35437.199999999997</v>
      </c>
      <c r="AB228" s="17">
        <v>3.1915479990126798E-7</v>
      </c>
      <c r="AC228">
        <f t="shared" si="35"/>
        <v>1.1309952475061212E-2</v>
      </c>
      <c r="AE228">
        <v>6.6630000000000003</v>
      </c>
      <c r="AF228">
        <v>35437.199999999997</v>
      </c>
      <c r="AG228" s="17">
        <v>3.79822099335378E-6</v>
      </c>
      <c r="AH228">
        <f t="shared" si="36"/>
        <v>0.13459831698567656</v>
      </c>
      <c r="AJ228">
        <v>6.6630000000000003</v>
      </c>
      <c r="AK228">
        <v>35437.199999999997</v>
      </c>
      <c r="AL228" s="17">
        <v>8.1149349479603203E-7</v>
      </c>
      <c r="AM228">
        <f t="shared" si="37"/>
        <v>2.8757057273785944E-2</v>
      </c>
      <c r="AO228">
        <v>6.6630000000000003</v>
      </c>
      <c r="AP228">
        <v>35437.199999999997</v>
      </c>
      <c r="AQ228" s="17">
        <v>5.4236570169319005E-10</v>
      </c>
      <c r="AR228">
        <f t="shared" si="38"/>
        <v>1.9219921844041914E-5</v>
      </c>
      <c r="AT228">
        <v>6.6630000000000003</v>
      </c>
      <c r="AU228">
        <v>35437.199999999997</v>
      </c>
      <c r="AV228" s="17">
        <v>7.4008132468141396E-5</v>
      </c>
      <c r="AW228">
        <f t="shared" si="39"/>
        <v>2.62264099190002</v>
      </c>
    </row>
    <row r="229" spans="1:49" x14ac:dyDescent="0.3">
      <c r="A229">
        <v>7.52</v>
      </c>
      <c r="B229">
        <v>31515.200000000001</v>
      </c>
      <c r="C229" s="17">
        <v>3.25797179490473E-7</v>
      </c>
      <c r="D229">
        <f t="shared" si="30"/>
        <v>1.0267563271078155E-2</v>
      </c>
      <c r="F229">
        <v>7.52</v>
      </c>
      <c r="G229">
        <v>31515.200000000001</v>
      </c>
      <c r="H229" s="17">
        <v>5.5161238724395397E-5</v>
      </c>
      <c r="I229">
        <f t="shared" si="31"/>
        <v>1.7384174706470659</v>
      </c>
      <c r="K229">
        <v>7.52</v>
      </c>
      <c r="L229">
        <v>31515.200000000001</v>
      </c>
      <c r="M229" s="17">
        <v>7.8827102553287703E-5</v>
      </c>
      <c r="N229">
        <f t="shared" si="32"/>
        <v>2.4842519023873728</v>
      </c>
      <c r="P229">
        <v>7.52</v>
      </c>
      <c r="Q229">
        <v>31515.200000000001</v>
      </c>
      <c r="R229" s="17">
        <v>7.82281370286409E-5</v>
      </c>
      <c r="S229">
        <f t="shared" si="33"/>
        <v>2.4653753840850237</v>
      </c>
      <c r="U229">
        <v>7.52</v>
      </c>
      <c r="V229">
        <v>31515.200000000001</v>
      </c>
      <c r="W229" s="17">
        <v>1.55970744954271E-5</v>
      </c>
      <c r="X229">
        <f t="shared" si="34"/>
        <v>0.49154492213828416</v>
      </c>
      <c r="Z229">
        <v>7.52</v>
      </c>
      <c r="AA229">
        <v>31515.200000000001</v>
      </c>
      <c r="AB229" s="17">
        <v>5.8164087166334104E-7</v>
      </c>
      <c r="AC229">
        <f t="shared" si="35"/>
        <v>1.8330528398644526E-2</v>
      </c>
      <c r="AE229">
        <v>7.52</v>
      </c>
      <c r="AF229">
        <v>31515.200000000001</v>
      </c>
      <c r="AG229" s="17">
        <v>8.7461142124251693E-6</v>
      </c>
      <c r="AH229">
        <f t="shared" si="36"/>
        <v>0.27563553862742168</v>
      </c>
      <c r="AJ229">
        <v>7.52</v>
      </c>
      <c r="AK229">
        <v>31515.200000000001</v>
      </c>
      <c r="AL229" s="17">
        <v>8.2224120583184301E-7</v>
      </c>
      <c r="AM229">
        <f t="shared" si="37"/>
        <v>2.5913096050031701E-2</v>
      </c>
      <c r="AO229">
        <v>7.52</v>
      </c>
      <c r="AP229">
        <v>31515.200000000001</v>
      </c>
      <c r="AQ229" s="17">
        <v>5.7680794276437197E-10</v>
      </c>
      <c r="AR229">
        <f t="shared" si="38"/>
        <v>1.8178217677807736E-5</v>
      </c>
      <c r="AT229">
        <v>7.52</v>
      </c>
      <c r="AU229">
        <v>31515.200000000001</v>
      </c>
      <c r="AV229" s="17">
        <v>7.4587529247056996E-5</v>
      </c>
      <c r="AW229">
        <f t="shared" si="39"/>
        <v>2.3506409017268508</v>
      </c>
    </row>
    <row r="230" spans="1:49" x14ac:dyDescent="0.3">
      <c r="A230">
        <v>8.4871999999999996</v>
      </c>
      <c r="B230">
        <v>30770.2</v>
      </c>
      <c r="C230" s="17">
        <v>1.5886168041577299E-7</v>
      </c>
      <c r="D230">
        <f t="shared" si="30"/>
        <v>4.8882056787294187E-3</v>
      </c>
      <c r="F230">
        <v>8.4871999999999996</v>
      </c>
      <c r="G230">
        <v>30770.2</v>
      </c>
      <c r="H230" s="17">
        <v>7.9340048505383801E-5</v>
      </c>
      <c r="I230">
        <f t="shared" si="31"/>
        <v>2.4413091605203605</v>
      </c>
      <c r="K230">
        <v>8.4871999999999996</v>
      </c>
      <c r="L230">
        <v>30770.2</v>
      </c>
      <c r="M230" s="16">
        <v>1.7132553093623701E-4</v>
      </c>
      <c r="N230">
        <f t="shared" si="32"/>
        <v>5.2717208520141998</v>
      </c>
      <c r="P230">
        <v>8.4871999999999996</v>
      </c>
      <c r="Q230">
        <v>30770.2</v>
      </c>
      <c r="R230" s="17">
        <v>7.9303220560966595E-5</v>
      </c>
      <c r="S230">
        <f t="shared" si="33"/>
        <v>2.4401759573050543</v>
      </c>
      <c r="U230">
        <v>8.4871999999999996</v>
      </c>
      <c r="V230">
        <v>30770.2</v>
      </c>
      <c r="W230" s="17">
        <v>1.5701553749033899E-5</v>
      </c>
      <c r="X230">
        <f t="shared" si="34"/>
        <v>0.48313994916852288</v>
      </c>
      <c r="Z230">
        <v>8.4871999999999996</v>
      </c>
      <c r="AA230">
        <v>30770.2</v>
      </c>
      <c r="AB230" s="17">
        <v>7.5736169431989004E-7</v>
      </c>
      <c r="AC230">
        <f t="shared" si="35"/>
        <v>2.3304170806561882E-2</v>
      </c>
      <c r="AE230">
        <v>8.4871999999999996</v>
      </c>
      <c r="AF230">
        <v>30770.2</v>
      </c>
      <c r="AG230" s="17">
        <v>1.8478417071852601E-5</v>
      </c>
      <c r="AH230">
        <f t="shared" si="36"/>
        <v>0.56858458898431896</v>
      </c>
      <c r="AJ230">
        <v>8.4871999999999996</v>
      </c>
      <c r="AK230">
        <v>30770.2</v>
      </c>
      <c r="AL230" s="17">
        <v>8.3837533790898302E-7</v>
      </c>
      <c r="AM230">
        <f t="shared" si="37"/>
        <v>2.579697682252699E-2</v>
      </c>
      <c r="AO230">
        <v>8.4871999999999996</v>
      </c>
      <c r="AP230">
        <v>30770.2</v>
      </c>
      <c r="AQ230" s="17">
        <v>6.2671764810090804E-10</v>
      </c>
      <c r="AR230">
        <f t="shared" si="38"/>
        <v>1.9284227375594563E-5</v>
      </c>
      <c r="AT230">
        <v>8.4871999999999996</v>
      </c>
      <c r="AU230">
        <v>30770.2</v>
      </c>
      <c r="AV230" s="17">
        <v>7.6076926382799499E-5</v>
      </c>
      <c r="AW230">
        <f t="shared" si="39"/>
        <v>2.3409022401840174</v>
      </c>
    </row>
    <row r="231" spans="1:49" x14ac:dyDescent="0.3">
      <c r="A231">
        <v>9.5789000000000009</v>
      </c>
      <c r="B231">
        <v>27456.9</v>
      </c>
      <c r="C231" s="17">
        <v>1.9133193937182899E-7</v>
      </c>
      <c r="D231">
        <f t="shared" si="30"/>
        <v>5.2533819261383714E-3</v>
      </c>
      <c r="F231">
        <v>9.5789000000000009</v>
      </c>
      <c r="G231">
        <v>27456.9</v>
      </c>
      <c r="H231" s="16">
        <v>1.03856803160174E-4</v>
      </c>
      <c r="I231">
        <f t="shared" si="31"/>
        <v>2.8515858586885816</v>
      </c>
      <c r="K231">
        <v>9.5789000000000009</v>
      </c>
      <c r="L231">
        <v>27456.9</v>
      </c>
      <c r="M231" s="16">
        <v>2.9463211435615402E-4</v>
      </c>
      <c r="N231">
        <f t="shared" si="32"/>
        <v>8.0896845006654861</v>
      </c>
      <c r="P231">
        <v>9.5789000000000009</v>
      </c>
      <c r="Q231">
        <v>27456.9</v>
      </c>
      <c r="R231" s="17">
        <v>7.9366460768750505E-5</v>
      </c>
      <c r="S231">
        <f t="shared" si="33"/>
        <v>2.1791569766815058</v>
      </c>
      <c r="U231">
        <v>9.5789000000000009</v>
      </c>
      <c r="V231">
        <v>27456.9</v>
      </c>
      <c r="W231" s="17">
        <v>1.57891853333024E-5</v>
      </c>
      <c r="X231">
        <f t="shared" si="34"/>
        <v>0.43352208277795068</v>
      </c>
      <c r="Z231">
        <v>9.5789000000000009</v>
      </c>
      <c r="AA231">
        <v>27456.9</v>
      </c>
      <c r="AB231" s="17">
        <v>1.1094488183497299E-6</v>
      </c>
      <c r="AC231">
        <f t="shared" si="35"/>
        <v>3.0462025260546702E-2</v>
      </c>
      <c r="AE231">
        <v>9.5789000000000009</v>
      </c>
      <c r="AF231">
        <v>27456.9</v>
      </c>
      <c r="AG231" s="17">
        <v>2.6992728962611399E-5</v>
      </c>
      <c r="AH231">
        <f t="shared" si="36"/>
        <v>0.74113665985352495</v>
      </c>
      <c r="AJ231">
        <v>9.5789000000000009</v>
      </c>
      <c r="AK231">
        <v>27456.9</v>
      </c>
      <c r="AL231" s="17">
        <v>8.4847448596777695E-7</v>
      </c>
      <c r="AM231">
        <f t="shared" si="37"/>
        <v>2.3296479113768656E-2</v>
      </c>
      <c r="AO231">
        <v>9.5789000000000009</v>
      </c>
      <c r="AP231">
        <v>27456.9</v>
      </c>
      <c r="AQ231" s="17">
        <v>7.0203559675362704E-10</v>
      </c>
      <c r="AR231">
        <f t="shared" si="38"/>
        <v>1.9275721176504664E-5</v>
      </c>
      <c r="AT231">
        <v>9.5789000000000009</v>
      </c>
      <c r="AU231">
        <v>27456.9</v>
      </c>
      <c r="AV231" s="17">
        <v>7.83952606251917E-5</v>
      </c>
      <c r="AW231">
        <f t="shared" si="39"/>
        <v>2.1524908314598261</v>
      </c>
    </row>
    <row r="232" spans="1:49" x14ac:dyDescent="0.3">
      <c r="A232">
        <v>10.811</v>
      </c>
      <c r="B232">
        <v>23320.400000000001</v>
      </c>
      <c r="C232" s="17">
        <v>2.7149318387881898E-7</v>
      </c>
      <c r="D232">
        <f t="shared" si="30"/>
        <v>6.3313296453276109E-3</v>
      </c>
      <c r="F232">
        <v>10.811</v>
      </c>
      <c r="G232">
        <v>23320.400000000001</v>
      </c>
      <c r="H232" s="16">
        <v>1.3131669113679799E-4</v>
      </c>
      <c r="I232">
        <f t="shared" si="31"/>
        <v>3.0623577639865842</v>
      </c>
      <c r="K232">
        <v>10.811</v>
      </c>
      <c r="L232">
        <v>23320.400000000001</v>
      </c>
      <c r="M232" s="16">
        <v>3.87542197669984E-4</v>
      </c>
      <c r="N232">
        <f t="shared" si="32"/>
        <v>9.037639066543095</v>
      </c>
      <c r="P232">
        <v>10.811</v>
      </c>
      <c r="Q232">
        <v>23320.400000000001</v>
      </c>
      <c r="R232" s="17">
        <v>7.7026573080747507E-5</v>
      </c>
      <c r="S232">
        <f t="shared" si="33"/>
        <v>1.7962904948722642</v>
      </c>
      <c r="U232">
        <v>10.811</v>
      </c>
      <c r="V232">
        <v>23320.400000000001</v>
      </c>
      <c r="W232" s="17">
        <v>1.5826196099552501E-5</v>
      </c>
      <c r="X232">
        <f t="shared" si="34"/>
        <v>0.36907322352000416</v>
      </c>
      <c r="Z232">
        <v>10.811</v>
      </c>
      <c r="AA232">
        <v>23320.400000000001</v>
      </c>
      <c r="AB232" s="17">
        <v>1.3410465819196E-6</v>
      </c>
      <c r="AC232">
        <f t="shared" si="35"/>
        <v>3.127374270899784E-2</v>
      </c>
      <c r="AE232">
        <v>10.811</v>
      </c>
      <c r="AF232">
        <v>23320.400000000001</v>
      </c>
      <c r="AG232" s="17">
        <v>3.9780334100535298E-5</v>
      </c>
      <c r="AH232">
        <f t="shared" si="36"/>
        <v>0.92769330335812339</v>
      </c>
      <c r="AJ232">
        <v>10.811</v>
      </c>
      <c r="AK232">
        <v>23320.400000000001</v>
      </c>
      <c r="AL232" s="17">
        <v>8.6736623355665402E-7</v>
      </c>
      <c r="AM232">
        <f t="shared" si="37"/>
        <v>2.0227327513034597E-2</v>
      </c>
      <c r="AO232">
        <v>10.811</v>
      </c>
      <c r="AP232">
        <v>23320.400000000001</v>
      </c>
      <c r="AQ232" s="17">
        <v>8.0460623809221398E-10</v>
      </c>
      <c r="AR232">
        <f t="shared" si="38"/>
        <v>1.8763739314805668E-5</v>
      </c>
      <c r="AT232">
        <v>10.811</v>
      </c>
      <c r="AU232">
        <v>23320.400000000001</v>
      </c>
      <c r="AV232" s="17">
        <v>8.6511111508706307E-5</v>
      </c>
      <c r="AW232">
        <f t="shared" si="39"/>
        <v>2.0174737248276347</v>
      </c>
    </row>
    <row r="233" spans="1:49" x14ac:dyDescent="0.3">
      <c r="A233">
        <v>12.202</v>
      </c>
      <c r="B233">
        <v>15139.3</v>
      </c>
      <c r="C233" s="17">
        <v>3.1712617697826702E-7</v>
      </c>
      <c r="D233">
        <f t="shared" si="30"/>
        <v>4.8010683311270775E-3</v>
      </c>
      <c r="F233">
        <v>12.202</v>
      </c>
      <c r="G233">
        <v>15139.3</v>
      </c>
      <c r="H233" s="16">
        <v>1.6479256439902199E-4</v>
      </c>
      <c r="I233">
        <f t="shared" si="31"/>
        <v>2.4948440702061134</v>
      </c>
      <c r="K233">
        <v>12.202</v>
      </c>
      <c r="L233">
        <v>15139.3</v>
      </c>
      <c r="M233" s="16">
        <v>4.7422435079727998E-4</v>
      </c>
      <c r="N233">
        <f t="shared" si="32"/>
        <v>7.1794247140252603</v>
      </c>
      <c r="P233">
        <v>12.202</v>
      </c>
      <c r="Q233">
        <v>15139.3</v>
      </c>
      <c r="R233" s="17">
        <v>7.1271714172415802E-5</v>
      </c>
      <c r="S233">
        <f t="shared" si="33"/>
        <v>1.0790038623704545</v>
      </c>
      <c r="U233">
        <v>12.202</v>
      </c>
      <c r="V233">
        <v>15139.3</v>
      </c>
      <c r="W233" s="17">
        <v>1.5320917517028698E-5</v>
      </c>
      <c r="X233">
        <f t="shared" si="34"/>
        <v>0.23194796656555255</v>
      </c>
      <c r="Z233">
        <v>12.202</v>
      </c>
      <c r="AA233">
        <v>15139.3</v>
      </c>
      <c r="AB233" s="17">
        <v>1.7215778014009001E-6</v>
      </c>
      <c r="AC233">
        <f t="shared" si="35"/>
        <v>2.6063482808748643E-2</v>
      </c>
      <c r="AE233">
        <v>12.202</v>
      </c>
      <c r="AF233">
        <v>15139.3</v>
      </c>
      <c r="AG233" s="17">
        <v>6.2282918090383595E-5</v>
      </c>
      <c r="AH233">
        <f t="shared" si="36"/>
        <v>0.94291978184574432</v>
      </c>
      <c r="AJ233">
        <v>12.202</v>
      </c>
      <c r="AK233">
        <v>15139.3</v>
      </c>
      <c r="AL233" s="17">
        <v>8.8989219977179399E-7</v>
      </c>
      <c r="AM233">
        <f t="shared" si="37"/>
        <v>1.3472344980005119E-2</v>
      </c>
      <c r="AO233">
        <v>12.202</v>
      </c>
      <c r="AP233">
        <v>15139.3</v>
      </c>
      <c r="AQ233" s="17">
        <v>9.1479402627064097E-10</v>
      </c>
      <c r="AR233">
        <f t="shared" si="38"/>
        <v>1.3849341201919114E-5</v>
      </c>
      <c r="AT233">
        <v>12.202</v>
      </c>
      <c r="AU233">
        <v>15139.3</v>
      </c>
      <c r="AV233" s="17">
        <v>8.6713396070784197E-5</v>
      </c>
      <c r="AW233">
        <f t="shared" si="39"/>
        <v>1.3127801171344231</v>
      </c>
    </row>
    <row r="234" spans="1:49" x14ac:dyDescent="0.3">
      <c r="A234">
        <v>13.771000000000001</v>
      </c>
      <c r="B234">
        <v>9358.17</v>
      </c>
      <c r="C234" s="17">
        <v>2.9430612808454302E-7</v>
      </c>
      <c r="D234">
        <f t="shared" si="30"/>
        <v>2.7541667786569282E-3</v>
      </c>
      <c r="F234">
        <v>13.771000000000001</v>
      </c>
      <c r="G234">
        <v>9358.17</v>
      </c>
      <c r="H234" s="16">
        <v>1.96578237503524E-4</v>
      </c>
      <c r="I234">
        <f t="shared" si="31"/>
        <v>1.8396125648583532</v>
      </c>
      <c r="K234">
        <v>13.771000000000001</v>
      </c>
      <c r="L234">
        <v>9358.17</v>
      </c>
      <c r="M234" s="16">
        <v>5.1979390388911704E-4</v>
      </c>
      <c r="N234">
        <f t="shared" si="32"/>
        <v>4.8643197175580184</v>
      </c>
      <c r="P234">
        <v>13.771000000000001</v>
      </c>
      <c r="Q234">
        <v>9358.17</v>
      </c>
      <c r="R234" s="17">
        <v>6.2928433559490506E-5</v>
      </c>
      <c r="S234">
        <f t="shared" si="33"/>
        <v>0.58889497908341726</v>
      </c>
      <c r="U234">
        <v>13.771000000000001</v>
      </c>
      <c r="V234">
        <v>9358.17</v>
      </c>
      <c r="W234" s="17">
        <v>1.2988656441188399E-5</v>
      </c>
      <c r="X234">
        <f t="shared" si="34"/>
        <v>0.12155005504823604</v>
      </c>
      <c r="Z234">
        <v>13.771000000000001</v>
      </c>
      <c r="AA234">
        <v>9358.17</v>
      </c>
      <c r="AB234" s="17">
        <v>1.89317473225599E-6</v>
      </c>
      <c r="AC234">
        <f t="shared" si="35"/>
        <v>1.7716650984156038E-2</v>
      </c>
      <c r="AE234">
        <v>13.771000000000001</v>
      </c>
      <c r="AF234">
        <v>9358.17</v>
      </c>
      <c r="AG234" s="17">
        <v>7.3140189530365097E-5</v>
      </c>
      <c r="AH234">
        <f t="shared" si="36"/>
        <v>0.68445832745737678</v>
      </c>
      <c r="AJ234">
        <v>13.771000000000001</v>
      </c>
      <c r="AK234">
        <v>9358.17</v>
      </c>
      <c r="AL234" s="17">
        <v>9.6667031596797209E-7</v>
      </c>
      <c r="AM234">
        <f t="shared" si="37"/>
        <v>9.0462651507819975E-3</v>
      </c>
      <c r="AO234">
        <v>13.771000000000001</v>
      </c>
      <c r="AP234">
        <v>9358.17</v>
      </c>
      <c r="AQ234" s="17">
        <v>1.02423818832303E-9</v>
      </c>
      <c r="AR234">
        <f t="shared" si="38"/>
        <v>9.5849950868189308E-6</v>
      </c>
      <c r="AT234">
        <v>13.771000000000001</v>
      </c>
      <c r="AU234">
        <v>9358.17</v>
      </c>
      <c r="AV234" s="17">
        <v>7.0944165749465806E-5</v>
      </c>
      <c r="AW234">
        <f t="shared" si="39"/>
        <v>0.66390756359167846</v>
      </c>
    </row>
    <row r="235" spans="1:49" x14ac:dyDescent="0.3">
      <c r="A235">
        <v>15.542</v>
      </c>
      <c r="B235">
        <v>7095.92</v>
      </c>
      <c r="C235" s="17">
        <v>1.87420394946891E-7</v>
      </c>
      <c r="D235">
        <f t="shared" si="30"/>
        <v>1.3299201289115427E-3</v>
      </c>
      <c r="F235">
        <v>15.542</v>
      </c>
      <c r="G235">
        <v>7095.92</v>
      </c>
      <c r="H235" s="16">
        <v>1.9018442202547699E-4</v>
      </c>
      <c r="I235">
        <f t="shared" si="31"/>
        <v>1.3495334439390227</v>
      </c>
      <c r="K235">
        <v>15.542</v>
      </c>
      <c r="L235">
        <v>7095.92</v>
      </c>
      <c r="M235" s="16">
        <v>4.7531153221782397E-4</v>
      </c>
      <c r="N235">
        <f t="shared" si="32"/>
        <v>3.3727726076951017</v>
      </c>
      <c r="P235">
        <v>15.542</v>
      </c>
      <c r="Q235">
        <v>7095.92</v>
      </c>
      <c r="R235" s="17">
        <v>4.06761016465819E-5</v>
      </c>
      <c r="S235">
        <f t="shared" si="33"/>
        <v>0.28863436319601343</v>
      </c>
      <c r="U235">
        <v>15.542</v>
      </c>
      <c r="V235">
        <v>7095.92</v>
      </c>
      <c r="W235" s="17">
        <v>9.1297414507759697E-6</v>
      </c>
      <c r="X235">
        <f t="shared" si="34"/>
        <v>6.4783914955390223E-2</v>
      </c>
      <c r="Z235">
        <v>15.542</v>
      </c>
      <c r="AA235">
        <v>7095.92</v>
      </c>
      <c r="AB235" s="17">
        <v>1.7027556420204701E-6</v>
      </c>
      <c r="AC235">
        <f t="shared" si="35"/>
        <v>1.2082617815325894E-2</v>
      </c>
      <c r="AE235">
        <v>15.542</v>
      </c>
      <c r="AF235">
        <v>7095.92</v>
      </c>
      <c r="AG235" s="17">
        <v>7.9668803204625203E-5</v>
      </c>
      <c r="AH235">
        <f t="shared" si="36"/>
        <v>0.56532345403576412</v>
      </c>
      <c r="AJ235">
        <v>15.542</v>
      </c>
      <c r="AK235">
        <v>7095.92</v>
      </c>
      <c r="AL235" s="17">
        <v>1.0919370365661801E-6</v>
      </c>
      <c r="AM235">
        <f t="shared" si="37"/>
        <v>7.7482978565106882E-3</v>
      </c>
      <c r="AO235">
        <v>15.542</v>
      </c>
      <c r="AP235">
        <v>7095.92</v>
      </c>
      <c r="AQ235" s="17">
        <v>1.03904473410029E-9</v>
      </c>
      <c r="AR235">
        <f t="shared" si="38"/>
        <v>7.3729783095969299E-6</v>
      </c>
      <c r="AT235">
        <v>15.542</v>
      </c>
      <c r="AU235">
        <v>7095.92</v>
      </c>
      <c r="AV235" s="17">
        <v>4.7076156390407597E-5</v>
      </c>
      <c r="AW235">
        <f t="shared" si="39"/>
        <v>0.33404863965382109</v>
      </c>
    </row>
    <row r="236" spans="1:49" x14ac:dyDescent="0.3">
      <c r="A236">
        <v>17.541</v>
      </c>
      <c r="B236">
        <v>4254.96</v>
      </c>
      <c r="C236" s="17">
        <v>7.8388206347784998E-8</v>
      </c>
      <c r="D236">
        <f t="shared" si="30"/>
        <v>3.3353868248157123E-4</v>
      </c>
      <c r="F236">
        <v>17.541</v>
      </c>
      <c r="G236">
        <v>4254.96</v>
      </c>
      <c r="H236" s="16">
        <v>1.43915330968576E-4</v>
      </c>
      <c r="I236">
        <f t="shared" si="31"/>
        <v>0.61235397665805213</v>
      </c>
      <c r="K236">
        <v>17.541</v>
      </c>
      <c r="L236">
        <v>4254.96</v>
      </c>
      <c r="M236" s="16">
        <v>3.5349129375834398E-4</v>
      </c>
      <c r="N236">
        <f t="shared" si="32"/>
        <v>1.5040913152900033</v>
      </c>
      <c r="P236">
        <v>17.541</v>
      </c>
      <c r="Q236">
        <v>4254.96</v>
      </c>
      <c r="R236" s="17">
        <v>1.9667704620781999E-5</v>
      </c>
      <c r="S236">
        <f t="shared" si="33"/>
        <v>8.3685296453242575E-2</v>
      </c>
      <c r="U236">
        <v>17.541</v>
      </c>
      <c r="V236">
        <v>4254.96</v>
      </c>
      <c r="W236" s="17">
        <v>5.6558576693310603E-6</v>
      </c>
      <c r="X236">
        <f t="shared" si="34"/>
        <v>2.4065448148696888E-2</v>
      </c>
      <c r="Z236">
        <v>17.541</v>
      </c>
      <c r="AA236">
        <v>4254.96</v>
      </c>
      <c r="AB236" s="17">
        <v>1.0400985850221199E-6</v>
      </c>
      <c r="AC236">
        <f t="shared" si="35"/>
        <v>4.425577875325719E-3</v>
      </c>
      <c r="AE236">
        <v>17.541</v>
      </c>
      <c r="AF236">
        <v>4254.96</v>
      </c>
      <c r="AG236" s="17">
        <v>7.2075050050044299E-5</v>
      </c>
      <c r="AH236">
        <f t="shared" si="36"/>
        <v>0.30667645496093648</v>
      </c>
      <c r="AJ236">
        <v>17.541</v>
      </c>
      <c r="AK236">
        <v>4254.96</v>
      </c>
      <c r="AL236" s="17">
        <v>1.1507323895674E-6</v>
      </c>
      <c r="AM236">
        <f t="shared" si="37"/>
        <v>4.8963202883137045E-3</v>
      </c>
      <c r="AO236">
        <v>17.541</v>
      </c>
      <c r="AP236">
        <v>4254.96</v>
      </c>
      <c r="AQ236" s="17">
        <v>7.5780527312887696E-10</v>
      </c>
      <c r="AR236">
        <f t="shared" si="38"/>
        <v>3.2244311249524464E-6</v>
      </c>
      <c r="AT236">
        <v>17.541</v>
      </c>
      <c r="AU236">
        <v>4254.96</v>
      </c>
      <c r="AV236" s="17">
        <v>3.2120845928471203E-5</v>
      </c>
      <c r="AW236">
        <f t="shared" si="39"/>
        <v>0.13667291459180783</v>
      </c>
    </row>
    <row r="237" spans="1:49" x14ac:dyDescent="0.3">
      <c r="A237">
        <v>19.797999999999998</v>
      </c>
      <c r="B237">
        <v>2470.58</v>
      </c>
      <c r="C237" s="17">
        <v>3.0485790157745101E-8</v>
      </c>
      <c r="D237">
        <f t="shared" si="30"/>
        <v>7.531758344792189E-5</v>
      </c>
      <c r="F237">
        <v>19.797999999999998</v>
      </c>
      <c r="G237">
        <v>2470.58</v>
      </c>
      <c r="H237" s="17">
        <v>9.7464778021093894E-5</v>
      </c>
      <c r="I237">
        <f t="shared" si="31"/>
        <v>0.24079453128335415</v>
      </c>
      <c r="K237">
        <v>19.797999999999998</v>
      </c>
      <c r="L237">
        <v>2470.58</v>
      </c>
      <c r="M237" s="16">
        <v>2.26338353356523E-4</v>
      </c>
      <c r="N237">
        <f t="shared" si="32"/>
        <v>0.55918700903555862</v>
      </c>
      <c r="P237">
        <v>19.797999999999998</v>
      </c>
      <c r="Q237">
        <v>2470.58</v>
      </c>
      <c r="R237" s="17">
        <v>1.2454252817335E-5</v>
      </c>
      <c r="S237">
        <f t="shared" si="33"/>
        <v>3.0769227925451503E-2</v>
      </c>
      <c r="U237">
        <v>19.797999999999998</v>
      </c>
      <c r="V237">
        <v>2470.58</v>
      </c>
      <c r="W237" s="17">
        <v>3.6161214987543102E-6</v>
      </c>
      <c r="X237">
        <f t="shared" si="34"/>
        <v>8.9339174523924234E-3</v>
      </c>
      <c r="Z237">
        <v>19.797999999999998</v>
      </c>
      <c r="AA237">
        <v>2470.58</v>
      </c>
      <c r="AB237" s="17">
        <v>7.2150176561156196E-7</v>
      </c>
      <c r="AC237">
        <f t="shared" si="35"/>
        <v>1.7825278320846127E-3</v>
      </c>
      <c r="AE237">
        <v>19.797999999999998</v>
      </c>
      <c r="AF237">
        <v>2470.58</v>
      </c>
      <c r="AG237" s="17">
        <v>5.0475584014270402E-5</v>
      </c>
      <c r="AH237">
        <f t="shared" si="36"/>
        <v>0.12470396835397617</v>
      </c>
      <c r="AJ237">
        <v>19.797999999999998</v>
      </c>
      <c r="AK237">
        <v>2470.58</v>
      </c>
      <c r="AL237" s="17">
        <v>1.1823195762614E-6</v>
      </c>
      <c r="AM237">
        <f t="shared" si="37"/>
        <v>2.9210150987198898E-3</v>
      </c>
      <c r="AO237">
        <v>19.797999999999998</v>
      </c>
      <c r="AP237">
        <v>2470.58</v>
      </c>
      <c r="AQ237" s="17">
        <v>4.88427924715886E-10</v>
      </c>
      <c r="AR237">
        <f t="shared" si="38"/>
        <v>1.2067002622445737E-6</v>
      </c>
      <c r="AT237">
        <v>19.797999999999998</v>
      </c>
      <c r="AU237">
        <v>2470.58</v>
      </c>
      <c r="AV237" s="17">
        <v>2.1314040685189199E-5</v>
      </c>
      <c r="AW237">
        <f t="shared" si="39"/>
        <v>5.2658042636014729E-2</v>
      </c>
    </row>
    <row r="238" spans="1:49" x14ac:dyDescent="0.3">
      <c r="A238">
        <v>22.344000000000001</v>
      </c>
      <c r="B238">
        <v>778.96699999999998</v>
      </c>
      <c r="C238" s="17">
        <v>1.31127751757816E-8</v>
      </c>
      <c r="D238">
        <f t="shared" si="30"/>
        <v>1.0214419140353065E-5</v>
      </c>
      <c r="F238">
        <v>22.344000000000001</v>
      </c>
      <c r="G238">
        <v>778.96699999999998</v>
      </c>
      <c r="H238" s="17">
        <v>6.88741438360375E-5</v>
      </c>
      <c r="I238">
        <f t="shared" si="31"/>
        <v>5.3650685201526625E-2</v>
      </c>
      <c r="K238">
        <v>22.344000000000001</v>
      </c>
      <c r="L238">
        <v>778.96699999999998</v>
      </c>
      <c r="M238" s="16">
        <v>1.6580188259545899E-4</v>
      </c>
      <c r="N238">
        <f t="shared" si="32"/>
        <v>0.12915419507973691</v>
      </c>
      <c r="P238">
        <v>22.344000000000001</v>
      </c>
      <c r="Q238">
        <v>778.96699999999998</v>
      </c>
      <c r="R238" s="17">
        <v>4.5988279100426597E-6</v>
      </c>
      <c r="S238">
        <f t="shared" si="33"/>
        <v>3.5823351806022006E-3</v>
      </c>
      <c r="U238">
        <v>22.344000000000001</v>
      </c>
      <c r="V238">
        <v>778.96699999999998</v>
      </c>
      <c r="W238" s="17">
        <v>2.6718190365358199E-6</v>
      </c>
      <c r="X238">
        <f t="shared" si="34"/>
        <v>2.0812588594331981E-3</v>
      </c>
      <c r="Z238">
        <v>22.344000000000001</v>
      </c>
      <c r="AA238">
        <v>778.96699999999998</v>
      </c>
      <c r="AB238" s="17">
        <v>2.39730795400915E-7</v>
      </c>
      <c r="AC238">
        <f t="shared" si="35"/>
        <v>1.8674237850106455E-4</v>
      </c>
      <c r="AE238">
        <v>22.344000000000001</v>
      </c>
      <c r="AF238">
        <v>778.96699999999998</v>
      </c>
      <c r="AG238" s="17">
        <v>3.9534277952279599E-5</v>
      </c>
      <c r="AH238">
        <f t="shared" si="36"/>
        <v>3.0795897893653383E-2</v>
      </c>
      <c r="AJ238">
        <v>22.344000000000001</v>
      </c>
      <c r="AK238">
        <v>778.96699999999998</v>
      </c>
      <c r="AL238" s="17">
        <v>1.20162083763598E-6</v>
      </c>
      <c r="AM238">
        <f t="shared" si="37"/>
        <v>9.3602297903078646E-4</v>
      </c>
      <c r="AO238">
        <v>22.344000000000001</v>
      </c>
      <c r="AP238">
        <v>778.96699999999998</v>
      </c>
      <c r="AQ238" s="17">
        <v>3.6344773178326801E-10</v>
      </c>
      <c r="AR238">
        <f t="shared" si="38"/>
        <v>2.831137892840169E-7</v>
      </c>
      <c r="AT238">
        <v>22.344000000000001</v>
      </c>
      <c r="AU238">
        <v>778.96699999999998</v>
      </c>
      <c r="AV238" s="17">
        <v>1.71723343197754E-5</v>
      </c>
      <c r="AW238">
        <f t="shared" si="39"/>
        <v>1.3376681748072484E-2</v>
      </c>
    </row>
    <row r="239" spans="1:49" x14ac:dyDescent="0.3">
      <c r="A239">
        <v>25.218</v>
      </c>
      <c r="B239">
        <v>357.67899999999997</v>
      </c>
      <c r="C239" s="17">
        <v>5.9407008058620402E-9</v>
      </c>
      <c r="D239">
        <f t="shared" si="30"/>
        <v>2.1248639235399283E-6</v>
      </c>
      <c r="F239">
        <v>25.218</v>
      </c>
      <c r="G239">
        <v>357.67899999999997</v>
      </c>
      <c r="H239" s="17">
        <v>5.5022953433134197E-5</v>
      </c>
      <c r="I239">
        <f t="shared" si="31"/>
        <v>1.9680554961010004E-2</v>
      </c>
      <c r="K239">
        <v>25.218</v>
      </c>
      <c r="L239">
        <v>357.67899999999997</v>
      </c>
      <c r="M239" s="16">
        <v>0</v>
      </c>
      <c r="N239">
        <f t="shared" si="32"/>
        <v>0</v>
      </c>
      <c r="P239">
        <v>25.218</v>
      </c>
      <c r="Q239">
        <v>357.67899999999997</v>
      </c>
      <c r="R239" s="16">
        <v>0</v>
      </c>
      <c r="S239">
        <f t="shared" si="33"/>
        <v>0</v>
      </c>
      <c r="U239">
        <v>25.218</v>
      </c>
      <c r="V239">
        <v>357.67899999999997</v>
      </c>
      <c r="W239" s="17">
        <v>1.9795297784635799E-6</v>
      </c>
      <c r="X239">
        <f t="shared" si="34"/>
        <v>7.0803623163107478E-4</v>
      </c>
      <c r="Z239">
        <v>25.218</v>
      </c>
      <c r="AA239">
        <v>357.67899999999997</v>
      </c>
      <c r="AB239" s="16">
        <v>0</v>
      </c>
      <c r="AC239">
        <f t="shared" si="35"/>
        <v>0</v>
      </c>
      <c r="AE239">
        <v>25.218</v>
      </c>
      <c r="AF239">
        <v>357.67899999999997</v>
      </c>
      <c r="AG239" s="17">
        <v>3.3629662928537402E-5</v>
      </c>
      <c r="AH239">
        <f t="shared" si="36"/>
        <v>1.2028624206616328E-2</v>
      </c>
      <c r="AJ239">
        <v>25.218</v>
      </c>
      <c r="AK239">
        <v>357.67899999999997</v>
      </c>
      <c r="AL239" s="16">
        <v>0</v>
      </c>
      <c r="AM239">
        <f t="shared" si="37"/>
        <v>0</v>
      </c>
      <c r="AO239">
        <v>25.218</v>
      </c>
      <c r="AP239">
        <v>357.67899999999997</v>
      </c>
      <c r="AQ239" s="16">
        <v>0</v>
      </c>
      <c r="AR239">
        <f t="shared" si="38"/>
        <v>0</v>
      </c>
      <c r="AT239">
        <v>25.218</v>
      </c>
      <c r="AU239">
        <v>357.67899999999997</v>
      </c>
      <c r="AV239" s="16">
        <v>0</v>
      </c>
      <c r="AW239">
        <f t="shared" si="39"/>
        <v>0</v>
      </c>
    </row>
    <row r="240" spans="1:49" x14ac:dyDescent="0.3">
      <c r="A240">
        <v>28.462</v>
      </c>
      <c r="B240">
        <v>0</v>
      </c>
      <c r="C240" s="17">
        <v>3.12977462467233E-9</v>
      </c>
      <c r="D240">
        <f t="shared" si="30"/>
        <v>0</v>
      </c>
      <c r="F240">
        <v>28.462</v>
      </c>
      <c r="G240">
        <v>0</v>
      </c>
      <c r="H240" s="17">
        <v>4.7281552267593897E-5</v>
      </c>
      <c r="I240">
        <f t="shared" si="31"/>
        <v>0</v>
      </c>
      <c r="K240">
        <v>28.462</v>
      </c>
      <c r="L240">
        <v>0</v>
      </c>
      <c r="M240" s="16">
        <v>0</v>
      </c>
      <c r="N240">
        <f t="shared" si="32"/>
        <v>0</v>
      </c>
      <c r="P240">
        <v>28.462</v>
      </c>
      <c r="Q240">
        <v>0</v>
      </c>
      <c r="R240" s="16">
        <v>0</v>
      </c>
      <c r="S240">
        <f t="shared" si="33"/>
        <v>0</v>
      </c>
      <c r="U240">
        <v>28.462</v>
      </c>
      <c r="V240">
        <v>0</v>
      </c>
      <c r="W240" s="17">
        <v>1.5841441707292E-6</v>
      </c>
      <c r="X240">
        <f t="shared" si="34"/>
        <v>0</v>
      </c>
      <c r="Z240">
        <v>28.462</v>
      </c>
      <c r="AA240">
        <v>0</v>
      </c>
      <c r="AB240" s="16">
        <v>0</v>
      </c>
      <c r="AC240">
        <f t="shared" si="35"/>
        <v>0</v>
      </c>
      <c r="AE240">
        <v>28.462</v>
      </c>
      <c r="AF240">
        <v>0</v>
      </c>
      <c r="AG240" s="17">
        <v>2.9832075361982701E-5</v>
      </c>
      <c r="AH240">
        <f t="shared" si="36"/>
        <v>0</v>
      </c>
      <c r="AJ240">
        <v>28.462</v>
      </c>
      <c r="AK240">
        <v>0</v>
      </c>
      <c r="AL240" s="16">
        <v>0</v>
      </c>
      <c r="AM240">
        <f t="shared" si="37"/>
        <v>0</v>
      </c>
      <c r="AO240">
        <v>28.462</v>
      </c>
      <c r="AP240">
        <v>0</v>
      </c>
      <c r="AQ240" s="16">
        <v>0</v>
      </c>
      <c r="AR240">
        <f t="shared" si="38"/>
        <v>0</v>
      </c>
      <c r="AT240">
        <v>28.462</v>
      </c>
      <c r="AU240">
        <v>0</v>
      </c>
      <c r="AV240" s="16">
        <v>0</v>
      </c>
      <c r="AW240">
        <f t="shared" si="39"/>
        <v>0</v>
      </c>
    </row>
    <row r="241" spans="1:49" x14ac:dyDescent="0.3">
      <c r="A241">
        <v>30</v>
      </c>
      <c r="B241">
        <v>0</v>
      </c>
      <c r="C241" s="17">
        <v>1.84277489758623E-9</v>
      </c>
      <c r="D241">
        <f t="shared" si="30"/>
        <v>0</v>
      </c>
      <c r="F241">
        <v>30</v>
      </c>
      <c r="G241">
        <v>0</v>
      </c>
      <c r="H241" s="17">
        <v>4.1673875978580497E-5</v>
      </c>
      <c r="I241">
        <f t="shared" si="31"/>
        <v>0</v>
      </c>
      <c r="K241">
        <v>30</v>
      </c>
      <c r="L241">
        <v>0</v>
      </c>
      <c r="M241" s="16">
        <v>0</v>
      </c>
      <c r="N241">
        <f t="shared" si="32"/>
        <v>0</v>
      </c>
      <c r="P241">
        <v>30</v>
      </c>
      <c r="Q241">
        <v>0</v>
      </c>
      <c r="R241" s="16">
        <v>0</v>
      </c>
      <c r="S241">
        <f t="shared" si="33"/>
        <v>0</v>
      </c>
      <c r="U241">
        <v>30</v>
      </c>
      <c r="V241">
        <v>0</v>
      </c>
      <c r="W241" s="17">
        <v>1.3241063894710199E-6</v>
      </c>
      <c r="X241">
        <f t="shared" si="34"/>
        <v>0</v>
      </c>
      <c r="Z241">
        <v>30</v>
      </c>
      <c r="AA241">
        <v>0</v>
      </c>
      <c r="AB241" s="16">
        <v>0</v>
      </c>
      <c r="AC241">
        <f t="shared" si="35"/>
        <v>0</v>
      </c>
      <c r="AE241">
        <v>30</v>
      </c>
      <c r="AF241">
        <v>0</v>
      </c>
      <c r="AG241" s="17">
        <v>2.79963010816735E-5</v>
      </c>
      <c r="AH241">
        <f t="shared" si="36"/>
        <v>0</v>
      </c>
      <c r="AJ241">
        <v>30</v>
      </c>
      <c r="AK241">
        <v>0</v>
      </c>
      <c r="AL241" s="16">
        <v>0</v>
      </c>
      <c r="AM241">
        <f t="shared" si="37"/>
        <v>0</v>
      </c>
      <c r="AO241">
        <v>30</v>
      </c>
      <c r="AP241">
        <v>0</v>
      </c>
      <c r="AQ241" s="16">
        <v>0</v>
      </c>
      <c r="AR241">
        <f t="shared" si="38"/>
        <v>0</v>
      </c>
      <c r="AT241">
        <v>30</v>
      </c>
      <c r="AU241">
        <v>0</v>
      </c>
      <c r="AV241" s="16">
        <v>0</v>
      </c>
      <c r="AW241">
        <f t="shared" si="39"/>
        <v>0</v>
      </c>
    </row>
    <row r="242" spans="1:49" x14ac:dyDescent="0.3">
      <c r="D242">
        <f>SUM(D3:D241)</f>
        <v>47341.607093646482</v>
      </c>
      <c r="I242">
        <f>SUM(I3:I241)</f>
        <v>18.197044194506031</v>
      </c>
      <c r="N242">
        <f>SUM(N3:N241)</f>
        <v>43.172358895776135</v>
      </c>
      <c r="S242">
        <f>SUM(S3:S241)</f>
        <v>24.723967153310095</v>
      </c>
      <c r="X242">
        <f>SUM(X3:X241)</f>
        <v>4.8856872186638078</v>
      </c>
      <c r="AC242">
        <f>SUM(AC3:AC241)</f>
        <v>0.18538433606534147</v>
      </c>
      <c r="AH242">
        <f>SUM(AH3:AH241)</f>
        <v>5.3518906353143478</v>
      </c>
      <c r="AM242">
        <f>SUM(AM3:AM241)</f>
        <v>494.58292602960802</v>
      </c>
      <c r="AR242">
        <f>SUM(AR3:AR241)</f>
        <v>7.9448121875211468</v>
      </c>
      <c r="AW242">
        <f>SUM(AW3:AW241)</f>
        <v>26.809856182146824</v>
      </c>
    </row>
    <row r="252" spans="1:49" x14ac:dyDescent="0.3">
      <c r="A252" t="s">
        <v>60</v>
      </c>
      <c r="B252">
        <f>ABS((D242-activity_Ami!D242)/activity_Ami!D242)</f>
        <v>0.39920538574739639</v>
      </c>
      <c r="F252" t="s">
        <v>60</v>
      </c>
      <c r="G252">
        <f>ABS((I242-activity_Ami!I242)/activity_Ami!I242)</f>
        <v>0.23178052127251775</v>
      </c>
      <c r="K252" t="s">
        <v>60</v>
      </c>
      <c r="L252">
        <f>ABS((N242-activity_Ami!N242)/activity_Ami!N242)</f>
        <v>0.23636400042114281</v>
      </c>
      <c r="P252" t="s">
        <v>60</v>
      </c>
      <c r="Q252">
        <f>ABS((S242-activity_Ami!S242)/activity_Ami!S242)</f>
        <v>0.19005035563689565</v>
      </c>
      <c r="U252" t="s">
        <v>60</v>
      </c>
      <c r="V252">
        <f>ABS((X242-activity_Ami!X242)/activity_Ami!X242)</f>
        <v>0.19315032699405213</v>
      </c>
      <c r="Z252" t="s">
        <v>60</v>
      </c>
      <c r="AA252">
        <f>ABS((AC242-activity_Ami!AC242)/activity_Ami!AC242)</f>
        <v>0.22964252902152194</v>
      </c>
      <c r="AE252" t="s">
        <v>60</v>
      </c>
      <c r="AF252">
        <f>ABS((AH242-activity_Ami!AH242)/activity_Ami!AH242)</f>
        <v>0.22682371721006342</v>
      </c>
      <c r="AJ252" t="s">
        <v>60</v>
      </c>
      <c r="AK252">
        <f>ABS((AM242-activity_Ami!AM242)/activity_Ami!AM242)</f>
        <v>0.30648498649361594</v>
      </c>
      <c r="AO252" t="s">
        <v>60</v>
      </c>
      <c r="AP252">
        <f>ABS((AR242-activity_Ami!AR242)/activity_Ami!AR242)</f>
        <v>0.24250368183008703</v>
      </c>
      <c r="AT252" t="s">
        <v>60</v>
      </c>
      <c r="AU252">
        <f>ABS((AW242-activity_Ami!AW242)/activity_Ami!AW242)</f>
        <v>0.18696864250001352</v>
      </c>
    </row>
    <row r="258" spans="1:47" x14ac:dyDescent="0.3">
      <c r="A258" t="s">
        <v>67</v>
      </c>
      <c r="B258">
        <f>activity_Ami!D242/'240groups_prior'!D242</f>
        <v>0.71469135995773936</v>
      </c>
      <c r="F258" t="s">
        <v>64</v>
      </c>
      <c r="G258">
        <f>activity_Ami!I242/'240groups_prior'!I242</f>
        <v>0.81183293836058401</v>
      </c>
      <c r="K258" t="s">
        <v>64</v>
      </c>
      <c r="L258">
        <f>activity_Ami!N242/'240groups_prior'!N242</f>
        <v>0.80882329124705177</v>
      </c>
      <c r="P258" t="s">
        <v>64</v>
      </c>
      <c r="Q258">
        <f>activity_Ami!S242/'240groups_prior'!S242</f>
        <v>0.84030057657922907</v>
      </c>
      <c r="U258" t="s">
        <v>64</v>
      </c>
      <c r="V258">
        <f>activity_Ami!X242/'240groups_prior'!X242</f>
        <v>0.83811735820358624</v>
      </c>
      <c r="Z258" t="s">
        <v>64</v>
      </c>
      <c r="AA258">
        <f>activity_Ami!AC242/'240groups_prior'!AC242</f>
        <v>0.81324448073192612</v>
      </c>
      <c r="AE258" t="s">
        <v>64</v>
      </c>
      <c r="AF258">
        <f>activity_Ami!AH242/'240groups_prior'!AH242</f>
        <v>0.8151130321103619</v>
      </c>
      <c r="AJ258" t="s">
        <v>64</v>
      </c>
      <c r="AK258">
        <f>activity_Ami!AM242/'240groups_prior'!AM242</f>
        <v>1.4419298508680296</v>
      </c>
      <c r="AO258" t="s">
        <v>64</v>
      </c>
      <c r="AP258">
        <f>activity_Ami!AR242/'240groups_prior'!AR242</f>
        <v>1.320138429736488</v>
      </c>
      <c r="AT258" t="s">
        <v>64</v>
      </c>
      <c r="AU258">
        <f>activity_Ami!AW242/'240groups_prior'!AW242</f>
        <v>0.84248223937389199</v>
      </c>
    </row>
    <row r="259" spans="1:47" ht="14" customHeight="1" x14ac:dyDescent="0.3"/>
    <row r="264" spans="1:47" x14ac:dyDescent="0.3">
      <c r="A264" t="s">
        <v>68</v>
      </c>
      <c r="B264">
        <f>0.1*(B252+G252+L252+Q252+V252+AA252+AF252+AK252+AP252+AU252)</f>
        <v>0.2442974147127307</v>
      </c>
    </row>
    <row r="272" spans="1:47" x14ac:dyDescent="0.3">
      <c r="A272" t="s">
        <v>73</v>
      </c>
      <c r="B272">
        <f>(((B258-1)^2+(G258-1)^2+(L258-1)^2+(Q258-1)^2+(V258-1)^2+(AA258-1)^2+(AF258-1)^2+(AK258-1)^2+(AP258-1)^2+(AU258-1)^2)/9)^0.5</f>
        <v>0.2574942415239303</v>
      </c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72"/>
  <sheetViews>
    <sheetView topLeftCell="A231" workbookViewId="0">
      <selection activeCell="A272" sqref="A272:B272"/>
    </sheetView>
  </sheetViews>
  <sheetFormatPr defaultRowHeight="14.5" x14ac:dyDescent="0.3"/>
  <cols>
    <col min="2" max="2" width="11" customWidth="1"/>
    <col min="5" max="5" width="1.5" customWidth="1"/>
    <col min="10" max="10" width="1.69921875" customWidth="1"/>
    <col min="15" max="15" width="1.3984375" customWidth="1"/>
    <col min="20" max="20" width="1.19921875" customWidth="1"/>
    <col min="25" max="25" width="1.3984375" customWidth="1"/>
    <col min="30" max="30" width="1.3984375" customWidth="1"/>
    <col min="35" max="35" width="1.3984375" customWidth="1"/>
    <col min="40" max="40" width="1.5" customWidth="1"/>
    <col min="45" max="45" width="1.296875" customWidth="1"/>
  </cols>
  <sheetData>
    <row r="1" spans="1:49" x14ac:dyDescent="0.3">
      <c r="A1" s="26" t="s">
        <v>42</v>
      </c>
      <c r="B1" s="26"/>
      <c r="C1" s="26"/>
      <c r="D1" s="27"/>
      <c r="F1" s="26" t="s">
        <v>14</v>
      </c>
      <c r="G1" s="26"/>
      <c r="H1" s="26"/>
      <c r="I1" s="27"/>
      <c r="K1" s="26" t="s">
        <v>1</v>
      </c>
      <c r="L1" s="26"/>
      <c r="M1" s="26"/>
      <c r="N1" s="27"/>
      <c r="P1" s="26" t="s">
        <v>2</v>
      </c>
      <c r="Q1" s="26"/>
      <c r="R1" s="26"/>
      <c r="S1" s="27"/>
      <c r="U1" s="26" t="s">
        <v>3</v>
      </c>
      <c r="V1" s="26"/>
      <c r="W1" s="26"/>
      <c r="X1" s="27"/>
      <c r="Z1" s="26" t="s">
        <v>10</v>
      </c>
      <c r="AA1" s="26"/>
      <c r="AB1" s="26"/>
      <c r="AC1" s="27"/>
      <c r="AE1" s="26" t="s">
        <v>5</v>
      </c>
      <c r="AF1" s="26"/>
      <c r="AG1" s="26"/>
      <c r="AH1" s="27"/>
      <c r="AJ1" s="26" t="s">
        <v>12</v>
      </c>
      <c r="AK1" s="26"/>
      <c r="AL1" s="26"/>
      <c r="AM1" s="27"/>
      <c r="AO1" s="26" t="s">
        <v>33</v>
      </c>
      <c r="AP1" s="26"/>
      <c r="AQ1" s="26"/>
      <c r="AR1" s="27"/>
      <c r="AT1" s="26" t="s">
        <v>44</v>
      </c>
      <c r="AU1" s="26"/>
      <c r="AV1" s="26"/>
      <c r="AW1" s="27"/>
    </row>
    <row r="2" spans="1:49" x14ac:dyDescent="0.3">
      <c r="A2" s="1" t="s">
        <v>55</v>
      </c>
      <c r="B2" s="1" t="s">
        <v>56</v>
      </c>
      <c r="C2" s="1" t="s">
        <v>57</v>
      </c>
      <c r="D2" s="1" t="s">
        <v>58</v>
      </c>
      <c r="F2" s="1" t="s">
        <v>55</v>
      </c>
      <c r="G2" s="1" t="s">
        <v>56</v>
      </c>
      <c r="H2" s="1" t="s">
        <v>57</v>
      </c>
      <c r="I2" s="1" t="s">
        <v>58</v>
      </c>
      <c r="K2" s="1" t="s">
        <v>55</v>
      </c>
      <c r="L2" s="1" t="s">
        <v>56</v>
      </c>
      <c r="M2" s="1" t="s">
        <v>57</v>
      </c>
      <c r="N2" s="1" t="s">
        <v>58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55</v>
      </c>
      <c r="V2" s="1" t="s">
        <v>56</v>
      </c>
      <c r="W2" s="1" t="s">
        <v>57</v>
      </c>
      <c r="X2" s="1" t="s">
        <v>58</v>
      </c>
      <c r="Z2" s="1" t="s">
        <v>55</v>
      </c>
      <c r="AA2" s="1" t="s">
        <v>56</v>
      </c>
      <c r="AB2" s="1" t="s">
        <v>57</v>
      </c>
      <c r="AC2" s="1" t="s">
        <v>58</v>
      </c>
      <c r="AE2" s="1" t="s">
        <v>55</v>
      </c>
      <c r="AF2" s="1" t="s">
        <v>56</v>
      </c>
      <c r="AG2" s="1" t="s">
        <v>57</v>
      </c>
      <c r="AH2" s="1" t="s">
        <v>58</v>
      </c>
      <c r="AJ2" s="1" t="s">
        <v>55</v>
      </c>
      <c r="AK2" s="1" t="s">
        <v>56</v>
      </c>
      <c r="AL2" s="1" t="s">
        <v>57</v>
      </c>
      <c r="AM2" s="1" t="s">
        <v>58</v>
      </c>
      <c r="AO2" s="1" t="s">
        <v>55</v>
      </c>
      <c r="AP2" s="1" t="s">
        <v>56</v>
      </c>
      <c r="AQ2" s="1" t="s">
        <v>57</v>
      </c>
      <c r="AR2" s="1" t="s">
        <v>58</v>
      </c>
      <c r="AT2" s="1" t="s">
        <v>55</v>
      </c>
      <c r="AU2" s="1" t="s">
        <v>56</v>
      </c>
      <c r="AV2" s="1" t="s">
        <v>57</v>
      </c>
      <c r="AW2" s="1" t="s">
        <v>58</v>
      </c>
    </row>
    <row r="3" spans="1:49" x14ac:dyDescent="0.3">
      <c r="A3" s="2">
        <v>9.9999999999999994E-12</v>
      </c>
      <c r="B3" s="16">
        <v>0</v>
      </c>
      <c r="C3" s="16">
        <v>0</v>
      </c>
      <c r="D3">
        <f>B3*C3</f>
        <v>0</v>
      </c>
      <c r="F3" s="2">
        <v>9.9999999999999994E-12</v>
      </c>
      <c r="G3" s="3">
        <v>0</v>
      </c>
      <c r="H3" s="16">
        <v>0</v>
      </c>
      <c r="I3">
        <f>G3*H3</f>
        <v>0</v>
      </c>
      <c r="K3" s="2">
        <v>9.9999999999999994E-12</v>
      </c>
      <c r="L3" s="3">
        <v>0</v>
      </c>
      <c r="M3" s="16">
        <v>0</v>
      </c>
      <c r="N3">
        <f>L3*M3</f>
        <v>0</v>
      </c>
      <c r="P3" s="2">
        <v>9.9999999999999994E-12</v>
      </c>
      <c r="Q3" s="3">
        <v>0</v>
      </c>
      <c r="R3" s="16">
        <v>0</v>
      </c>
      <c r="S3">
        <f>Q3*R3</f>
        <v>0</v>
      </c>
      <c r="U3" s="2">
        <v>9.9999999999999994E-12</v>
      </c>
      <c r="V3" s="3">
        <v>0</v>
      </c>
      <c r="W3" s="16">
        <v>0</v>
      </c>
      <c r="X3">
        <f>V3*W3</f>
        <v>0</v>
      </c>
      <c r="Z3" s="2">
        <v>9.9999999999999994E-12</v>
      </c>
      <c r="AA3" s="3">
        <v>0</v>
      </c>
      <c r="AB3" s="16">
        <v>0</v>
      </c>
      <c r="AC3">
        <f>AA3*AB3</f>
        <v>0</v>
      </c>
      <c r="AE3" s="2">
        <v>9.9999999999999994E-12</v>
      </c>
      <c r="AF3" s="3">
        <v>0</v>
      </c>
      <c r="AG3" s="16">
        <v>0</v>
      </c>
      <c r="AH3">
        <f>AF3*AG3</f>
        <v>0</v>
      </c>
      <c r="AJ3" s="2">
        <v>9.9999999999999994E-12</v>
      </c>
      <c r="AK3" s="3">
        <v>0</v>
      </c>
      <c r="AL3" s="16">
        <v>0</v>
      </c>
      <c r="AM3">
        <f>AK3*AL3</f>
        <v>0</v>
      </c>
      <c r="AO3" s="2">
        <v>9.9999999999999994E-12</v>
      </c>
      <c r="AP3" s="3">
        <v>0</v>
      </c>
      <c r="AQ3" s="16">
        <v>0</v>
      </c>
      <c r="AR3">
        <f>AP3*AQ3</f>
        <v>0</v>
      </c>
      <c r="AT3" s="2">
        <v>9.9999999999999994E-12</v>
      </c>
      <c r="AU3" s="3">
        <v>0</v>
      </c>
      <c r="AV3" s="16">
        <v>0</v>
      </c>
      <c r="AW3">
        <f>AU3*AV3</f>
        <v>0</v>
      </c>
    </row>
    <row r="4" spans="1:49" x14ac:dyDescent="0.3">
      <c r="A4" s="2">
        <v>1.1286E-11</v>
      </c>
      <c r="B4" s="16">
        <v>0</v>
      </c>
      <c r="C4" s="16">
        <v>0.85811430480011197</v>
      </c>
      <c r="D4">
        <f t="shared" ref="D4:D67" si="0">B4*C4</f>
        <v>0</v>
      </c>
      <c r="F4" s="2">
        <v>1.1286E-11</v>
      </c>
      <c r="G4" s="3">
        <v>0</v>
      </c>
      <c r="H4" s="16">
        <v>0</v>
      </c>
      <c r="I4">
        <f t="shared" ref="I4:I67" si="1">G4*H4</f>
        <v>0</v>
      </c>
      <c r="K4" s="2">
        <v>1.1286E-11</v>
      </c>
      <c r="L4" s="3">
        <v>0</v>
      </c>
      <c r="M4" s="16">
        <v>0</v>
      </c>
      <c r="N4">
        <f t="shared" ref="N4:N67" si="2">L4*M4</f>
        <v>0</v>
      </c>
      <c r="P4" s="2">
        <v>1.1286E-11</v>
      </c>
      <c r="Q4" s="3">
        <v>0</v>
      </c>
      <c r="R4" s="16">
        <v>0</v>
      </c>
      <c r="S4">
        <f t="shared" ref="S4:S67" si="3">Q4*R4</f>
        <v>0</v>
      </c>
      <c r="U4" s="2">
        <v>1.1286E-11</v>
      </c>
      <c r="V4" s="3">
        <v>0</v>
      </c>
      <c r="W4" s="16">
        <v>0</v>
      </c>
      <c r="X4">
        <f t="shared" ref="X4:X67" si="4">V4*W4</f>
        <v>0</v>
      </c>
      <c r="Z4" s="2">
        <v>1.1286E-11</v>
      </c>
      <c r="AA4" s="3">
        <v>0</v>
      </c>
      <c r="AB4" s="16">
        <v>0</v>
      </c>
      <c r="AC4">
        <f t="shared" ref="AC4:AC67" si="5">AA4*AB4</f>
        <v>0</v>
      </c>
      <c r="AE4" s="2">
        <v>1.1286E-11</v>
      </c>
      <c r="AF4" s="3">
        <v>0</v>
      </c>
      <c r="AG4" s="16">
        <v>0</v>
      </c>
      <c r="AH4">
        <f t="shared" ref="AH4:AH67" si="6">AF4*AG4</f>
        <v>0</v>
      </c>
      <c r="AJ4" s="2">
        <v>1.1286E-11</v>
      </c>
      <c r="AK4" s="3">
        <v>0</v>
      </c>
      <c r="AL4" s="16">
        <v>0.12705358853903601</v>
      </c>
      <c r="AM4">
        <f t="shared" ref="AM4:AM67" si="7">AK4*AL4</f>
        <v>0</v>
      </c>
      <c r="AO4" s="2">
        <v>1.1286E-11</v>
      </c>
      <c r="AP4" s="3">
        <v>0</v>
      </c>
      <c r="AQ4" s="16">
        <v>1.67662680943733E-3</v>
      </c>
      <c r="AR4">
        <f t="shared" ref="AR4:AR67" si="8">AP4*AQ4</f>
        <v>0</v>
      </c>
      <c r="AT4" s="2">
        <v>1.1286E-11</v>
      </c>
      <c r="AU4" s="3">
        <v>0</v>
      </c>
      <c r="AV4" s="16">
        <v>0</v>
      </c>
      <c r="AW4">
        <f t="shared" ref="AW4:AW67" si="9">AU4*AV4</f>
        <v>0</v>
      </c>
    </row>
    <row r="5" spans="1:49" x14ac:dyDescent="0.3">
      <c r="A5" s="2">
        <v>1.2738E-11</v>
      </c>
      <c r="B5" s="16">
        <v>0</v>
      </c>
      <c r="C5" s="16">
        <v>0.797026723039575</v>
      </c>
      <c r="D5">
        <f t="shared" si="0"/>
        <v>0</v>
      </c>
      <c r="F5" s="2">
        <v>1.2738E-11</v>
      </c>
      <c r="G5" s="3">
        <v>0</v>
      </c>
      <c r="H5" s="16">
        <v>0</v>
      </c>
      <c r="I5">
        <f t="shared" si="1"/>
        <v>0</v>
      </c>
      <c r="K5" s="2">
        <v>1.2738E-11</v>
      </c>
      <c r="L5" s="3">
        <v>0</v>
      </c>
      <c r="M5" s="16">
        <v>0</v>
      </c>
      <c r="N5">
        <f t="shared" si="2"/>
        <v>0</v>
      </c>
      <c r="P5" s="2">
        <v>1.2738E-11</v>
      </c>
      <c r="Q5" s="3">
        <v>0</v>
      </c>
      <c r="R5" s="16">
        <v>0</v>
      </c>
      <c r="S5">
        <f t="shared" si="3"/>
        <v>0</v>
      </c>
      <c r="U5" s="2">
        <v>1.2738E-11</v>
      </c>
      <c r="V5" s="3">
        <v>0</v>
      </c>
      <c r="W5" s="16">
        <v>0</v>
      </c>
      <c r="X5">
        <f t="shared" si="4"/>
        <v>0</v>
      </c>
      <c r="Z5" s="2">
        <v>1.2738E-11</v>
      </c>
      <c r="AA5" s="3">
        <v>0</v>
      </c>
      <c r="AB5" s="16">
        <v>0</v>
      </c>
      <c r="AC5">
        <f t="shared" si="5"/>
        <v>0</v>
      </c>
      <c r="AE5" s="2">
        <v>1.2738E-11</v>
      </c>
      <c r="AF5" s="3">
        <v>0</v>
      </c>
      <c r="AG5" s="16">
        <v>0</v>
      </c>
      <c r="AH5">
        <f t="shared" si="6"/>
        <v>0</v>
      </c>
      <c r="AJ5" s="2">
        <v>1.2738E-11</v>
      </c>
      <c r="AK5" s="3">
        <v>0</v>
      </c>
      <c r="AL5" s="16">
        <v>0.118008595730083</v>
      </c>
      <c r="AM5">
        <f t="shared" si="7"/>
        <v>0</v>
      </c>
      <c r="AO5" s="2">
        <v>1.2738E-11</v>
      </c>
      <c r="AP5" s="3">
        <v>0</v>
      </c>
      <c r="AQ5" s="16">
        <v>1.55726882365014E-3</v>
      </c>
      <c r="AR5">
        <f t="shared" si="8"/>
        <v>0</v>
      </c>
      <c r="AT5" s="2">
        <v>1.2738E-11</v>
      </c>
      <c r="AU5" s="3">
        <v>0</v>
      </c>
      <c r="AV5" s="16">
        <v>0</v>
      </c>
      <c r="AW5">
        <f t="shared" si="9"/>
        <v>0</v>
      </c>
    </row>
    <row r="6" spans="1:49" x14ac:dyDescent="0.3">
      <c r="A6" s="2">
        <v>1.4375999999999999E-11</v>
      </c>
      <c r="B6" s="16">
        <v>0</v>
      </c>
      <c r="C6" s="16">
        <v>0.75888799166517595</v>
      </c>
      <c r="D6">
        <f t="shared" si="0"/>
        <v>0</v>
      </c>
      <c r="F6" s="2">
        <v>1.4375999999999999E-11</v>
      </c>
      <c r="G6" s="3">
        <v>0</v>
      </c>
      <c r="H6" s="16">
        <v>0</v>
      </c>
      <c r="I6">
        <f t="shared" si="1"/>
        <v>0</v>
      </c>
      <c r="K6" s="2">
        <v>1.4375999999999999E-11</v>
      </c>
      <c r="L6" s="3">
        <v>0</v>
      </c>
      <c r="M6" s="16">
        <v>0</v>
      </c>
      <c r="N6">
        <f t="shared" si="2"/>
        <v>0</v>
      </c>
      <c r="P6" s="2">
        <v>1.4375999999999999E-11</v>
      </c>
      <c r="Q6" s="3">
        <v>0</v>
      </c>
      <c r="R6" s="16">
        <v>0</v>
      </c>
      <c r="S6">
        <f t="shared" si="3"/>
        <v>0</v>
      </c>
      <c r="U6" s="2">
        <v>1.4375999999999999E-11</v>
      </c>
      <c r="V6" s="3">
        <v>0</v>
      </c>
      <c r="W6" s="16">
        <v>0</v>
      </c>
      <c r="X6">
        <f t="shared" si="4"/>
        <v>0</v>
      </c>
      <c r="Z6" s="2">
        <v>1.4375999999999999E-11</v>
      </c>
      <c r="AA6" s="3">
        <v>0</v>
      </c>
      <c r="AB6" s="16">
        <v>0</v>
      </c>
      <c r="AC6">
        <f t="shared" si="5"/>
        <v>0</v>
      </c>
      <c r="AE6" s="2">
        <v>1.4375999999999999E-11</v>
      </c>
      <c r="AF6" s="3">
        <v>0</v>
      </c>
      <c r="AG6" s="16">
        <v>0</v>
      </c>
      <c r="AH6">
        <f t="shared" si="6"/>
        <v>0</v>
      </c>
      <c r="AJ6" s="2">
        <v>1.4375999999999999E-11</v>
      </c>
      <c r="AK6" s="3">
        <v>0</v>
      </c>
      <c r="AL6" s="16">
        <v>0.112361693335417</v>
      </c>
      <c r="AM6">
        <f t="shared" si="7"/>
        <v>0</v>
      </c>
      <c r="AO6" s="2">
        <v>1.4375999999999999E-11</v>
      </c>
      <c r="AP6" s="3">
        <v>0</v>
      </c>
      <c r="AQ6" s="16">
        <v>1.4827481963981899E-3</v>
      </c>
      <c r="AR6">
        <f t="shared" si="8"/>
        <v>0</v>
      </c>
      <c r="AT6" s="2">
        <v>1.4375999999999999E-11</v>
      </c>
      <c r="AU6" s="3">
        <v>0</v>
      </c>
      <c r="AV6" s="16">
        <v>0</v>
      </c>
      <c r="AW6">
        <f t="shared" si="9"/>
        <v>0</v>
      </c>
    </row>
    <row r="7" spans="1:49" x14ac:dyDescent="0.3">
      <c r="A7" s="2">
        <v>1.6225000000000001E-11</v>
      </c>
      <c r="B7" s="16">
        <v>0</v>
      </c>
      <c r="C7" s="16">
        <v>0.72257458465834101</v>
      </c>
      <c r="D7">
        <f t="shared" si="0"/>
        <v>0</v>
      </c>
      <c r="F7" s="2">
        <v>1.6225000000000001E-11</v>
      </c>
      <c r="G7" s="3">
        <v>0</v>
      </c>
      <c r="H7" s="16">
        <v>0</v>
      </c>
      <c r="I7">
        <f t="shared" si="1"/>
        <v>0</v>
      </c>
      <c r="K7" s="2">
        <v>1.6225000000000001E-11</v>
      </c>
      <c r="L7" s="3">
        <v>0</v>
      </c>
      <c r="M7" s="16">
        <v>0</v>
      </c>
      <c r="N7">
        <f t="shared" si="2"/>
        <v>0</v>
      </c>
      <c r="P7" s="2">
        <v>1.6225000000000001E-11</v>
      </c>
      <c r="Q7" s="3">
        <v>0</v>
      </c>
      <c r="R7" s="16">
        <v>0</v>
      </c>
      <c r="S7">
        <f t="shared" si="3"/>
        <v>0</v>
      </c>
      <c r="U7" s="2">
        <v>1.6225000000000001E-11</v>
      </c>
      <c r="V7" s="3">
        <v>0</v>
      </c>
      <c r="W7" s="16">
        <v>0</v>
      </c>
      <c r="X7">
        <f t="shared" si="4"/>
        <v>0</v>
      </c>
      <c r="Z7" s="2">
        <v>1.6225000000000001E-11</v>
      </c>
      <c r="AA7" s="3">
        <v>0</v>
      </c>
      <c r="AB7" s="16">
        <v>0</v>
      </c>
      <c r="AC7">
        <f t="shared" si="5"/>
        <v>0</v>
      </c>
      <c r="AE7" s="2">
        <v>1.6225000000000001E-11</v>
      </c>
      <c r="AF7" s="3">
        <v>0</v>
      </c>
      <c r="AG7" s="16">
        <v>0</v>
      </c>
      <c r="AH7">
        <f t="shared" si="6"/>
        <v>0</v>
      </c>
      <c r="AJ7" s="2">
        <v>1.6225000000000001E-11</v>
      </c>
      <c r="AK7" s="3">
        <v>0</v>
      </c>
      <c r="AL7" s="16">
        <v>0.106985324712827</v>
      </c>
      <c r="AM7">
        <f t="shared" si="7"/>
        <v>0</v>
      </c>
      <c r="AO7" s="2">
        <v>1.6225000000000001E-11</v>
      </c>
      <c r="AP7" s="3">
        <v>0</v>
      </c>
      <c r="AQ7" s="16">
        <v>1.41180242720531E-3</v>
      </c>
      <c r="AR7">
        <f t="shared" si="8"/>
        <v>0</v>
      </c>
      <c r="AT7" s="2">
        <v>1.6225000000000001E-11</v>
      </c>
      <c r="AU7" s="3">
        <v>0</v>
      </c>
      <c r="AV7" s="16">
        <v>0</v>
      </c>
      <c r="AW7">
        <f t="shared" si="9"/>
        <v>0</v>
      </c>
    </row>
    <row r="8" spans="1:49" x14ac:dyDescent="0.3">
      <c r="A8" s="2">
        <v>1.8312999999999999E-11</v>
      </c>
      <c r="B8" s="16">
        <v>0</v>
      </c>
      <c r="C8" s="16">
        <v>0.67153880138618205</v>
      </c>
      <c r="D8">
        <f t="shared" si="0"/>
        <v>0</v>
      </c>
      <c r="F8" s="2">
        <v>1.8312999999999999E-11</v>
      </c>
      <c r="G8" s="3">
        <v>0</v>
      </c>
      <c r="H8" s="16">
        <v>0</v>
      </c>
      <c r="I8">
        <f t="shared" si="1"/>
        <v>0</v>
      </c>
      <c r="K8" s="2">
        <v>1.8312999999999999E-11</v>
      </c>
      <c r="L8" s="3">
        <v>0</v>
      </c>
      <c r="M8" s="16">
        <v>0</v>
      </c>
      <c r="N8">
        <f t="shared" si="2"/>
        <v>0</v>
      </c>
      <c r="P8" s="2">
        <v>1.8312999999999999E-11</v>
      </c>
      <c r="Q8" s="3">
        <v>0</v>
      </c>
      <c r="R8" s="16">
        <v>0</v>
      </c>
      <c r="S8">
        <f t="shared" si="3"/>
        <v>0</v>
      </c>
      <c r="U8" s="2">
        <v>1.8312999999999999E-11</v>
      </c>
      <c r="V8" s="3">
        <v>0</v>
      </c>
      <c r="W8" s="16">
        <v>0</v>
      </c>
      <c r="X8">
        <f t="shared" si="4"/>
        <v>0</v>
      </c>
      <c r="Z8" s="2">
        <v>1.8312999999999999E-11</v>
      </c>
      <c r="AA8" s="3">
        <v>0</v>
      </c>
      <c r="AB8" s="16">
        <v>0</v>
      </c>
      <c r="AC8">
        <f t="shared" si="5"/>
        <v>0</v>
      </c>
      <c r="AE8" s="2">
        <v>1.8312999999999999E-11</v>
      </c>
      <c r="AF8" s="3">
        <v>0</v>
      </c>
      <c r="AG8" s="16">
        <v>0</v>
      </c>
      <c r="AH8">
        <f t="shared" si="6"/>
        <v>0</v>
      </c>
      <c r="AJ8" s="2">
        <v>1.8312999999999999E-11</v>
      </c>
      <c r="AK8" s="3">
        <v>0</v>
      </c>
      <c r="AL8" s="16">
        <v>9.9428512698996899E-2</v>
      </c>
      <c r="AM8">
        <f t="shared" si="7"/>
        <v>0</v>
      </c>
      <c r="AO8" s="2">
        <v>1.8312999999999999E-11</v>
      </c>
      <c r="AP8" s="3">
        <v>0</v>
      </c>
      <c r="AQ8" s="16">
        <v>1.3120831860768301E-3</v>
      </c>
      <c r="AR8">
        <f t="shared" si="8"/>
        <v>0</v>
      </c>
      <c r="AT8" s="2">
        <v>1.8312999999999999E-11</v>
      </c>
      <c r="AU8" s="3">
        <v>0</v>
      </c>
      <c r="AV8" s="16">
        <v>0</v>
      </c>
      <c r="AW8">
        <f t="shared" si="9"/>
        <v>0</v>
      </c>
    </row>
    <row r="9" spans="1:49" x14ac:dyDescent="0.3">
      <c r="A9" s="2">
        <v>2.0668E-11</v>
      </c>
      <c r="B9" s="16">
        <v>0</v>
      </c>
      <c r="C9" s="16">
        <v>0.62373353832184797</v>
      </c>
      <c r="D9">
        <f t="shared" si="0"/>
        <v>0</v>
      </c>
      <c r="F9" s="2">
        <v>2.0668E-11</v>
      </c>
      <c r="G9" s="3">
        <v>0</v>
      </c>
      <c r="H9" s="16">
        <v>0</v>
      </c>
      <c r="I9">
        <f t="shared" si="1"/>
        <v>0</v>
      </c>
      <c r="K9" s="2">
        <v>2.0668E-11</v>
      </c>
      <c r="L9" s="3">
        <v>0</v>
      </c>
      <c r="M9" s="16">
        <v>0</v>
      </c>
      <c r="N9">
        <f t="shared" si="2"/>
        <v>0</v>
      </c>
      <c r="P9" s="2">
        <v>2.0668E-11</v>
      </c>
      <c r="Q9" s="3">
        <v>0</v>
      </c>
      <c r="R9" s="16">
        <v>0</v>
      </c>
      <c r="S9">
        <f t="shared" si="3"/>
        <v>0</v>
      </c>
      <c r="U9" s="2">
        <v>2.0668E-11</v>
      </c>
      <c r="V9" s="3">
        <v>0</v>
      </c>
      <c r="W9" s="16">
        <v>0</v>
      </c>
      <c r="X9">
        <f t="shared" si="4"/>
        <v>0</v>
      </c>
      <c r="Z9" s="2">
        <v>2.0668E-11</v>
      </c>
      <c r="AA9" s="3">
        <v>0</v>
      </c>
      <c r="AB9" s="16">
        <v>0</v>
      </c>
      <c r="AC9">
        <f t="shared" si="5"/>
        <v>0</v>
      </c>
      <c r="AE9" s="2">
        <v>2.0668E-11</v>
      </c>
      <c r="AF9" s="3">
        <v>0</v>
      </c>
      <c r="AG9" s="16">
        <v>0</v>
      </c>
      <c r="AH9">
        <f t="shared" si="6"/>
        <v>0</v>
      </c>
      <c r="AJ9" s="2">
        <v>2.0668E-11</v>
      </c>
      <c r="AK9" s="3">
        <v>0</v>
      </c>
      <c r="AL9" s="16">
        <v>9.2350035760430702E-2</v>
      </c>
      <c r="AM9">
        <f t="shared" si="7"/>
        <v>0</v>
      </c>
      <c r="AO9" s="2">
        <v>2.0668E-11</v>
      </c>
      <c r="AP9" s="3">
        <v>0</v>
      </c>
      <c r="AQ9" s="16">
        <v>1.21867738321719E-3</v>
      </c>
      <c r="AR9">
        <f t="shared" si="8"/>
        <v>0</v>
      </c>
      <c r="AT9" s="2">
        <v>2.0668E-11</v>
      </c>
      <c r="AU9" s="3">
        <v>0</v>
      </c>
      <c r="AV9" s="16">
        <v>0</v>
      </c>
      <c r="AW9">
        <f t="shared" si="9"/>
        <v>0</v>
      </c>
    </row>
    <row r="10" spans="1:49" x14ac:dyDescent="0.3">
      <c r="A10" s="2">
        <v>2.3326E-11</v>
      </c>
      <c r="B10" s="16">
        <v>0</v>
      </c>
      <c r="C10" s="16">
        <v>0.59388653507356703</v>
      </c>
      <c r="D10">
        <f t="shared" si="0"/>
        <v>0</v>
      </c>
      <c r="F10" s="2">
        <v>2.3326E-11</v>
      </c>
      <c r="G10" s="3">
        <v>0</v>
      </c>
      <c r="H10" s="16">
        <v>0</v>
      </c>
      <c r="I10">
        <f t="shared" si="1"/>
        <v>0</v>
      </c>
      <c r="K10" s="2">
        <v>2.3326E-11</v>
      </c>
      <c r="L10" s="3">
        <v>0</v>
      </c>
      <c r="M10" s="16">
        <v>0</v>
      </c>
      <c r="N10">
        <f t="shared" si="2"/>
        <v>0</v>
      </c>
      <c r="P10" s="2">
        <v>2.3326E-11</v>
      </c>
      <c r="Q10" s="3">
        <v>0</v>
      </c>
      <c r="R10" s="16">
        <v>0</v>
      </c>
      <c r="S10">
        <f t="shared" si="3"/>
        <v>0</v>
      </c>
      <c r="U10" s="2">
        <v>2.3326E-11</v>
      </c>
      <c r="V10" s="3">
        <v>0</v>
      </c>
      <c r="W10" s="16">
        <v>0</v>
      </c>
      <c r="X10">
        <f t="shared" si="4"/>
        <v>0</v>
      </c>
      <c r="Z10" s="2">
        <v>2.3326E-11</v>
      </c>
      <c r="AA10" s="3">
        <v>0</v>
      </c>
      <c r="AB10" s="16">
        <v>0</v>
      </c>
      <c r="AC10">
        <f t="shared" si="5"/>
        <v>0</v>
      </c>
      <c r="AE10" s="2">
        <v>2.3326E-11</v>
      </c>
      <c r="AF10" s="3">
        <v>0</v>
      </c>
      <c r="AG10" s="16">
        <v>0</v>
      </c>
      <c r="AH10">
        <f t="shared" si="6"/>
        <v>0</v>
      </c>
      <c r="AJ10" s="2">
        <v>2.3326E-11</v>
      </c>
      <c r="AK10" s="3">
        <v>0</v>
      </c>
      <c r="AL10" s="16">
        <v>8.7931317483195201E-2</v>
      </c>
      <c r="AM10">
        <f t="shared" si="7"/>
        <v>0</v>
      </c>
      <c r="AO10" s="2">
        <v>2.3326E-11</v>
      </c>
      <c r="AP10" s="3">
        <v>0</v>
      </c>
      <c r="AQ10" s="16">
        <v>1.1603584905620101E-3</v>
      </c>
      <c r="AR10">
        <f t="shared" si="8"/>
        <v>0</v>
      </c>
      <c r="AT10" s="2">
        <v>2.3326E-11</v>
      </c>
      <c r="AU10" s="3">
        <v>0</v>
      </c>
      <c r="AV10" s="16">
        <v>0</v>
      </c>
      <c r="AW10">
        <f t="shared" si="9"/>
        <v>0</v>
      </c>
    </row>
    <row r="11" spans="1:49" x14ac:dyDescent="0.3">
      <c r="A11" s="2">
        <v>2.6327000000000001E-11</v>
      </c>
      <c r="B11" s="16">
        <v>0</v>
      </c>
      <c r="C11" s="16">
        <v>0.56546975659908705</v>
      </c>
      <c r="D11">
        <f t="shared" si="0"/>
        <v>0</v>
      </c>
      <c r="F11" s="2">
        <v>2.6327000000000001E-11</v>
      </c>
      <c r="G11" s="3">
        <v>0</v>
      </c>
      <c r="H11" s="16">
        <v>0</v>
      </c>
      <c r="I11">
        <f t="shared" si="1"/>
        <v>0</v>
      </c>
      <c r="K11" s="2">
        <v>2.6327000000000001E-11</v>
      </c>
      <c r="L11" s="3">
        <v>0</v>
      </c>
      <c r="M11" s="16">
        <v>0</v>
      </c>
      <c r="N11">
        <f t="shared" si="2"/>
        <v>0</v>
      </c>
      <c r="P11" s="2">
        <v>2.6327000000000001E-11</v>
      </c>
      <c r="Q11" s="3">
        <v>0</v>
      </c>
      <c r="R11" s="16">
        <v>0</v>
      </c>
      <c r="S11">
        <f t="shared" si="3"/>
        <v>0</v>
      </c>
      <c r="U11" s="2">
        <v>2.6327000000000001E-11</v>
      </c>
      <c r="V11" s="3">
        <v>0</v>
      </c>
      <c r="W11" s="16">
        <v>0</v>
      </c>
      <c r="X11">
        <f t="shared" si="4"/>
        <v>0</v>
      </c>
      <c r="Z11" s="2">
        <v>2.6327000000000001E-11</v>
      </c>
      <c r="AA11" s="3">
        <v>0</v>
      </c>
      <c r="AB11" s="16">
        <v>0</v>
      </c>
      <c r="AC11">
        <f t="shared" si="5"/>
        <v>0</v>
      </c>
      <c r="AE11" s="2">
        <v>2.6327000000000001E-11</v>
      </c>
      <c r="AF11" s="3">
        <v>0</v>
      </c>
      <c r="AG11" s="16">
        <v>0</v>
      </c>
      <c r="AH11">
        <f t="shared" si="6"/>
        <v>0</v>
      </c>
      <c r="AJ11" s="2">
        <v>2.6327000000000001E-11</v>
      </c>
      <c r="AK11" s="3">
        <v>0</v>
      </c>
      <c r="AL11" s="16">
        <v>8.3723831191040404E-2</v>
      </c>
      <c r="AM11">
        <f t="shared" si="7"/>
        <v>0</v>
      </c>
      <c r="AO11" s="2">
        <v>2.6327000000000001E-11</v>
      </c>
      <c r="AP11" s="3">
        <v>0</v>
      </c>
      <c r="AQ11" s="16">
        <v>1.1048333173154601E-3</v>
      </c>
      <c r="AR11">
        <f t="shared" si="8"/>
        <v>0</v>
      </c>
      <c r="AT11" s="2">
        <v>2.6327000000000001E-11</v>
      </c>
      <c r="AU11" s="3">
        <v>0</v>
      </c>
      <c r="AV11" s="16">
        <v>0</v>
      </c>
      <c r="AW11">
        <f t="shared" si="9"/>
        <v>0</v>
      </c>
    </row>
    <row r="12" spans="1:49" x14ac:dyDescent="0.3">
      <c r="A12" s="2">
        <v>2.9713E-11</v>
      </c>
      <c r="B12" s="16">
        <v>0</v>
      </c>
      <c r="C12" s="16">
        <v>0.52552983590018099</v>
      </c>
      <c r="D12">
        <f t="shared" si="0"/>
        <v>0</v>
      </c>
      <c r="F12" s="2">
        <v>2.9713E-11</v>
      </c>
      <c r="G12" s="3">
        <v>0</v>
      </c>
      <c r="H12" s="16">
        <v>0</v>
      </c>
      <c r="I12">
        <f t="shared" si="1"/>
        <v>0</v>
      </c>
      <c r="K12" s="2">
        <v>2.9713E-11</v>
      </c>
      <c r="L12" s="3">
        <v>0</v>
      </c>
      <c r="M12" s="16">
        <v>0</v>
      </c>
      <c r="N12">
        <f t="shared" si="2"/>
        <v>0</v>
      </c>
      <c r="P12" s="2">
        <v>2.9713E-11</v>
      </c>
      <c r="Q12" s="3">
        <v>0</v>
      </c>
      <c r="R12" s="16">
        <v>0</v>
      </c>
      <c r="S12">
        <f t="shared" si="3"/>
        <v>0</v>
      </c>
      <c r="U12" s="2">
        <v>2.9713E-11</v>
      </c>
      <c r="V12" s="3">
        <v>0</v>
      </c>
      <c r="W12" s="16">
        <v>0</v>
      </c>
      <c r="X12">
        <f t="shared" si="4"/>
        <v>0</v>
      </c>
      <c r="Z12" s="2">
        <v>2.9713E-11</v>
      </c>
      <c r="AA12" s="3">
        <v>0</v>
      </c>
      <c r="AB12" s="16">
        <v>0</v>
      </c>
      <c r="AC12">
        <f t="shared" si="5"/>
        <v>0</v>
      </c>
      <c r="AE12" s="2">
        <v>2.9713E-11</v>
      </c>
      <c r="AF12" s="3">
        <v>0</v>
      </c>
      <c r="AG12" s="16">
        <v>0</v>
      </c>
      <c r="AH12">
        <f t="shared" si="6"/>
        <v>0</v>
      </c>
      <c r="AJ12" s="2">
        <v>2.9713E-11</v>
      </c>
      <c r="AK12" s="3">
        <v>0</v>
      </c>
      <c r="AL12" s="16">
        <v>7.7810070754897695E-2</v>
      </c>
      <c r="AM12">
        <f t="shared" si="7"/>
        <v>0</v>
      </c>
      <c r="AO12" s="2">
        <v>2.9713E-11</v>
      </c>
      <c r="AP12" s="3">
        <v>0</v>
      </c>
      <c r="AQ12" s="16">
        <v>1.02680216106977E-3</v>
      </c>
      <c r="AR12">
        <f t="shared" si="8"/>
        <v>0</v>
      </c>
      <c r="AT12" s="2">
        <v>2.9713E-11</v>
      </c>
      <c r="AU12" s="3">
        <v>0</v>
      </c>
      <c r="AV12" s="16">
        <v>0</v>
      </c>
      <c r="AW12">
        <f t="shared" si="9"/>
        <v>0</v>
      </c>
    </row>
    <row r="13" spans="1:49" x14ac:dyDescent="0.3">
      <c r="A13" s="2">
        <v>3.3534999999999997E-11</v>
      </c>
      <c r="B13" s="16">
        <v>0</v>
      </c>
      <c r="C13" s="16">
        <v>0.48811783748896997</v>
      </c>
      <c r="D13">
        <f t="shared" si="0"/>
        <v>0</v>
      </c>
      <c r="F13" s="2">
        <v>3.3534999999999997E-11</v>
      </c>
      <c r="G13" s="3">
        <v>0</v>
      </c>
      <c r="H13" s="16">
        <v>0</v>
      </c>
      <c r="I13">
        <f t="shared" si="1"/>
        <v>0</v>
      </c>
      <c r="K13" s="2">
        <v>3.3534999999999997E-11</v>
      </c>
      <c r="L13" s="3">
        <v>0</v>
      </c>
      <c r="M13" s="16">
        <v>0</v>
      </c>
      <c r="N13">
        <f t="shared" si="2"/>
        <v>0</v>
      </c>
      <c r="P13" s="2">
        <v>3.3534999999999997E-11</v>
      </c>
      <c r="Q13" s="3">
        <v>0</v>
      </c>
      <c r="R13" s="16">
        <v>0</v>
      </c>
      <c r="S13">
        <f t="shared" si="3"/>
        <v>0</v>
      </c>
      <c r="U13" s="2">
        <v>3.3534999999999997E-11</v>
      </c>
      <c r="V13" s="3">
        <v>0</v>
      </c>
      <c r="W13" s="16">
        <v>0</v>
      </c>
      <c r="X13">
        <f t="shared" si="4"/>
        <v>0</v>
      </c>
      <c r="Z13" s="2">
        <v>3.3534999999999997E-11</v>
      </c>
      <c r="AA13" s="3">
        <v>0</v>
      </c>
      <c r="AB13" s="16">
        <v>0</v>
      </c>
      <c r="AC13">
        <f t="shared" si="5"/>
        <v>0</v>
      </c>
      <c r="AE13" s="2">
        <v>3.3534999999999997E-11</v>
      </c>
      <c r="AF13" s="3">
        <v>0</v>
      </c>
      <c r="AG13" s="16">
        <v>0</v>
      </c>
      <c r="AH13">
        <f t="shared" si="6"/>
        <v>0</v>
      </c>
      <c r="AJ13" s="2">
        <v>3.3534999999999997E-11</v>
      </c>
      <c r="AK13" s="3">
        <v>0</v>
      </c>
      <c r="AL13" s="16">
        <v>7.2270744742424994E-2</v>
      </c>
      <c r="AM13">
        <f t="shared" si="7"/>
        <v>0</v>
      </c>
      <c r="AO13" s="2">
        <v>3.3534999999999997E-11</v>
      </c>
      <c r="AP13" s="3">
        <v>0</v>
      </c>
      <c r="AQ13" s="16">
        <v>9.5370596312156504E-4</v>
      </c>
      <c r="AR13">
        <f t="shared" si="8"/>
        <v>0</v>
      </c>
      <c r="AT13" s="2">
        <v>3.3534999999999997E-11</v>
      </c>
      <c r="AU13" s="3">
        <v>0</v>
      </c>
      <c r="AV13" s="16">
        <v>0</v>
      </c>
      <c r="AW13">
        <f t="shared" si="9"/>
        <v>0</v>
      </c>
    </row>
    <row r="14" spans="1:49" x14ac:dyDescent="0.3">
      <c r="A14" s="2">
        <v>3.7847999999999999E-11</v>
      </c>
      <c r="B14" s="16">
        <v>0</v>
      </c>
      <c r="C14" s="16">
        <v>0.464762266932782</v>
      </c>
      <c r="D14">
        <f t="shared" si="0"/>
        <v>0</v>
      </c>
      <c r="F14" s="2">
        <v>3.7847999999999999E-11</v>
      </c>
      <c r="G14" s="3">
        <v>0</v>
      </c>
      <c r="H14" s="16">
        <v>0</v>
      </c>
      <c r="I14">
        <f t="shared" si="1"/>
        <v>0</v>
      </c>
      <c r="K14" s="2">
        <v>3.7847999999999999E-11</v>
      </c>
      <c r="L14" s="3">
        <v>0</v>
      </c>
      <c r="M14" s="16">
        <v>0</v>
      </c>
      <c r="N14">
        <f t="shared" si="2"/>
        <v>0</v>
      </c>
      <c r="P14" s="2">
        <v>3.7847999999999999E-11</v>
      </c>
      <c r="Q14" s="3">
        <v>0</v>
      </c>
      <c r="R14" s="16">
        <v>0</v>
      </c>
      <c r="S14">
        <f t="shared" si="3"/>
        <v>0</v>
      </c>
      <c r="U14" s="2">
        <v>3.7847999999999999E-11</v>
      </c>
      <c r="V14" s="3">
        <v>0</v>
      </c>
      <c r="W14" s="16">
        <v>0</v>
      </c>
      <c r="X14">
        <f t="shared" si="4"/>
        <v>0</v>
      </c>
      <c r="Z14" s="2">
        <v>3.7847999999999999E-11</v>
      </c>
      <c r="AA14" s="3">
        <v>0</v>
      </c>
      <c r="AB14" s="16">
        <v>0</v>
      </c>
      <c r="AC14">
        <f t="shared" si="5"/>
        <v>0</v>
      </c>
      <c r="AE14" s="2">
        <v>3.7847999999999999E-11</v>
      </c>
      <c r="AF14" s="3">
        <v>0</v>
      </c>
      <c r="AG14" s="16">
        <v>0</v>
      </c>
      <c r="AH14">
        <f t="shared" si="6"/>
        <v>0</v>
      </c>
      <c r="AJ14" s="2">
        <v>3.7847999999999999E-11</v>
      </c>
      <c r="AK14" s="3">
        <v>0</v>
      </c>
      <c r="AL14" s="16">
        <v>6.8812617395023298E-2</v>
      </c>
      <c r="AM14">
        <f t="shared" si="7"/>
        <v>0</v>
      </c>
      <c r="AO14" s="2">
        <v>3.7847999999999999E-11</v>
      </c>
      <c r="AP14" s="3">
        <v>0</v>
      </c>
      <c r="AQ14" s="16">
        <v>9.0806724822963805E-4</v>
      </c>
      <c r="AR14">
        <f t="shared" si="8"/>
        <v>0</v>
      </c>
      <c r="AT14" s="2">
        <v>3.7847999999999999E-11</v>
      </c>
      <c r="AU14" s="3">
        <v>0</v>
      </c>
      <c r="AV14" s="16">
        <v>0</v>
      </c>
      <c r="AW14">
        <f t="shared" si="9"/>
        <v>0</v>
      </c>
    </row>
    <row r="15" spans="1:49" x14ac:dyDescent="0.3">
      <c r="A15" s="2">
        <v>4.2716E-11</v>
      </c>
      <c r="B15" s="16">
        <v>0</v>
      </c>
      <c r="C15" s="16">
        <v>0.442524059481127</v>
      </c>
      <c r="D15">
        <f t="shared" si="0"/>
        <v>0</v>
      </c>
      <c r="F15" s="2">
        <v>4.2716E-11</v>
      </c>
      <c r="G15" s="3">
        <v>0</v>
      </c>
      <c r="H15" s="16">
        <v>0</v>
      </c>
      <c r="I15">
        <f t="shared" si="1"/>
        <v>0</v>
      </c>
      <c r="K15" s="2">
        <v>4.2716E-11</v>
      </c>
      <c r="L15" s="3">
        <v>0</v>
      </c>
      <c r="M15" s="16">
        <v>0</v>
      </c>
      <c r="N15">
        <f t="shared" si="2"/>
        <v>0</v>
      </c>
      <c r="P15" s="2">
        <v>4.2716E-11</v>
      </c>
      <c r="Q15" s="3">
        <v>0</v>
      </c>
      <c r="R15" s="16">
        <v>0</v>
      </c>
      <c r="S15">
        <f t="shared" si="3"/>
        <v>0</v>
      </c>
      <c r="U15" s="2">
        <v>4.2716E-11</v>
      </c>
      <c r="V15" s="3">
        <v>0</v>
      </c>
      <c r="W15" s="16">
        <v>0</v>
      </c>
      <c r="X15">
        <f t="shared" si="4"/>
        <v>0</v>
      </c>
      <c r="Z15" s="2">
        <v>4.2716E-11</v>
      </c>
      <c r="AA15" s="3">
        <v>0</v>
      </c>
      <c r="AB15" s="16">
        <v>0</v>
      </c>
      <c r="AC15">
        <f t="shared" si="5"/>
        <v>0</v>
      </c>
      <c r="AE15" s="2">
        <v>4.2716E-11</v>
      </c>
      <c r="AF15" s="3">
        <v>0</v>
      </c>
      <c r="AG15" s="16">
        <v>0</v>
      </c>
      <c r="AH15">
        <f t="shared" si="6"/>
        <v>0</v>
      </c>
      <c r="AJ15" s="2">
        <v>4.2716E-11</v>
      </c>
      <c r="AK15" s="3">
        <v>0</v>
      </c>
      <c r="AL15" s="16">
        <v>6.5519652875863393E-2</v>
      </c>
      <c r="AM15">
        <f t="shared" si="7"/>
        <v>0</v>
      </c>
      <c r="AO15" s="2">
        <v>4.2716E-11</v>
      </c>
      <c r="AP15" s="3">
        <v>0</v>
      </c>
      <c r="AQ15" s="16">
        <v>8.6461572155894302E-4</v>
      </c>
      <c r="AR15">
        <f t="shared" si="8"/>
        <v>0</v>
      </c>
      <c r="AT15" s="2">
        <v>4.2716E-11</v>
      </c>
      <c r="AU15" s="3">
        <v>0</v>
      </c>
      <c r="AV15" s="16">
        <v>0</v>
      </c>
      <c r="AW15">
        <f t="shared" si="9"/>
        <v>0</v>
      </c>
    </row>
    <row r="16" spans="1:49" x14ac:dyDescent="0.3">
      <c r="A16" s="2">
        <v>4.8211000000000003E-11</v>
      </c>
      <c r="B16" s="16">
        <v>0</v>
      </c>
      <c r="C16" s="16">
        <v>0.41126828483065098</v>
      </c>
      <c r="D16">
        <f t="shared" si="0"/>
        <v>0</v>
      </c>
      <c r="F16" s="2">
        <v>4.8211000000000003E-11</v>
      </c>
      <c r="G16" s="3">
        <v>0</v>
      </c>
      <c r="H16" s="16">
        <v>0</v>
      </c>
      <c r="I16">
        <f t="shared" si="1"/>
        <v>0</v>
      </c>
      <c r="K16" s="2">
        <v>4.8211000000000003E-11</v>
      </c>
      <c r="L16" s="3">
        <v>0</v>
      </c>
      <c r="M16" s="16">
        <v>0</v>
      </c>
      <c r="N16">
        <f t="shared" si="2"/>
        <v>0</v>
      </c>
      <c r="P16" s="2">
        <v>4.8211000000000003E-11</v>
      </c>
      <c r="Q16" s="3">
        <v>0</v>
      </c>
      <c r="R16" s="16">
        <v>0</v>
      </c>
      <c r="S16">
        <f t="shared" si="3"/>
        <v>0</v>
      </c>
      <c r="U16" s="2">
        <v>4.8211000000000003E-11</v>
      </c>
      <c r="V16" s="3">
        <v>0</v>
      </c>
      <c r="W16" s="16">
        <v>0</v>
      </c>
      <c r="X16">
        <f t="shared" si="4"/>
        <v>0</v>
      </c>
      <c r="Z16" s="2">
        <v>4.8211000000000003E-11</v>
      </c>
      <c r="AA16" s="3">
        <v>0</v>
      </c>
      <c r="AB16" s="16">
        <v>0</v>
      </c>
      <c r="AC16">
        <f t="shared" si="5"/>
        <v>0</v>
      </c>
      <c r="AE16" s="2">
        <v>4.8211000000000003E-11</v>
      </c>
      <c r="AF16" s="3">
        <v>0</v>
      </c>
      <c r="AG16" s="16">
        <v>0</v>
      </c>
      <c r="AH16">
        <f t="shared" si="6"/>
        <v>0</v>
      </c>
      <c r="AJ16" s="2">
        <v>4.8211000000000003E-11</v>
      </c>
      <c r="AK16" s="3">
        <v>0</v>
      </c>
      <c r="AL16" s="16">
        <v>6.0891908051906397E-2</v>
      </c>
      <c r="AM16">
        <f t="shared" si="7"/>
        <v>0</v>
      </c>
      <c r="AO16" s="2">
        <v>4.8211000000000003E-11</v>
      </c>
      <c r="AP16" s="3">
        <v>0</v>
      </c>
      <c r="AQ16" s="16">
        <v>8.0354630186756603E-4</v>
      </c>
      <c r="AR16">
        <f t="shared" si="8"/>
        <v>0</v>
      </c>
      <c r="AT16" s="2">
        <v>4.8211000000000003E-11</v>
      </c>
      <c r="AU16" s="3">
        <v>0</v>
      </c>
      <c r="AV16" s="16">
        <v>0</v>
      </c>
      <c r="AW16">
        <f t="shared" si="9"/>
        <v>0</v>
      </c>
    </row>
    <row r="17" spans="1:49" x14ac:dyDescent="0.3">
      <c r="A17" s="2">
        <v>5.4412E-11</v>
      </c>
      <c r="B17" s="16">
        <v>0</v>
      </c>
      <c r="C17" s="16">
        <v>0.38199158371092201</v>
      </c>
      <c r="D17">
        <f t="shared" si="0"/>
        <v>0</v>
      </c>
      <c r="F17" s="2">
        <v>5.4412E-11</v>
      </c>
      <c r="G17" s="3">
        <v>0</v>
      </c>
      <c r="H17" s="16">
        <v>0</v>
      </c>
      <c r="I17">
        <f t="shared" si="1"/>
        <v>0</v>
      </c>
      <c r="K17" s="2">
        <v>5.4412E-11</v>
      </c>
      <c r="L17" s="3">
        <v>0</v>
      </c>
      <c r="M17" s="16">
        <v>0</v>
      </c>
      <c r="N17">
        <f t="shared" si="2"/>
        <v>0</v>
      </c>
      <c r="P17" s="2">
        <v>5.4412E-11</v>
      </c>
      <c r="Q17" s="3">
        <v>0</v>
      </c>
      <c r="R17" s="16">
        <v>0</v>
      </c>
      <c r="S17">
        <f t="shared" si="3"/>
        <v>0</v>
      </c>
      <c r="U17" s="2">
        <v>5.4412E-11</v>
      </c>
      <c r="V17" s="3">
        <v>0</v>
      </c>
      <c r="W17" s="16">
        <v>0</v>
      </c>
      <c r="X17">
        <f t="shared" si="4"/>
        <v>0</v>
      </c>
      <c r="Z17" s="2">
        <v>5.4412E-11</v>
      </c>
      <c r="AA17" s="3">
        <v>0</v>
      </c>
      <c r="AB17" s="16">
        <v>0</v>
      </c>
      <c r="AC17">
        <f t="shared" si="5"/>
        <v>0</v>
      </c>
      <c r="AE17" s="2">
        <v>5.4412E-11</v>
      </c>
      <c r="AF17" s="3">
        <v>0</v>
      </c>
      <c r="AG17" s="16">
        <v>0</v>
      </c>
      <c r="AH17">
        <f t="shared" si="6"/>
        <v>0</v>
      </c>
      <c r="AJ17" s="2">
        <v>5.4412E-11</v>
      </c>
      <c r="AK17" s="3">
        <v>0</v>
      </c>
      <c r="AL17" s="16">
        <v>5.6557241481031299E-2</v>
      </c>
      <c r="AM17">
        <f t="shared" si="7"/>
        <v>0</v>
      </c>
      <c r="AO17" s="2">
        <v>5.4412E-11</v>
      </c>
      <c r="AP17" s="3">
        <v>0</v>
      </c>
      <c r="AQ17" s="16">
        <v>7.4634214001589405E-4</v>
      </c>
      <c r="AR17">
        <f t="shared" si="8"/>
        <v>0</v>
      </c>
      <c r="AT17" s="2">
        <v>5.4412E-11</v>
      </c>
      <c r="AU17" s="3">
        <v>0</v>
      </c>
      <c r="AV17" s="16">
        <v>0</v>
      </c>
      <c r="AW17">
        <f t="shared" si="9"/>
        <v>0</v>
      </c>
    </row>
    <row r="18" spans="1:49" x14ac:dyDescent="0.3">
      <c r="A18" s="2">
        <v>6.1411000000000006E-11</v>
      </c>
      <c r="B18" s="16">
        <v>0</v>
      </c>
      <c r="C18" s="16">
        <v>0.363713311101732</v>
      </c>
      <c r="D18">
        <f t="shared" si="0"/>
        <v>0</v>
      </c>
      <c r="F18" s="2">
        <v>6.1411000000000006E-11</v>
      </c>
      <c r="G18" s="3">
        <v>0</v>
      </c>
      <c r="H18" s="16">
        <v>0</v>
      </c>
      <c r="I18">
        <f t="shared" si="1"/>
        <v>0</v>
      </c>
      <c r="K18" s="2">
        <v>6.1411000000000006E-11</v>
      </c>
      <c r="L18" s="3">
        <v>0</v>
      </c>
      <c r="M18" s="16">
        <v>0</v>
      </c>
      <c r="N18">
        <f t="shared" si="2"/>
        <v>0</v>
      </c>
      <c r="P18" s="2">
        <v>6.1411000000000006E-11</v>
      </c>
      <c r="Q18" s="3">
        <v>0</v>
      </c>
      <c r="R18" s="16">
        <v>0</v>
      </c>
      <c r="S18">
        <f t="shared" si="3"/>
        <v>0</v>
      </c>
      <c r="U18" s="2">
        <v>6.1411000000000006E-11</v>
      </c>
      <c r="V18" s="3">
        <v>0</v>
      </c>
      <c r="W18" s="16">
        <v>0</v>
      </c>
      <c r="X18">
        <f t="shared" si="4"/>
        <v>0</v>
      </c>
      <c r="Z18" s="2">
        <v>6.1411000000000006E-11</v>
      </c>
      <c r="AA18" s="3">
        <v>0</v>
      </c>
      <c r="AB18" s="16">
        <v>0</v>
      </c>
      <c r="AC18">
        <f t="shared" si="5"/>
        <v>0</v>
      </c>
      <c r="AE18" s="2">
        <v>6.1411000000000006E-11</v>
      </c>
      <c r="AF18" s="3">
        <v>0</v>
      </c>
      <c r="AG18" s="16">
        <v>0</v>
      </c>
      <c r="AH18">
        <f t="shared" si="6"/>
        <v>0</v>
      </c>
      <c r="AJ18" s="2">
        <v>6.1411000000000006E-11</v>
      </c>
      <c r="AK18" s="3">
        <v>0</v>
      </c>
      <c r="AL18" s="16">
        <v>5.3850923565448502E-2</v>
      </c>
      <c r="AM18">
        <f t="shared" si="7"/>
        <v>0</v>
      </c>
      <c r="AO18" s="2">
        <v>6.1411000000000006E-11</v>
      </c>
      <c r="AP18" s="3">
        <v>0</v>
      </c>
      <c r="AQ18" s="16">
        <v>7.1062939990443796E-4</v>
      </c>
      <c r="AR18">
        <f t="shared" si="8"/>
        <v>0</v>
      </c>
      <c r="AT18" s="2">
        <v>6.1411000000000006E-11</v>
      </c>
      <c r="AU18" s="3">
        <v>0</v>
      </c>
      <c r="AV18" s="16">
        <v>0</v>
      </c>
      <c r="AW18">
        <f t="shared" si="9"/>
        <v>0</v>
      </c>
    </row>
    <row r="19" spans="1:49" x14ac:dyDescent="0.3">
      <c r="A19" s="2">
        <v>6.9310000000000004E-11</v>
      </c>
      <c r="B19" s="16">
        <v>0</v>
      </c>
      <c r="C19" s="16">
        <v>0.34630926338552798</v>
      </c>
      <c r="D19">
        <f t="shared" si="0"/>
        <v>0</v>
      </c>
      <c r="F19" s="2">
        <v>6.9310000000000004E-11</v>
      </c>
      <c r="G19" s="3">
        <v>0</v>
      </c>
      <c r="H19" s="16">
        <v>0</v>
      </c>
      <c r="I19">
        <f t="shared" si="1"/>
        <v>0</v>
      </c>
      <c r="K19" s="2">
        <v>6.9310000000000004E-11</v>
      </c>
      <c r="L19" s="3">
        <v>0</v>
      </c>
      <c r="M19" s="16">
        <v>0</v>
      </c>
      <c r="N19">
        <f t="shared" si="2"/>
        <v>0</v>
      </c>
      <c r="P19" s="2">
        <v>6.9310000000000004E-11</v>
      </c>
      <c r="Q19" s="3">
        <v>0</v>
      </c>
      <c r="R19" s="16">
        <v>0</v>
      </c>
      <c r="S19">
        <f t="shared" si="3"/>
        <v>0</v>
      </c>
      <c r="U19" s="2">
        <v>6.9310000000000004E-11</v>
      </c>
      <c r="V19" s="3">
        <v>0</v>
      </c>
      <c r="W19" s="16">
        <v>0</v>
      </c>
      <c r="X19">
        <f t="shared" si="4"/>
        <v>0</v>
      </c>
      <c r="Z19" s="2">
        <v>6.9310000000000004E-11</v>
      </c>
      <c r="AA19" s="3">
        <v>0</v>
      </c>
      <c r="AB19" s="16">
        <v>0</v>
      </c>
      <c r="AC19">
        <f t="shared" si="5"/>
        <v>0</v>
      </c>
      <c r="AE19" s="2">
        <v>6.9310000000000004E-11</v>
      </c>
      <c r="AF19" s="3">
        <v>0</v>
      </c>
      <c r="AG19" s="16">
        <v>0</v>
      </c>
      <c r="AH19">
        <f t="shared" si="6"/>
        <v>0</v>
      </c>
      <c r="AJ19" s="2">
        <v>6.9310000000000004E-11</v>
      </c>
      <c r="AK19" s="3">
        <v>0</v>
      </c>
      <c r="AL19" s="16">
        <v>5.1273991366945403E-2</v>
      </c>
      <c r="AM19">
        <f t="shared" si="7"/>
        <v>0</v>
      </c>
      <c r="AO19" s="2">
        <v>6.9310000000000004E-11</v>
      </c>
      <c r="AP19" s="3">
        <v>0</v>
      </c>
      <c r="AQ19" s="16">
        <v>6.7662505597082599E-4</v>
      </c>
      <c r="AR19">
        <f t="shared" si="8"/>
        <v>0</v>
      </c>
      <c r="AT19" s="2">
        <v>6.9310000000000004E-11</v>
      </c>
      <c r="AU19" s="3">
        <v>0</v>
      </c>
      <c r="AV19" s="16">
        <v>0</v>
      </c>
      <c r="AW19">
        <f t="shared" si="9"/>
        <v>0</v>
      </c>
    </row>
    <row r="20" spans="1:49" x14ac:dyDescent="0.3">
      <c r="A20" s="2">
        <v>7.8225000000000006E-11</v>
      </c>
      <c r="B20" s="16">
        <v>0</v>
      </c>
      <c r="C20" s="16">
        <v>0.32974010938103199</v>
      </c>
      <c r="D20">
        <f t="shared" si="0"/>
        <v>0</v>
      </c>
      <c r="F20" s="2">
        <v>7.8225000000000006E-11</v>
      </c>
      <c r="G20" s="3">
        <v>0</v>
      </c>
      <c r="H20" s="16">
        <v>0</v>
      </c>
      <c r="I20">
        <f t="shared" si="1"/>
        <v>0</v>
      </c>
      <c r="K20" s="2">
        <v>7.8225000000000006E-11</v>
      </c>
      <c r="L20" s="3">
        <v>0</v>
      </c>
      <c r="M20" s="16">
        <v>0</v>
      </c>
      <c r="N20">
        <f t="shared" si="2"/>
        <v>0</v>
      </c>
      <c r="P20" s="2">
        <v>7.8225000000000006E-11</v>
      </c>
      <c r="Q20" s="3">
        <v>0</v>
      </c>
      <c r="R20" s="16">
        <v>0</v>
      </c>
      <c r="S20">
        <f t="shared" si="3"/>
        <v>0</v>
      </c>
      <c r="U20" s="2">
        <v>7.8225000000000006E-11</v>
      </c>
      <c r="V20" s="3">
        <v>0</v>
      </c>
      <c r="W20" s="16">
        <v>0</v>
      </c>
      <c r="X20">
        <f t="shared" si="4"/>
        <v>0</v>
      </c>
      <c r="Z20" s="2">
        <v>7.8225000000000006E-11</v>
      </c>
      <c r="AA20" s="3">
        <v>0</v>
      </c>
      <c r="AB20" s="16">
        <v>0</v>
      </c>
      <c r="AC20">
        <f t="shared" si="5"/>
        <v>0</v>
      </c>
      <c r="AE20" s="2">
        <v>7.8225000000000006E-11</v>
      </c>
      <c r="AF20" s="3">
        <v>0</v>
      </c>
      <c r="AG20" s="16">
        <v>0</v>
      </c>
      <c r="AH20">
        <f t="shared" si="6"/>
        <v>0</v>
      </c>
      <c r="AJ20" s="2">
        <v>7.8225000000000006E-11</v>
      </c>
      <c r="AK20" s="3">
        <v>0</v>
      </c>
      <c r="AL20" s="16">
        <v>4.8820514706822402E-2</v>
      </c>
      <c r="AM20">
        <f t="shared" si="7"/>
        <v>0</v>
      </c>
      <c r="AO20" s="2">
        <v>7.8225000000000006E-11</v>
      </c>
      <c r="AP20" s="3">
        <v>0</v>
      </c>
      <c r="AQ20" s="16">
        <v>6.4424823739007097E-4</v>
      </c>
      <c r="AR20">
        <f t="shared" si="8"/>
        <v>0</v>
      </c>
      <c r="AT20" s="2">
        <v>7.8225000000000006E-11</v>
      </c>
      <c r="AU20" s="3">
        <v>0</v>
      </c>
      <c r="AV20" s="16">
        <v>0</v>
      </c>
      <c r="AW20">
        <f t="shared" si="9"/>
        <v>0</v>
      </c>
    </row>
    <row r="21" spans="1:49" x14ac:dyDescent="0.3">
      <c r="A21" s="2">
        <v>8.8286000000000004E-11</v>
      </c>
      <c r="B21" s="16">
        <v>0</v>
      </c>
      <c r="C21" s="16">
        <v>0.30645158061111599</v>
      </c>
      <c r="D21">
        <f t="shared" si="0"/>
        <v>0</v>
      </c>
      <c r="F21" s="2">
        <v>8.8286000000000004E-11</v>
      </c>
      <c r="G21" s="3">
        <v>0</v>
      </c>
      <c r="H21" s="16">
        <v>0</v>
      </c>
      <c r="I21">
        <f t="shared" si="1"/>
        <v>0</v>
      </c>
      <c r="K21" s="2">
        <v>8.8286000000000004E-11</v>
      </c>
      <c r="L21" s="3">
        <v>0</v>
      </c>
      <c r="M21" s="16">
        <v>0</v>
      </c>
      <c r="N21">
        <f t="shared" si="2"/>
        <v>0</v>
      </c>
      <c r="P21" s="2">
        <v>8.8286000000000004E-11</v>
      </c>
      <c r="Q21" s="3">
        <v>0</v>
      </c>
      <c r="R21" s="16">
        <v>0</v>
      </c>
      <c r="S21">
        <f t="shared" si="3"/>
        <v>0</v>
      </c>
      <c r="U21" s="2">
        <v>8.8286000000000004E-11</v>
      </c>
      <c r="V21" s="3">
        <v>0</v>
      </c>
      <c r="W21" s="16">
        <v>0</v>
      </c>
      <c r="X21">
        <f t="shared" si="4"/>
        <v>0</v>
      </c>
      <c r="Z21" s="2">
        <v>8.8286000000000004E-11</v>
      </c>
      <c r="AA21" s="3">
        <v>0</v>
      </c>
      <c r="AB21" s="16">
        <v>0</v>
      </c>
      <c r="AC21">
        <f t="shared" si="5"/>
        <v>0</v>
      </c>
      <c r="AE21" s="2">
        <v>8.8286000000000004E-11</v>
      </c>
      <c r="AF21" s="3">
        <v>0</v>
      </c>
      <c r="AG21" s="16">
        <v>0</v>
      </c>
      <c r="AH21">
        <f t="shared" si="6"/>
        <v>0</v>
      </c>
      <c r="AJ21" s="2">
        <v>8.8286000000000004E-11</v>
      </c>
      <c r="AK21" s="3">
        <v>0</v>
      </c>
      <c r="AL21" s="16">
        <v>4.5372238317425602E-2</v>
      </c>
      <c r="AM21">
        <f t="shared" si="7"/>
        <v>0</v>
      </c>
      <c r="AO21" s="2">
        <v>8.8286000000000004E-11</v>
      </c>
      <c r="AP21" s="3">
        <v>0</v>
      </c>
      <c r="AQ21" s="16">
        <v>5.9874369454869102E-4</v>
      </c>
      <c r="AR21">
        <f t="shared" si="8"/>
        <v>0</v>
      </c>
      <c r="AT21" s="2">
        <v>8.8286000000000004E-11</v>
      </c>
      <c r="AU21" s="3">
        <v>0</v>
      </c>
      <c r="AV21" s="16">
        <v>0</v>
      </c>
      <c r="AW21">
        <f t="shared" si="9"/>
        <v>0</v>
      </c>
    </row>
    <row r="22" spans="1:49" x14ac:dyDescent="0.3">
      <c r="A22" s="2">
        <v>9.9641999999999996E-11</v>
      </c>
      <c r="B22" s="16">
        <v>0</v>
      </c>
      <c r="C22" s="16">
        <v>0.284636183358216</v>
      </c>
      <c r="D22">
        <f t="shared" si="0"/>
        <v>0</v>
      </c>
      <c r="F22" s="2">
        <v>9.9641999999999996E-11</v>
      </c>
      <c r="G22" s="3">
        <v>0</v>
      </c>
      <c r="H22" s="16">
        <v>0</v>
      </c>
      <c r="I22">
        <f t="shared" si="1"/>
        <v>0</v>
      </c>
      <c r="K22" s="2">
        <v>9.9641999999999996E-11</v>
      </c>
      <c r="L22" s="3">
        <v>0</v>
      </c>
      <c r="M22" s="16">
        <v>0</v>
      </c>
      <c r="N22">
        <f t="shared" si="2"/>
        <v>0</v>
      </c>
      <c r="P22" s="2">
        <v>9.9641999999999996E-11</v>
      </c>
      <c r="Q22" s="3">
        <v>0</v>
      </c>
      <c r="R22" s="16">
        <v>0</v>
      </c>
      <c r="S22">
        <f t="shared" si="3"/>
        <v>0</v>
      </c>
      <c r="U22" s="2">
        <v>9.9641999999999996E-11</v>
      </c>
      <c r="V22" s="3">
        <v>0</v>
      </c>
      <c r="W22" s="16">
        <v>0</v>
      </c>
      <c r="X22">
        <f t="shared" si="4"/>
        <v>0</v>
      </c>
      <c r="Z22" s="2">
        <v>9.9641999999999996E-11</v>
      </c>
      <c r="AA22" s="3">
        <v>0</v>
      </c>
      <c r="AB22" s="16">
        <v>0</v>
      </c>
      <c r="AC22">
        <f t="shared" si="5"/>
        <v>0</v>
      </c>
      <c r="AE22" s="2">
        <v>9.9641999999999996E-11</v>
      </c>
      <c r="AF22" s="3">
        <v>0</v>
      </c>
      <c r="AG22" s="16">
        <v>0</v>
      </c>
      <c r="AH22">
        <f t="shared" si="6"/>
        <v>0</v>
      </c>
      <c r="AJ22" s="2">
        <v>9.9641999999999996E-11</v>
      </c>
      <c r="AK22" s="3">
        <v>0</v>
      </c>
      <c r="AL22" s="16">
        <v>4.21422023061181E-2</v>
      </c>
      <c r="AM22">
        <f t="shared" si="7"/>
        <v>0</v>
      </c>
      <c r="AO22" s="2">
        <v>9.9641999999999996E-11</v>
      </c>
      <c r="AP22" s="3">
        <v>0</v>
      </c>
      <c r="AQ22" s="16">
        <v>5.5611925586081397E-4</v>
      </c>
      <c r="AR22">
        <f t="shared" si="8"/>
        <v>0</v>
      </c>
      <c r="AT22" s="2">
        <v>9.9641999999999996E-11</v>
      </c>
      <c r="AU22" s="3">
        <v>0</v>
      </c>
      <c r="AV22" s="16">
        <v>0</v>
      </c>
      <c r="AW22">
        <f t="shared" si="9"/>
        <v>0</v>
      </c>
    </row>
    <row r="23" spans="1:49" x14ac:dyDescent="0.3">
      <c r="A23" s="2">
        <v>1.1246000000000001E-10</v>
      </c>
      <c r="B23" s="16">
        <v>0</v>
      </c>
      <c r="C23" s="16">
        <v>0.27101686794968599</v>
      </c>
      <c r="D23">
        <f t="shared" si="0"/>
        <v>0</v>
      </c>
      <c r="F23" s="2">
        <v>1.1246000000000001E-10</v>
      </c>
      <c r="G23" s="3">
        <v>0</v>
      </c>
      <c r="H23" s="16">
        <v>0</v>
      </c>
      <c r="I23">
        <f t="shared" si="1"/>
        <v>0</v>
      </c>
      <c r="K23" s="2">
        <v>1.1246000000000001E-10</v>
      </c>
      <c r="L23" s="3">
        <v>0</v>
      </c>
      <c r="M23" s="16">
        <v>0</v>
      </c>
      <c r="N23">
        <f t="shared" si="2"/>
        <v>0</v>
      </c>
      <c r="P23" s="2">
        <v>1.1246000000000001E-10</v>
      </c>
      <c r="Q23" s="3">
        <v>0</v>
      </c>
      <c r="R23" s="16">
        <v>0</v>
      </c>
      <c r="S23">
        <f t="shared" si="3"/>
        <v>0</v>
      </c>
      <c r="U23" s="2">
        <v>1.1246000000000001E-10</v>
      </c>
      <c r="V23" s="3">
        <v>0</v>
      </c>
      <c r="W23" s="16">
        <v>0</v>
      </c>
      <c r="X23">
        <f t="shared" si="4"/>
        <v>0</v>
      </c>
      <c r="Z23" s="2">
        <v>1.1246000000000001E-10</v>
      </c>
      <c r="AA23" s="3">
        <v>0</v>
      </c>
      <c r="AB23" s="16">
        <v>0</v>
      </c>
      <c r="AC23">
        <f t="shared" si="5"/>
        <v>0</v>
      </c>
      <c r="AE23" s="2">
        <v>1.1246000000000001E-10</v>
      </c>
      <c r="AF23" s="3">
        <v>0</v>
      </c>
      <c r="AG23" s="16">
        <v>0</v>
      </c>
      <c r="AH23">
        <f t="shared" si="6"/>
        <v>0</v>
      </c>
      <c r="AJ23" s="2">
        <v>1.1246000000000001E-10</v>
      </c>
      <c r="AK23" s="3">
        <v>0</v>
      </c>
      <c r="AL23" s="16">
        <v>4.0125647489845602E-2</v>
      </c>
      <c r="AM23">
        <f t="shared" si="7"/>
        <v>0</v>
      </c>
      <c r="AO23" s="2">
        <v>1.1246000000000001E-10</v>
      </c>
      <c r="AP23" s="3">
        <v>0</v>
      </c>
      <c r="AQ23" s="16">
        <v>5.2950907849360002E-4</v>
      </c>
      <c r="AR23">
        <f t="shared" si="8"/>
        <v>0</v>
      </c>
      <c r="AT23" s="2">
        <v>1.1246000000000001E-10</v>
      </c>
      <c r="AU23" s="3">
        <v>0</v>
      </c>
      <c r="AV23" s="16">
        <v>0</v>
      </c>
      <c r="AW23">
        <f t="shared" si="9"/>
        <v>0</v>
      </c>
    </row>
    <row r="24" spans="1:49" x14ac:dyDescent="0.3">
      <c r="A24" s="2">
        <v>1.2692000000000001E-10</v>
      </c>
      <c r="B24" s="16">
        <v>0</v>
      </c>
      <c r="C24" s="16">
        <v>0.25805009259420297</v>
      </c>
      <c r="D24">
        <f t="shared" si="0"/>
        <v>0</v>
      </c>
      <c r="F24" s="2">
        <v>1.2692000000000001E-10</v>
      </c>
      <c r="G24" s="3">
        <v>0</v>
      </c>
      <c r="H24" s="16">
        <v>0</v>
      </c>
      <c r="I24">
        <f t="shared" si="1"/>
        <v>0</v>
      </c>
      <c r="K24" s="2">
        <v>1.2692000000000001E-10</v>
      </c>
      <c r="L24" s="3">
        <v>0</v>
      </c>
      <c r="M24" s="16">
        <v>0</v>
      </c>
      <c r="N24">
        <f t="shared" si="2"/>
        <v>0</v>
      </c>
      <c r="P24" s="2">
        <v>1.2692000000000001E-10</v>
      </c>
      <c r="Q24" s="3">
        <v>0</v>
      </c>
      <c r="R24" s="16">
        <v>0</v>
      </c>
      <c r="S24">
        <f t="shared" si="3"/>
        <v>0</v>
      </c>
      <c r="U24" s="2">
        <v>1.2692000000000001E-10</v>
      </c>
      <c r="V24" s="3">
        <v>0</v>
      </c>
      <c r="W24" s="16">
        <v>0</v>
      </c>
      <c r="X24">
        <f t="shared" si="4"/>
        <v>0</v>
      </c>
      <c r="Z24" s="2">
        <v>1.2692000000000001E-10</v>
      </c>
      <c r="AA24" s="3">
        <v>0</v>
      </c>
      <c r="AB24" s="16">
        <v>0</v>
      </c>
      <c r="AC24">
        <f t="shared" si="5"/>
        <v>0</v>
      </c>
      <c r="AE24" s="2">
        <v>1.2692000000000001E-10</v>
      </c>
      <c r="AF24" s="3">
        <v>0</v>
      </c>
      <c r="AG24" s="16">
        <v>0</v>
      </c>
      <c r="AH24">
        <f t="shared" si="6"/>
        <v>0</v>
      </c>
      <c r="AJ24" s="2">
        <v>1.2692000000000001E-10</v>
      </c>
      <c r="AK24" s="3">
        <v>0</v>
      </c>
      <c r="AL24" s="16">
        <v>3.8205592854228303E-2</v>
      </c>
      <c r="AM24">
        <f t="shared" si="7"/>
        <v>0</v>
      </c>
      <c r="AO24" s="2">
        <v>1.2692000000000001E-10</v>
      </c>
      <c r="AP24" s="3">
        <v>0</v>
      </c>
      <c r="AQ24" s="16">
        <v>5.0417169763327795E-4</v>
      </c>
      <c r="AR24">
        <f t="shared" si="8"/>
        <v>0</v>
      </c>
      <c r="AT24" s="2">
        <v>1.2692000000000001E-10</v>
      </c>
      <c r="AU24" s="3">
        <v>0</v>
      </c>
      <c r="AV24" s="16">
        <v>0</v>
      </c>
      <c r="AW24">
        <f t="shared" si="9"/>
        <v>0</v>
      </c>
    </row>
    <row r="25" spans="1:49" x14ac:dyDescent="0.3">
      <c r="A25" s="2">
        <v>1.4325E-10</v>
      </c>
      <c r="B25" s="16">
        <v>0</v>
      </c>
      <c r="C25" s="16">
        <v>0.23982545341403</v>
      </c>
      <c r="D25">
        <f t="shared" si="0"/>
        <v>0</v>
      </c>
      <c r="F25" s="2">
        <v>1.4325E-10</v>
      </c>
      <c r="G25" s="3">
        <v>0</v>
      </c>
      <c r="H25" s="16">
        <v>0</v>
      </c>
      <c r="I25">
        <f t="shared" si="1"/>
        <v>0</v>
      </c>
      <c r="K25" s="2">
        <v>1.4325E-10</v>
      </c>
      <c r="L25" s="3">
        <v>0</v>
      </c>
      <c r="M25" s="16">
        <v>0</v>
      </c>
      <c r="N25">
        <f t="shared" si="2"/>
        <v>0</v>
      </c>
      <c r="P25" s="2">
        <v>1.4325E-10</v>
      </c>
      <c r="Q25" s="3">
        <v>0</v>
      </c>
      <c r="R25" s="16">
        <v>0</v>
      </c>
      <c r="S25">
        <f t="shared" si="3"/>
        <v>0</v>
      </c>
      <c r="U25" s="2">
        <v>1.4325E-10</v>
      </c>
      <c r="V25" s="3">
        <v>0</v>
      </c>
      <c r="W25" s="16">
        <v>0</v>
      </c>
      <c r="X25">
        <f t="shared" si="4"/>
        <v>0</v>
      </c>
      <c r="Z25" s="2">
        <v>1.4325E-10</v>
      </c>
      <c r="AA25" s="3">
        <v>0</v>
      </c>
      <c r="AB25" s="16">
        <v>0</v>
      </c>
      <c r="AC25">
        <f t="shared" si="5"/>
        <v>0</v>
      </c>
      <c r="AE25" s="2">
        <v>1.4325E-10</v>
      </c>
      <c r="AF25" s="3">
        <v>0</v>
      </c>
      <c r="AG25" s="16">
        <v>0</v>
      </c>
      <c r="AH25">
        <f t="shared" si="6"/>
        <v>0</v>
      </c>
      <c r="AJ25" s="2">
        <v>1.4325E-10</v>
      </c>
      <c r="AK25" s="3">
        <v>0</v>
      </c>
      <c r="AL25" s="16">
        <v>3.5507042982644399E-2</v>
      </c>
      <c r="AM25">
        <f t="shared" si="7"/>
        <v>0</v>
      </c>
      <c r="AO25" s="2">
        <v>1.4325E-10</v>
      </c>
      <c r="AP25" s="3">
        <v>0</v>
      </c>
      <c r="AQ25" s="16">
        <v>4.6856096503970302E-4</v>
      </c>
      <c r="AR25">
        <f t="shared" si="8"/>
        <v>0</v>
      </c>
      <c r="AT25" s="2">
        <v>1.4325E-10</v>
      </c>
      <c r="AU25" s="3">
        <v>0</v>
      </c>
      <c r="AV25" s="16">
        <v>0</v>
      </c>
      <c r="AW25">
        <f t="shared" si="9"/>
        <v>0</v>
      </c>
    </row>
    <row r="26" spans="1:49" x14ac:dyDescent="0.3">
      <c r="A26" s="2">
        <v>1.6167E-10</v>
      </c>
      <c r="B26" s="16">
        <v>0</v>
      </c>
      <c r="C26" s="16">
        <v>0.22275393295773599</v>
      </c>
      <c r="D26">
        <f t="shared" si="0"/>
        <v>0</v>
      </c>
      <c r="F26" s="2">
        <v>1.6167E-10</v>
      </c>
      <c r="G26" s="3">
        <v>0</v>
      </c>
      <c r="H26" s="16">
        <v>0</v>
      </c>
      <c r="I26">
        <f t="shared" si="1"/>
        <v>0</v>
      </c>
      <c r="K26" s="2">
        <v>1.6167E-10</v>
      </c>
      <c r="L26" s="3">
        <v>0</v>
      </c>
      <c r="M26" s="16">
        <v>0</v>
      </c>
      <c r="N26">
        <f t="shared" si="2"/>
        <v>0</v>
      </c>
      <c r="P26" s="2">
        <v>1.6167E-10</v>
      </c>
      <c r="Q26" s="3">
        <v>0</v>
      </c>
      <c r="R26" s="16">
        <v>0</v>
      </c>
      <c r="S26">
        <f t="shared" si="3"/>
        <v>0</v>
      </c>
      <c r="U26" s="2">
        <v>1.6167E-10</v>
      </c>
      <c r="V26" s="3">
        <v>0</v>
      </c>
      <c r="W26" s="16">
        <v>0</v>
      </c>
      <c r="X26">
        <f t="shared" si="4"/>
        <v>0</v>
      </c>
      <c r="Z26" s="2">
        <v>1.6167E-10</v>
      </c>
      <c r="AA26" s="3">
        <v>0</v>
      </c>
      <c r="AB26" s="16">
        <v>0</v>
      </c>
      <c r="AC26">
        <f t="shared" si="5"/>
        <v>0</v>
      </c>
      <c r="AE26" s="2">
        <v>1.6167E-10</v>
      </c>
      <c r="AF26" s="3">
        <v>0</v>
      </c>
      <c r="AG26" s="16">
        <v>0</v>
      </c>
      <c r="AH26">
        <f t="shared" si="6"/>
        <v>0</v>
      </c>
      <c r="AJ26" s="2">
        <v>1.6167E-10</v>
      </c>
      <c r="AK26" s="3">
        <v>0</v>
      </c>
      <c r="AL26" s="16">
        <v>3.2979292059553897E-2</v>
      </c>
      <c r="AM26">
        <f t="shared" si="7"/>
        <v>0</v>
      </c>
      <c r="AO26" s="2">
        <v>1.6167E-10</v>
      </c>
      <c r="AP26" s="3">
        <v>0</v>
      </c>
      <c r="AQ26" s="16">
        <v>4.3520450669263101E-4</v>
      </c>
      <c r="AR26">
        <f t="shared" si="8"/>
        <v>0</v>
      </c>
      <c r="AT26" s="2">
        <v>1.6167E-10</v>
      </c>
      <c r="AU26" s="3">
        <v>0</v>
      </c>
      <c r="AV26" s="16">
        <v>0</v>
      </c>
      <c r="AW26">
        <f t="shared" si="9"/>
        <v>0</v>
      </c>
    </row>
    <row r="27" spans="1:49" x14ac:dyDescent="0.3">
      <c r="A27" s="2">
        <v>1.8246999999999999E-10</v>
      </c>
      <c r="B27" s="16">
        <v>0</v>
      </c>
      <c r="C27" s="16">
        <v>0.212095182830976</v>
      </c>
      <c r="D27">
        <f t="shared" si="0"/>
        <v>0</v>
      </c>
      <c r="F27" s="2">
        <v>1.8246999999999999E-10</v>
      </c>
      <c r="G27" s="3">
        <v>0</v>
      </c>
      <c r="H27" s="16">
        <v>0</v>
      </c>
      <c r="I27">
        <f t="shared" si="1"/>
        <v>0</v>
      </c>
      <c r="K27" s="2">
        <v>1.8246999999999999E-10</v>
      </c>
      <c r="L27" s="3">
        <v>0</v>
      </c>
      <c r="M27" s="16">
        <v>0</v>
      </c>
      <c r="N27">
        <f t="shared" si="2"/>
        <v>0</v>
      </c>
      <c r="P27" s="2">
        <v>1.8246999999999999E-10</v>
      </c>
      <c r="Q27" s="3">
        <v>0</v>
      </c>
      <c r="R27" s="16">
        <v>0</v>
      </c>
      <c r="S27">
        <f t="shared" si="3"/>
        <v>0</v>
      </c>
      <c r="U27" s="2">
        <v>1.8246999999999999E-10</v>
      </c>
      <c r="V27" s="3">
        <v>0</v>
      </c>
      <c r="W27" s="16">
        <v>0</v>
      </c>
      <c r="X27">
        <f t="shared" si="4"/>
        <v>0</v>
      </c>
      <c r="Z27" s="2">
        <v>1.8246999999999999E-10</v>
      </c>
      <c r="AA27" s="3">
        <v>0</v>
      </c>
      <c r="AB27" s="16">
        <v>0</v>
      </c>
      <c r="AC27">
        <f t="shared" si="5"/>
        <v>0</v>
      </c>
      <c r="AE27" s="2">
        <v>1.8246999999999999E-10</v>
      </c>
      <c r="AF27" s="3">
        <v>0</v>
      </c>
      <c r="AG27" s="16">
        <v>0</v>
      </c>
      <c r="AH27">
        <f t="shared" si="6"/>
        <v>0</v>
      </c>
      <c r="AJ27" s="2">
        <v>1.8246999999999999E-10</v>
      </c>
      <c r="AK27" s="3">
        <v>0</v>
      </c>
      <c r="AL27" s="16">
        <v>3.1401178389112702E-2</v>
      </c>
      <c r="AM27">
        <f t="shared" si="7"/>
        <v>0</v>
      </c>
      <c r="AO27" s="2">
        <v>1.8246999999999999E-10</v>
      </c>
      <c r="AP27" s="3">
        <v>0</v>
      </c>
      <c r="AQ27" s="16">
        <v>4.1437935027190901E-4</v>
      </c>
      <c r="AR27">
        <f t="shared" si="8"/>
        <v>0</v>
      </c>
      <c r="AT27" s="2">
        <v>1.8246999999999999E-10</v>
      </c>
      <c r="AU27" s="3">
        <v>0</v>
      </c>
      <c r="AV27" s="16">
        <v>0</v>
      </c>
      <c r="AW27">
        <f t="shared" si="9"/>
        <v>0</v>
      </c>
    </row>
    <row r="28" spans="1:49" x14ac:dyDescent="0.3">
      <c r="A28" s="2">
        <v>2.0593999999999999E-10</v>
      </c>
      <c r="B28" s="16">
        <v>0</v>
      </c>
      <c r="C28" s="16">
        <v>0.20194773806085001</v>
      </c>
      <c r="D28">
        <f t="shared" si="0"/>
        <v>0</v>
      </c>
      <c r="F28" s="2">
        <v>2.0593999999999999E-10</v>
      </c>
      <c r="G28" s="3">
        <v>0</v>
      </c>
      <c r="H28" s="16">
        <v>0</v>
      </c>
      <c r="I28">
        <f t="shared" si="1"/>
        <v>0</v>
      </c>
      <c r="K28" s="2">
        <v>2.0593999999999999E-10</v>
      </c>
      <c r="L28" s="3">
        <v>0</v>
      </c>
      <c r="M28" s="16">
        <v>0</v>
      </c>
      <c r="N28">
        <f t="shared" si="2"/>
        <v>0</v>
      </c>
      <c r="P28" s="2">
        <v>2.0593999999999999E-10</v>
      </c>
      <c r="Q28" s="3">
        <v>0</v>
      </c>
      <c r="R28" s="16">
        <v>0</v>
      </c>
      <c r="S28">
        <f t="shared" si="3"/>
        <v>0</v>
      </c>
      <c r="U28" s="2">
        <v>2.0593999999999999E-10</v>
      </c>
      <c r="V28" s="3">
        <v>0</v>
      </c>
      <c r="W28" s="16">
        <v>0</v>
      </c>
      <c r="X28">
        <f t="shared" si="4"/>
        <v>0</v>
      </c>
      <c r="Z28" s="2">
        <v>2.0593999999999999E-10</v>
      </c>
      <c r="AA28" s="3">
        <v>0</v>
      </c>
      <c r="AB28" s="16">
        <v>0</v>
      </c>
      <c r="AC28">
        <f t="shared" si="5"/>
        <v>0</v>
      </c>
      <c r="AE28" s="2">
        <v>2.0593999999999999E-10</v>
      </c>
      <c r="AF28" s="3">
        <v>0</v>
      </c>
      <c r="AG28" s="16">
        <v>0</v>
      </c>
      <c r="AH28">
        <f t="shared" si="6"/>
        <v>0</v>
      </c>
      <c r="AJ28" s="2">
        <v>2.0593999999999999E-10</v>
      </c>
      <c r="AK28" s="3">
        <v>0</v>
      </c>
      <c r="AL28" s="16">
        <v>2.9898637739783799E-2</v>
      </c>
      <c r="AM28">
        <f t="shared" si="7"/>
        <v>0</v>
      </c>
      <c r="AO28" s="2">
        <v>2.0593999999999999E-10</v>
      </c>
      <c r="AP28" s="3">
        <v>0</v>
      </c>
      <c r="AQ28" s="16">
        <v>3.9455129436380599E-4</v>
      </c>
      <c r="AR28">
        <f t="shared" si="8"/>
        <v>0</v>
      </c>
      <c r="AT28" s="2">
        <v>2.0593999999999999E-10</v>
      </c>
      <c r="AU28" s="3">
        <v>0</v>
      </c>
      <c r="AV28" s="16">
        <v>0</v>
      </c>
      <c r="AW28">
        <f t="shared" si="9"/>
        <v>0</v>
      </c>
    </row>
    <row r="29" spans="1:49" x14ac:dyDescent="0.3">
      <c r="A29" s="2">
        <v>2.3242999999999999E-10</v>
      </c>
      <c r="B29" s="16">
        <v>0</v>
      </c>
      <c r="C29" s="16">
        <v>0.18768660928507599</v>
      </c>
      <c r="D29">
        <f t="shared" si="0"/>
        <v>0</v>
      </c>
      <c r="F29" s="2">
        <v>2.3242999999999999E-10</v>
      </c>
      <c r="G29" s="3">
        <v>0</v>
      </c>
      <c r="H29" s="16">
        <v>0</v>
      </c>
      <c r="I29">
        <f t="shared" si="1"/>
        <v>0</v>
      </c>
      <c r="K29" s="2">
        <v>2.3242999999999999E-10</v>
      </c>
      <c r="L29" s="3">
        <v>0</v>
      </c>
      <c r="M29" s="16">
        <v>0</v>
      </c>
      <c r="N29">
        <f t="shared" si="2"/>
        <v>0</v>
      </c>
      <c r="P29" s="2">
        <v>2.3242999999999999E-10</v>
      </c>
      <c r="Q29" s="3">
        <v>0</v>
      </c>
      <c r="R29" s="16">
        <v>0</v>
      </c>
      <c r="S29">
        <f t="shared" si="3"/>
        <v>0</v>
      </c>
      <c r="U29" s="2">
        <v>2.3242999999999999E-10</v>
      </c>
      <c r="V29" s="3">
        <v>0</v>
      </c>
      <c r="W29" s="16">
        <v>0</v>
      </c>
      <c r="X29">
        <f t="shared" si="4"/>
        <v>0</v>
      </c>
      <c r="Z29" s="2">
        <v>2.3242999999999999E-10</v>
      </c>
      <c r="AA29" s="3">
        <v>0</v>
      </c>
      <c r="AB29" s="16">
        <v>0</v>
      </c>
      <c r="AC29">
        <f t="shared" si="5"/>
        <v>0</v>
      </c>
      <c r="AE29" s="2">
        <v>2.3242999999999999E-10</v>
      </c>
      <c r="AF29" s="3">
        <v>0</v>
      </c>
      <c r="AG29" s="16">
        <v>0</v>
      </c>
      <c r="AH29">
        <f t="shared" si="6"/>
        <v>0</v>
      </c>
      <c r="AJ29" s="2">
        <v>2.3242999999999999E-10</v>
      </c>
      <c r="AK29" s="3">
        <v>0</v>
      </c>
      <c r="AL29" s="16">
        <v>2.77868324912597E-2</v>
      </c>
      <c r="AM29">
        <f t="shared" si="7"/>
        <v>0</v>
      </c>
      <c r="AO29" s="2">
        <v>2.3242999999999999E-10</v>
      </c>
      <c r="AP29" s="3">
        <v>0</v>
      </c>
      <c r="AQ29" s="16">
        <v>3.6668348376938298E-4</v>
      </c>
      <c r="AR29">
        <f t="shared" si="8"/>
        <v>0</v>
      </c>
      <c r="AT29" s="2">
        <v>2.3242999999999999E-10</v>
      </c>
      <c r="AU29" s="3">
        <v>0</v>
      </c>
      <c r="AV29" s="16">
        <v>0</v>
      </c>
      <c r="AW29">
        <f t="shared" si="9"/>
        <v>0</v>
      </c>
    </row>
    <row r="30" spans="1:49" x14ac:dyDescent="0.3">
      <c r="A30" s="2">
        <v>2.6233000000000001E-10</v>
      </c>
      <c r="B30" s="16">
        <v>0</v>
      </c>
      <c r="C30" s="16">
        <v>0.174327237229185</v>
      </c>
      <c r="D30">
        <f t="shared" si="0"/>
        <v>0</v>
      </c>
      <c r="F30" s="2">
        <v>2.6233000000000001E-10</v>
      </c>
      <c r="G30" s="3">
        <v>0</v>
      </c>
      <c r="H30" s="16">
        <v>0</v>
      </c>
      <c r="I30">
        <f t="shared" si="1"/>
        <v>0</v>
      </c>
      <c r="K30" s="2">
        <v>2.6233000000000001E-10</v>
      </c>
      <c r="L30" s="3">
        <v>0</v>
      </c>
      <c r="M30" s="16">
        <v>0</v>
      </c>
      <c r="N30">
        <f t="shared" si="2"/>
        <v>0</v>
      </c>
      <c r="P30" s="2">
        <v>2.6233000000000001E-10</v>
      </c>
      <c r="Q30" s="3">
        <v>0</v>
      </c>
      <c r="R30" s="16">
        <v>0</v>
      </c>
      <c r="S30">
        <f t="shared" si="3"/>
        <v>0</v>
      </c>
      <c r="U30" s="2">
        <v>2.6233000000000001E-10</v>
      </c>
      <c r="V30" s="3">
        <v>0</v>
      </c>
      <c r="W30" s="16">
        <v>0</v>
      </c>
      <c r="X30">
        <f t="shared" si="4"/>
        <v>0</v>
      </c>
      <c r="Z30" s="2">
        <v>2.6233000000000001E-10</v>
      </c>
      <c r="AA30" s="3">
        <v>0</v>
      </c>
      <c r="AB30" s="16">
        <v>0</v>
      </c>
      <c r="AC30">
        <f t="shared" si="5"/>
        <v>0</v>
      </c>
      <c r="AE30" s="2">
        <v>2.6233000000000001E-10</v>
      </c>
      <c r="AF30" s="3">
        <v>0</v>
      </c>
      <c r="AG30" s="16">
        <v>0</v>
      </c>
      <c r="AH30">
        <f t="shared" si="6"/>
        <v>0</v>
      </c>
      <c r="AJ30" s="2">
        <v>2.6233000000000001E-10</v>
      </c>
      <c r="AK30" s="3">
        <v>0</v>
      </c>
      <c r="AL30" s="16">
        <v>2.5808676807309801E-2</v>
      </c>
      <c r="AM30">
        <f t="shared" si="7"/>
        <v>0</v>
      </c>
      <c r="AO30" s="2">
        <v>2.6233000000000001E-10</v>
      </c>
      <c r="AP30" s="3">
        <v>0</v>
      </c>
      <c r="AQ30" s="16">
        <v>3.4057920855165899E-4</v>
      </c>
      <c r="AR30">
        <f t="shared" si="8"/>
        <v>0</v>
      </c>
      <c r="AT30" s="2">
        <v>2.6233000000000001E-10</v>
      </c>
      <c r="AU30" s="3">
        <v>0</v>
      </c>
      <c r="AV30" s="16">
        <v>0</v>
      </c>
      <c r="AW30">
        <f t="shared" si="9"/>
        <v>0</v>
      </c>
    </row>
    <row r="31" spans="1:49" x14ac:dyDescent="0.3">
      <c r="A31" s="2">
        <v>2.9606999999999999E-10</v>
      </c>
      <c r="B31" s="16">
        <v>0</v>
      </c>
      <c r="C31" s="16">
        <v>0.16598706023885501</v>
      </c>
      <c r="D31">
        <f t="shared" si="0"/>
        <v>0</v>
      </c>
      <c r="F31" s="2">
        <v>2.9606999999999999E-10</v>
      </c>
      <c r="G31" s="3">
        <v>0</v>
      </c>
      <c r="H31" s="16">
        <v>0</v>
      </c>
      <c r="I31">
        <f t="shared" si="1"/>
        <v>0</v>
      </c>
      <c r="K31" s="2">
        <v>2.9606999999999999E-10</v>
      </c>
      <c r="L31" s="3">
        <v>0</v>
      </c>
      <c r="M31" s="16">
        <v>0</v>
      </c>
      <c r="N31">
        <f t="shared" si="2"/>
        <v>0</v>
      </c>
      <c r="P31" s="2">
        <v>2.9606999999999999E-10</v>
      </c>
      <c r="Q31" s="3">
        <v>0</v>
      </c>
      <c r="R31" s="16">
        <v>0</v>
      </c>
      <c r="S31">
        <f t="shared" si="3"/>
        <v>0</v>
      </c>
      <c r="U31" s="2">
        <v>2.9606999999999999E-10</v>
      </c>
      <c r="V31" s="3">
        <v>0</v>
      </c>
      <c r="W31" s="16">
        <v>0</v>
      </c>
      <c r="X31">
        <f t="shared" si="4"/>
        <v>0</v>
      </c>
      <c r="Z31" s="2">
        <v>2.9606999999999999E-10</v>
      </c>
      <c r="AA31" s="3">
        <v>0</v>
      </c>
      <c r="AB31" s="16">
        <v>0</v>
      </c>
      <c r="AC31">
        <f t="shared" si="5"/>
        <v>0</v>
      </c>
      <c r="AE31" s="2">
        <v>2.9606999999999999E-10</v>
      </c>
      <c r="AF31" s="3">
        <v>0</v>
      </c>
      <c r="AG31" s="16">
        <v>0</v>
      </c>
      <c r="AH31">
        <f t="shared" si="6"/>
        <v>0</v>
      </c>
      <c r="AJ31" s="2">
        <v>2.9606999999999999E-10</v>
      </c>
      <c r="AK31" s="3">
        <v>0</v>
      </c>
      <c r="AL31" s="16">
        <v>2.45736803358362E-2</v>
      </c>
      <c r="AM31">
        <f t="shared" si="7"/>
        <v>0</v>
      </c>
      <c r="AO31" s="2">
        <v>2.9606999999999999E-10</v>
      </c>
      <c r="AP31" s="3">
        <v>0</v>
      </c>
      <c r="AQ31" s="16">
        <v>3.2428281833019198E-4</v>
      </c>
      <c r="AR31">
        <f t="shared" si="8"/>
        <v>0</v>
      </c>
      <c r="AT31" s="2">
        <v>2.9606999999999999E-10</v>
      </c>
      <c r="AU31" s="3">
        <v>0</v>
      </c>
      <c r="AV31" s="16">
        <v>0</v>
      </c>
      <c r="AW31">
        <f t="shared" si="9"/>
        <v>0</v>
      </c>
    </row>
    <row r="32" spans="1:49" x14ac:dyDescent="0.3">
      <c r="A32" s="2">
        <v>3.3414999999999998E-10</v>
      </c>
      <c r="B32" s="16">
        <v>0</v>
      </c>
      <c r="C32" s="16">
        <v>0.158046094738512</v>
      </c>
      <c r="D32">
        <f t="shared" si="0"/>
        <v>0</v>
      </c>
      <c r="F32" s="2">
        <v>3.3414999999999998E-10</v>
      </c>
      <c r="G32" s="3">
        <v>0</v>
      </c>
      <c r="H32" s="16">
        <v>0</v>
      </c>
      <c r="I32">
        <f t="shared" si="1"/>
        <v>0</v>
      </c>
      <c r="K32" s="2">
        <v>3.3414999999999998E-10</v>
      </c>
      <c r="L32" s="3">
        <v>0</v>
      </c>
      <c r="M32" s="16">
        <v>0</v>
      </c>
      <c r="N32">
        <f t="shared" si="2"/>
        <v>0</v>
      </c>
      <c r="P32" s="2">
        <v>3.3414999999999998E-10</v>
      </c>
      <c r="Q32" s="3">
        <v>0</v>
      </c>
      <c r="R32" s="16">
        <v>0</v>
      </c>
      <c r="S32">
        <f t="shared" si="3"/>
        <v>0</v>
      </c>
      <c r="U32" s="2">
        <v>3.3414999999999998E-10</v>
      </c>
      <c r="V32" s="3">
        <v>0</v>
      </c>
      <c r="W32" s="16">
        <v>0</v>
      </c>
      <c r="X32">
        <f t="shared" si="4"/>
        <v>0</v>
      </c>
      <c r="Z32" s="2">
        <v>3.3414999999999998E-10</v>
      </c>
      <c r="AA32" s="3">
        <v>0</v>
      </c>
      <c r="AB32" s="16">
        <v>0</v>
      </c>
      <c r="AC32">
        <f t="shared" si="5"/>
        <v>0</v>
      </c>
      <c r="AE32" s="2">
        <v>3.3414999999999998E-10</v>
      </c>
      <c r="AF32" s="3">
        <v>0</v>
      </c>
      <c r="AG32" s="16">
        <v>0</v>
      </c>
      <c r="AH32">
        <f t="shared" si="6"/>
        <v>0</v>
      </c>
      <c r="AJ32" s="2">
        <v>3.3414999999999998E-10</v>
      </c>
      <c r="AK32" s="3">
        <v>0</v>
      </c>
      <c r="AL32" s="16">
        <v>2.3397789612392202E-2</v>
      </c>
      <c r="AM32">
        <f t="shared" si="7"/>
        <v>0</v>
      </c>
      <c r="AO32" s="2">
        <v>3.3414999999999998E-10</v>
      </c>
      <c r="AP32" s="3">
        <v>0</v>
      </c>
      <c r="AQ32" s="16">
        <v>3.0876572878586799E-4</v>
      </c>
      <c r="AR32">
        <f t="shared" si="8"/>
        <v>0</v>
      </c>
      <c r="AT32" s="2">
        <v>3.3414999999999998E-10</v>
      </c>
      <c r="AU32" s="3">
        <v>0</v>
      </c>
      <c r="AV32" s="16">
        <v>0</v>
      </c>
      <c r="AW32">
        <f t="shared" si="9"/>
        <v>0</v>
      </c>
    </row>
    <row r="33" spans="1:49" x14ac:dyDescent="0.3">
      <c r="A33" s="2">
        <v>3.7713000000000002E-10</v>
      </c>
      <c r="B33" s="16">
        <v>0</v>
      </c>
      <c r="C33" s="16">
        <v>0.14688569327234199</v>
      </c>
      <c r="D33">
        <f t="shared" si="0"/>
        <v>0</v>
      </c>
      <c r="F33" s="2">
        <v>3.7713000000000002E-10</v>
      </c>
      <c r="G33" s="3">
        <v>0</v>
      </c>
      <c r="H33" s="16">
        <v>0</v>
      </c>
      <c r="I33">
        <f t="shared" si="1"/>
        <v>0</v>
      </c>
      <c r="K33" s="2">
        <v>3.7713000000000002E-10</v>
      </c>
      <c r="L33" s="3">
        <v>0</v>
      </c>
      <c r="M33" s="16">
        <v>0</v>
      </c>
      <c r="N33">
        <f t="shared" si="2"/>
        <v>0</v>
      </c>
      <c r="P33" s="2">
        <v>3.7713000000000002E-10</v>
      </c>
      <c r="Q33" s="3">
        <v>0</v>
      </c>
      <c r="R33" s="16">
        <v>0</v>
      </c>
      <c r="S33">
        <f t="shared" si="3"/>
        <v>0</v>
      </c>
      <c r="U33" s="2">
        <v>3.7713000000000002E-10</v>
      </c>
      <c r="V33" s="3">
        <v>0</v>
      </c>
      <c r="W33" s="16">
        <v>0</v>
      </c>
      <c r="X33">
        <f t="shared" si="4"/>
        <v>0</v>
      </c>
      <c r="Z33" s="2">
        <v>3.7713000000000002E-10</v>
      </c>
      <c r="AA33" s="3">
        <v>0</v>
      </c>
      <c r="AB33" s="16">
        <v>0</v>
      </c>
      <c r="AC33">
        <f t="shared" si="5"/>
        <v>0</v>
      </c>
      <c r="AE33" s="2">
        <v>3.7713000000000002E-10</v>
      </c>
      <c r="AF33" s="3">
        <v>0</v>
      </c>
      <c r="AG33" s="16">
        <v>0</v>
      </c>
      <c r="AH33">
        <f t="shared" si="6"/>
        <v>0</v>
      </c>
      <c r="AJ33" s="2">
        <v>3.7713000000000002E-10</v>
      </c>
      <c r="AK33" s="3">
        <v>0</v>
      </c>
      <c r="AL33" s="16">
        <v>2.1745156630276902E-2</v>
      </c>
      <c r="AM33">
        <f t="shared" si="7"/>
        <v>0</v>
      </c>
      <c r="AO33" s="2">
        <v>3.7713000000000002E-10</v>
      </c>
      <c r="AP33" s="3">
        <v>0</v>
      </c>
      <c r="AQ33" s="16">
        <v>2.8695725665223902E-4</v>
      </c>
      <c r="AR33">
        <f t="shared" si="8"/>
        <v>0</v>
      </c>
      <c r="AT33" s="2">
        <v>3.7713000000000002E-10</v>
      </c>
      <c r="AU33" s="3">
        <v>0</v>
      </c>
      <c r="AV33" s="16">
        <v>0</v>
      </c>
      <c r="AW33">
        <f t="shared" si="9"/>
        <v>0</v>
      </c>
    </row>
    <row r="34" spans="1:49" x14ac:dyDescent="0.3">
      <c r="A34" s="2">
        <v>4.2563999999999999E-10</v>
      </c>
      <c r="B34" s="16">
        <v>0</v>
      </c>
      <c r="C34" s="16">
        <v>0.13643182284442901</v>
      </c>
      <c r="D34">
        <f t="shared" si="0"/>
        <v>0</v>
      </c>
      <c r="F34" s="2">
        <v>4.2563999999999999E-10</v>
      </c>
      <c r="G34" s="3">
        <v>0</v>
      </c>
      <c r="H34" s="16">
        <v>0</v>
      </c>
      <c r="I34">
        <f t="shared" si="1"/>
        <v>0</v>
      </c>
      <c r="K34" s="2">
        <v>4.2563999999999999E-10</v>
      </c>
      <c r="L34" s="3">
        <v>0</v>
      </c>
      <c r="M34" s="16">
        <v>0</v>
      </c>
      <c r="N34">
        <f t="shared" si="2"/>
        <v>0</v>
      </c>
      <c r="P34" s="2">
        <v>4.2563999999999999E-10</v>
      </c>
      <c r="Q34" s="3">
        <v>0</v>
      </c>
      <c r="R34" s="16">
        <v>0</v>
      </c>
      <c r="S34">
        <f t="shared" si="3"/>
        <v>0</v>
      </c>
      <c r="U34" s="2">
        <v>4.2563999999999999E-10</v>
      </c>
      <c r="V34" s="3">
        <v>0</v>
      </c>
      <c r="W34" s="16">
        <v>0</v>
      </c>
      <c r="X34">
        <f t="shared" si="4"/>
        <v>0</v>
      </c>
      <c r="Z34" s="2">
        <v>4.2563999999999999E-10</v>
      </c>
      <c r="AA34" s="3">
        <v>0</v>
      </c>
      <c r="AB34" s="16">
        <v>0</v>
      </c>
      <c r="AC34">
        <f t="shared" si="5"/>
        <v>0</v>
      </c>
      <c r="AE34" s="2">
        <v>4.2563999999999999E-10</v>
      </c>
      <c r="AF34" s="3">
        <v>0</v>
      </c>
      <c r="AG34" s="16">
        <v>0</v>
      </c>
      <c r="AH34">
        <f t="shared" si="6"/>
        <v>0</v>
      </c>
      <c r="AJ34" s="2">
        <v>4.2563999999999999E-10</v>
      </c>
      <c r="AK34" s="3">
        <v>0</v>
      </c>
      <c r="AL34" s="16">
        <v>2.0197110436134199E-2</v>
      </c>
      <c r="AM34">
        <f t="shared" si="7"/>
        <v>0</v>
      </c>
      <c r="AO34" s="2">
        <v>4.2563999999999999E-10</v>
      </c>
      <c r="AP34" s="3">
        <v>0</v>
      </c>
      <c r="AQ34" s="16">
        <v>2.6652910246326898E-4</v>
      </c>
      <c r="AR34">
        <f t="shared" si="8"/>
        <v>0</v>
      </c>
      <c r="AT34" s="2">
        <v>4.2563999999999999E-10</v>
      </c>
      <c r="AU34" s="3">
        <v>0</v>
      </c>
      <c r="AV34" s="16">
        <v>0</v>
      </c>
      <c r="AW34">
        <f t="shared" si="9"/>
        <v>0</v>
      </c>
    </row>
    <row r="35" spans="1:49" x14ac:dyDescent="0.3">
      <c r="A35" s="2">
        <v>4.8038000000000005E-10</v>
      </c>
      <c r="B35" s="16">
        <v>0</v>
      </c>
      <c r="C35" s="16">
        <v>0.12990534964537701</v>
      </c>
      <c r="D35">
        <f t="shared" si="0"/>
        <v>0</v>
      </c>
      <c r="F35" s="2">
        <v>4.8038000000000005E-10</v>
      </c>
      <c r="G35" s="3">
        <v>0</v>
      </c>
      <c r="H35" s="16">
        <v>0</v>
      </c>
      <c r="I35">
        <f t="shared" si="1"/>
        <v>0</v>
      </c>
      <c r="K35" s="2">
        <v>4.8038000000000005E-10</v>
      </c>
      <c r="L35" s="3">
        <v>0</v>
      </c>
      <c r="M35" s="16">
        <v>0</v>
      </c>
      <c r="N35">
        <f t="shared" si="2"/>
        <v>0</v>
      </c>
      <c r="P35" s="2">
        <v>4.8038000000000005E-10</v>
      </c>
      <c r="Q35" s="3">
        <v>0</v>
      </c>
      <c r="R35" s="16">
        <v>0</v>
      </c>
      <c r="S35">
        <f t="shared" si="3"/>
        <v>0</v>
      </c>
      <c r="U35" s="2">
        <v>4.8038000000000005E-10</v>
      </c>
      <c r="V35" s="3">
        <v>0</v>
      </c>
      <c r="W35" s="16">
        <v>0</v>
      </c>
      <c r="X35">
        <f t="shared" si="4"/>
        <v>0</v>
      </c>
      <c r="Z35" s="2">
        <v>4.8038000000000005E-10</v>
      </c>
      <c r="AA35" s="3">
        <v>0</v>
      </c>
      <c r="AB35" s="16">
        <v>0</v>
      </c>
      <c r="AC35">
        <f t="shared" si="5"/>
        <v>0</v>
      </c>
      <c r="AE35" s="2">
        <v>4.8038000000000005E-10</v>
      </c>
      <c r="AF35" s="3">
        <v>0</v>
      </c>
      <c r="AG35" s="16">
        <v>0</v>
      </c>
      <c r="AH35">
        <f t="shared" si="6"/>
        <v>0</v>
      </c>
      <c r="AJ35" s="2">
        <v>4.8038000000000005E-10</v>
      </c>
      <c r="AK35" s="3">
        <v>0</v>
      </c>
      <c r="AL35" s="16">
        <v>1.9230638337342301E-2</v>
      </c>
      <c r="AM35">
        <f t="shared" si="7"/>
        <v>0</v>
      </c>
      <c r="AO35" s="2">
        <v>4.8038000000000005E-10</v>
      </c>
      <c r="AP35" s="3">
        <v>0</v>
      </c>
      <c r="AQ35" s="16">
        <v>2.5377540576820699E-4</v>
      </c>
      <c r="AR35">
        <f t="shared" si="8"/>
        <v>0</v>
      </c>
      <c r="AT35" s="2">
        <v>4.8038000000000005E-10</v>
      </c>
      <c r="AU35" s="3">
        <v>0</v>
      </c>
      <c r="AV35" s="16">
        <v>0</v>
      </c>
      <c r="AW35">
        <f t="shared" si="9"/>
        <v>0</v>
      </c>
    </row>
    <row r="36" spans="1:49" x14ac:dyDescent="0.3">
      <c r="A36" s="2">
        <v>5.4217E-10</v>
      </c>
      <c r="B36" s="16">
        <v>0</v>
      </c>
      <c r="C36" s="16">
        <v>0.1236913805594</v>
      </c>
      <c r="D36">
        <f t="shared" si="0"/>
        <v>0</v>
      </c>
      <c r="F36" s="2">
        <v>5.4217E-10</v>
      </c>
      <c r="G36" s="3">
        <v>0</v>
      </c>
      <c r="H36" s="16">
        <v>0</v>
      </c>
      <c r="I36">
        <f t="shared" si="1"/>
        <v>0</v>
      </c>
      <c r="K36" s="2">
        <v>5.4217E-10</v>
      </c>
      <c r="L36" s="3">
        <v>0</v>
      </c>
      <c r="M36" s="16">
        <v>0</v>
      </c>
      <c r="N36">
        <f t="shared" si="2"/>
        <v>0</v>
      </c>
      <c r="P36" s="2">
        <v>5.4217E-10</v>
      </c>
      <c r="Q36" s="3">
        <v>0</v>
      </c>
      <c r="R36" s="16">
        <v>0</v>
      </c>
      <c r="S36">
        <f t="shared" si="3"/>
        <v>0</v>
      </c>
      <c r="U36" s="2">
        <v>5.4217E-10</v>
      </c>
      <c r="V36" s="3">
        <v>0</v>
      </c>
      <c r="W36" s="16">
        <v>0</v>
      </c>
      <c r="X36">
        <f t="shared" si="4"/>
        <v>0</v>
      </c>
      <c r="Z36" s="2">
        <v>5.4217E-10</v>
      </c>
      <c r="AA36" s="3">
        <v>0</v>
      </c>
      <c r="AB36" s="16">
        <v>0</v>
      </c>
      <c r="AC36">
        <f t="shared" si="5"/>
        <v>0</v>
      </c>
      <c r="AE36" s="2">
        <v>5.4217E-10</v>
      </c>
      <c r="AF36" s="3">
        <v>0</v>
      </c>
      <c r="AG36" s="16">
        <v>0</v>
      </c>
      <c r="AH36">
        <f t="shared" si="6"/>
        <v>0</v>
      </c>
      <c r="AJ36" s="2">
        <v>5.4217E-10</v>
      </c>
      <c r="AK36" s="3">
        <v>0</v>
      </c>
      <c r="AL36" s="16">
        <v>1.8310431434354499E-2</v>
      </c>
      <c r="AM36">
        <f t="shared" si="7"/>
        <v>0</v>
      </c>
      <c r="AO36" s="2">
        <v>5.4217E-10</v>
      </c>
      <c r="AP36" s="3">
        <v>0</v>
      </c>
      <c r="AQ36" s="16">
        <v>2.41631916207136E-4</v>
      </c>
      <c r="AR36">
        <f t="shared" si="8"/>
        <v>0</v>
      </c>
      <c r="AT36" s="2">
        <v>5.4217E-10</v>
      </c>
      <c r="AU36" s="3">
        <v>0</v>
      </c>
      <c r="AV36" s="16">
        <v>0</v>
      </c>
      <c r="AW36">
        <f t="shared" si="9"/>
        <v>0</v>
      </c>
    </row>
    <row r="37" spans="1:49" x14ac:dyDescent="0.3">
      <c r="A37" s="2">
        <v>6.1191000000000001E-10</v>
      </c>
      <c r="B37" s="16">
        <v>0</v>
      </c>
      <c r="C37" s="16">
        <v>0.11777489822637401</v>
      </c>
      <c r="D37">
        <f t="shared" si="0"/>
        <v>0</v>
      </c>
      <c r="F37" s="2">
        <v>6.1191000000000001E-10</v>
      </c>
      <c r="G37" s="3">
        <v>0</v>
      </c>
      <c r="H37" s="16">
        <v>0</v>
      </c>
      <c r="I37">
        <f t="shared" si="1"/>
        <v>0</v>
      </c>
      <c r="K37" s="2">
        <v>6.1191000000000001E-10</v>
      </c>
      <c r="L37" s="3">
        <v>0</v>
      </c>
      <c r="M37" s="16">
        <v>0</v>
      </c>
      <c r="N37">
        <f t="shared" si="2"/>
        <v>0</v>
      </c>
      <c r="P37" s="2">
        <v>6.1191000000000001E-10</v>
      </c>
      <c r="Q37" s="3">
        <v>0</v>
      </c>
      <c r="R37" s="16">
        <v>0</v>
      </c>
      <c r="S37">
        <f t="shared" si="3"/>
        <v>0</v>
      </c>
      <c r="U37" s="2">
        <v>6.1191000000000001E-10</v>
      </c>
      <c r="V37" s="3">
        <v>0</v>
      </c>
      <c r="W37" s="16">
        <v>0</v>
      </c>
      <c r="X37">
        <f t="shared" si="4"/>
        <v>0</v>
      </c>
      <c r="Z37" s="2">
        <v>6.1191000000000001E-10</v>
      </c>
      <c r="AA37" s="3">
        <v>0</v>
      </c>
      <c r="AB37" s="16">
        <v>0</v>
      </c>
      <c r="AC37">
        <f t="shared" si="5"/>
        <v>0</v>
      </c>
      <c r="AE37" s="2">
        <v>6.1191000000000001E-10</v>
      </c>
      <c r="AF37" s="3">
        <v>0</v>
      </c>
      <c r="AG37" s="16">
        <v>0</v>
      </c>
      <c r="AH37">
        <f t="shared" si="6"/>
        <v>0</v>
      </c>
      <c r="AJ37" s="2">
        <v>6.1191000000000001E-10</v>
      </c>
      <c r="AK37" s="3">
        <v>0</v>
      </c>
      <c r="AL37" s="16">
        <v>1.7434235279070402E-2</v>
      </c>
      <c r="AM37">
        <f t="shared" si="7"/>
        <v>0</v>
      </c>
      <c r="AO37" s="2">
        <v>6.1191000000000001E-10</v>
      </c>
      <c r="AP37" s="3">
        <v>0</v>
      </c>
      <c r="AQ37" s="16">
        <v>2.30070145193981E-4</v>
      </c>
      <c r="AR37">
        <f t="shared" si="8"/>
        <v>0</v>
      </c>
      <c r="AT37" s="2">
        <v>6.1191000000000001E-10</v>
      </c>
      <c r="AU37" s="3">
        <v>0</v>
      </c>
      <c r="AV37" s="16">
        <v>0</v>
      </c>
      <c r="AW37">
        <f t="shared" si="9"/>
        <v>0</v>
      </c>
    </row>
    <row r="38" spans="1:49" x14ac:dyDescent="0.3">
      <c r="A38" s="3">
        <v>6.9062000000000004E-10</v>
      </c>
      <c r="B38" s="16">
        <v>2616.2072961745298</v>
      </c>
      <c r="C38" s="16">
        <v>0.109459839558634</v>
      </c>
      <c r="D38">
        <f t="shared" si="0"/>
        <v>286.36963089139169</v>
      </c>
      <c r="F38" s="3">
        <v>6.9062000000000004E-10</v>
      </c>
      <c r="G38" s="3">
        <v>2616.2072961745298</v>
      </c>
      <c r="H38" s="16">
        <v>0</v>
      </c>
      <c r="I38">
        <f t="shared" si="1"/>
        <v>0</v>
      </c>
      <c r="K38" s="3">
        <v>6.9062000000000004E-10</v>
      </c>
      <c r="L38" s="3">
        <v>2616.2072961745298</v>
      </c>
      <c r="M38" s="16">
        <v>0</v>
      </c>
      <c r="N38">
        <f t="shared" si="2"/>
        <v>0</v>
      </c>
      <c r="P38" s="3">
        <v>6.9062000000000004E-10</v>
      </c>
      <c r="Q38" s="3">
        <v>2616.2072961745298</v>
      </c>
      <c r="R38" s="16">
        <v>0</v>
      </c>
      <c r="S38">
        <f t="shared" si="3"/>
        <v>0</v>
      </c>
      <c r="U38" s="3">
        <v>6.9062000000000004E-10</v>
      </c>
      <c r="V38" s="3">
        <v>2616.2072961745298</v>
      </c>
      <c r="W38" s="16">
        <v>0</v>
      </c>
      <c r="X38">
        <f t="shared" si="4"/>
        <v>0</v>
      </c>
      <c r="Z38" s="3">
        <v>6.9062000000000004E-10</v>
      </c>
      <c r="AA38" s="3">
        <v>2616.2072961745298</v>
      </c>
      <c r="AB38" s="16">
        <v>0</v>
      </c>
      <c r="AC38">
        <f t="shared" si="5"/>
        <v>0</v>
      </c>
      <c r="AE38" s="3">
        <v>6.9062000000000004E-10</v>
      </c>
      <c r="AF38" s="3">
        <v>2616.2072961745298</v>
      </c>
      <c r="AG38" s="16">
        <v>0</v>
      </c>
      <c r="AH38">
        <f t="shared" si="6"/>
        <v>0</v>
      </c>
      <c r="AJ38" s="3">
        <v>6.9062000000000004E-10</v>
      </c>
      <c r="AK38" s="3">
        <v>2616.2072961745298</v>
      </c>
      <c r="AL38" s="16">
        <v>1.6202816518713001E-2</v>
      </c>
      <c r="AM38">
        <f t="shared" si="7"/>
        <v>42.389926794834146</v>
      </c>
      <c r="AO38" s="3">
        <v>6.9062000000000004E-10</v>
      </c>
      <c r="AP38" s="3">
        <v>2616.2072961745298</v>
      </c>
      <c r="AQ38" s="16">
        <v>2.1381970430489199E-4</v>
      </c>
      <c r="AR38">
        <f t="shared" si="8"/>
        <v>0.55939667046833896</v>
      </c>
      <c r="AT38" s="3">
        <v>6.9062000000000004E-10</v>
      </c>
      <c r="AU38" s="3">
        <v>2616.2072961745298</v>
      </c>
      <c r="AV38" s="16">
        <v>0</v>
      </c>
      <c r="AW38">
        <f t="shared" si="9"/>
        <v>0</v>
      </c>
    </row>
    <row r="39" spans="1:49" x14ac:dyDescent="0.3">
      <c r="A39" s="3">
        <v>7.7945000000000003E-10</v>
      </c>
      <c r="B39" s="16">
        <v>0</v>
      </c>
      <c r="C39" s="16">
        <v>0.10167128238575</v>
      </c>
      <c r="D39">
        <f t="shared" si="0"/>
        <v>0</v>
      </c>
      <c r="F39" s="3">
        <v>7.7945000000000003E-10</v>
      </c>
      <c r="G39" s="3">
        <v>0</v>
      </c>
      <c r="H39" s="16">
        <v>0</v>
      </c>
      <c r="I39">
        <f t="shared" si="1"/>
        <v>0</v>
      </c>
      <c r="K39" s="3">
        <v>7.7945000000000003E-10</v>
      </c>
      <c r="L39" s="3">
        <v>0</v>
      </c>
      <c r="M39" s="16">
        <v>0</v>
      </c>
      <c r="N39">
        <f t="shared" si="2"/>
        <v>0</v>
      </c>
      <c r="P39" s="3">
        <v>7.7945000000000003E-10</v>
      </c>
      <c r="Q39" s="3">
        <v>0</v>
      </c>
      <c r="R39" s="16">
        <v>0</v>
      </c>
      <c r="S39">
        <f t="shared" si="3"/>
        <v>0</v>
      </c>
      <c r="U39" s="3">
        <v>7.7945000000000003E-10</v>
      </c>
      <c r="V39" s="3">
        <v>0</v>
      </c>
      <c r="W39" s="16">
        <v>0</v>
      </c>
      <c r="X39">
        <f t="shared" si="4"/>
        <v>0</v>
      </c>
      <c r="Z39" s="3">
        <v>7.7945000000000003E-10</v>
      </c>
      <c r="AA39" s="3">
        <v>0</v>
      </c>
      <c r="AB39" s="16">
        <v>0</v>
      </c>
      <c r="AC39">
        <f t="shared" si="5"/>
        <v>0</v>
      </c>
      <c r="AE39" s="3">
        <v>7.7945000000000003E-10</v>
      </c>
      <c r="AF39" s="3">
        <v>0</v>
      </c>
      <c r="AG39" s="16">
        <v>0</v>
      </c>
      <c r="AH39">
        <f t="shared" si="6"/>
        <v>0</v>
      </c>
      <c r="AJ39" s="3">
        <v>7.7945000000000003E-10</v>
      </c>
      <c r="AK39" s="3">
        <v>0</v>
      </c>
      <c r="AL39" s="16">
        <v>1.50493232470514E-2</v>
      </c>
      <c r="AM39">
        <f t="shared" si="7"/>
        <v>0</v>
      </c>
      <c r="AO39" s="3">
        <v>7.7945000000000003E-10</v>
      </c>
      <c r="AP39" s="3">
        <v>0</v>
      </c>
      <c r="AQ39" s="16">
        <v>1.9859852846108899E-4</v>
      </c>
      <c r="AR39">
        <f t="shared" si="8"/>
        <v>0</v>
      </c>
      <c r="AT39" s="3">
        <v>7.7945000000000003E-10</v>
      </c>
      <c r="AU39" s="3">
        <v>0</v>
      </c>
      <c r="AV39" s="16">
        <v>0</v>
      </c>
      <c r="AW39">
        <f t="shared" si="9"/>
        <v>0</v>
      </c>
    </row>
    <row r="40" spans="1:49" x14ac:dyDescent="0.3">
      <c r="A40" s="3">
        <v>8.7969999999999997E-10</v>
      </c>
      <c r="B40" s="16">
        <v>2313.6751659895599</v>
      </c>
      <c r="C40" s="16">
        <v>9.6808875711016998E-2</v>
      </c>
      <c r="D40">
        <f t="shared" si="0"/>
        <v>223.98429157994994</v>
      </c>
      <c r="F40" s="3">
        <v>8.7969999999999997E-10</v>
      </c>
      <c r="G40" s="3">
        <v>2313.6751659895599</v>
      </c>
      <c r="H40" s="16">
        <v>0</v>
      </c>
      <c r="I40">
        <f t="shared" si="1"/>
        <v>0</v>
      </c>
      <c r="K40" s="3">
        <v>8.7969999999999997E-10</v>
      </c>
      <c r="L40" s="3">
        <v>2313.6751659895599</v>
      </c>
      <c r="M40" s="16">
        <v>0</v>
      </c>
      <c r="N40">
        <f t="shared" si="2"/>
        <v>0</v>
      </c>
      <c r="P40" s="3">
        <v>8.7969999999999997E-10</v>
      </c>
      <c r="Q40" s="3">
        <v>2313.6751659895599</v>
      </c>
      <c r="R40" s="16">
        <v>0</v>
      </c>
      <c r="S40">
        <f t="shared" si="3"/>
        <v>0</v>
      </c>
      <c r="U40" s="3">
        <v>8.7969999999999997E-10</v>
      </c>
      <c r="V40" s="3">
        <v>2313.6751659895599</v>
      </c>
      <c r="W40" s="16">
        <v>0</v>
      </c>
      <c r="X40">
        <f t="shared" si="4"/>
        <v>0</v>
      </c>
      <c r="Z40" s="3">
        <v>8.7969999999999997E-10</v>
      </c>
      <c r="AA40" s="3">
        <v>2313.6751659895599</v>
      </c>
      <c r="AB40" s="16">
        <v>0</v>
      </c>
      <c r="AC40">
        <f t="shared" si="5"/>
        <v>0</v>
      </c>
      <c r="AE40" s="3">
        <v>8.7969999999999997E-10</v>
      </c>
      <c r="AF40" s="3">
        <v>2313.6751659895599</v>
      </c>
      <c r="AG40" s="16">
        <v>0</v>
      </c>
      <c r="AH40">
        <f t="shared" si="6"/>
        <v>0</v>
      </c>
      <c r="AJ40" s="3">
        <v>8.7969999999999997E-10</v>
      </c>
      <c r="AK40" s="3">
        <v>2313.6751659895599</v>
      </c>
      <c r="AL40" s="16">
        <v>1.4329174108123901E-2</v>
      </c>
      <c r="AM40">
        <f t="shared" si="7"/>
        <v>33.153054283106869</v>
      </c>
      <c r="AO40" s="3">
        <v>8.7969999999999997E-10</v>
      </c>
      <c r="AP40" s="3">
        <v>2313.6751659895599</v>
      </c>
      <c r="AQ40" s="16">
        <v>1.8909528753850401E-4</v>
      </c>
      <c r="AR40">
        <f t="shared" si="8"/>
        <v>0.43750507078349182</v>
      </c>
      <c r="AT40" s="3">
        <v>8.7969999999999997E-10</v>
      </c>
      <c r="AU40" s="3">
        <v>2313.6751659895599</v>
      </c>
      <c r="AV40" s="16">
        <v>0</v>
      </c>
      <c r="AW40">
        <f t="shared" si="9"/>
        <v>0</v>
      </c>
    </row>
    <row r="41" spans="1:49" x14ac:dyDescent="0.3">
      <c r="A41" s="3">
        <v>9.9286000000000002E-10</v>
      </c>
      <c r="B41" s="16">
        <v>0</v>
      </c>
      <c r="C41" s="16">
        <v>9.2179416896316493E-2</v>
      </c>
      <c r="D41">
        <f t="shared" si="0"/>
        <v>0</v>
      </c>
      <c r="F41" s="3">
        <v>9.9286000000000002E-10</v>
      </c>
      <c r="G41" s="3">
        <v>0</v>
      </c>
      <c r="H41" s="16">
        <v>0</v>
      </c>
      <c r="I41">
        <f t="shared" si="1"/>
        <v>0</v>
      </c>
      <c r="K41" s="3">
        <v>9.9286000000000002E-10</v>
      </c>
      <c r="L41" s="3">
        <v>0</v>
      </c>
      <c r="M41" s="16">
        <v>0</v>
      </c>
      <c r="N41">
        <f t="shared" si="2"/>
        <v>0</v>
      </c>
      <c r="P41" s="3">
        <v>9.9286000000000002E-10</v>
      </c>
      <c r="Q41" s="3">
        <v>0</v>
      </c>
      <c r="R41" s="16">
        <v>0</v>
      </c>
      <c r="S41">
        <f t="shared" si="3"/>
        <v>0</v>
      </c>
      <c r="U41" s="3">
        <v>9.9286000000000002E-10</v>
      </c>
      <c r="V41" s="3">
        <v>0</v>
      </c>
      <c r="W41" s="16">
        <v>0</v>
      </c>
      <c r="X41">
        <f t="shared" si="4"/>
        <v>0</v>
      </c>
      <c r="Z41" s="3">
        <v>9.9286000000000002E-10</v>
      </c>
      <c r="AA41" s="3">
        <v>0</v>
      </c>
      <c r="AB41" s="16">
        <v>0</v>
      </c>
      <c r="AC41">
        <f t="shared" si="5"/>
        <v>0</v>
      </c>
      <c r="AE41" s="3">
        <v>9.9286000000000002E-10</v>
      </c>
      <c r="AF41" s="3">
        <v>0</v>
      </c>
      <c r="AG41" s="16">
        <v>0</v>
      </c>
      <c r="AH41">
        <f t="shared" si="6"/>
        <v>0</v>
      </c>
      <c r="AJ41" s="3">
        <v>9.9286000000000002E-10</v>
      </c>
      <c r="AK41" s="3">
        <v>0</v>
      </c>
      <c r="AL41" s="16">
        <v>1.36434788173431E-2</v>
      </c>
      <c r="AM41">
        <f t="shared" si="7"/>
        <v>0</v>
      </c>
      <c r="AO41" s="3">
        <v>9.9286000000000002E-10</v>
      </c>
      <c r="AP41" s="3">
        <v>0</v>
      </c>
      <c r="AQ41" s="16">
        <v>1.80046945006469E-4</v>
      </c>
      <c r="AR41">
        <f t="shared" si="8"/>
        <v>0</v>
      </c>
      <c r="AT41" s="3">
        <v>9.9286000000000002E-10</v>
      </c>
      <c r="AU41" s="3">
        <v>0</v>
      </c>
      <c r="AV41" s="16">
        <v>0</v>
      </c>
      <c r="AW41">
        <f t="shared" si="9"/>
        <v>0</v>
      </c>
    </row>
    <row r="42" spans="1:49" x14ac:dyDescent="0.3">
      <c r="A42" s="3">
        <v>1.1206E-9</v>
      </c>
      <c r="B42" s="16">
        <v>0</v>
      </c>
      <c r="C42" s="16">
        <v>8.5673145622194205E-2</v>
      </c>
      <c r="D42">
        <f t="shared" si="0"/>
        <v>0</v>
      </c>
      <c r="F42" s="3">
        <v>1.1206E-9</v>
      </c>
      <c r="G42" s="3">
        <v>0</v>
      </c>
      <c r="H42" s="16">
        <v>0</v>
      </c>
      <c r="I42">
        <f t="shared" si="1"/>
        <v>0</v>
      </c>
      <c r="K42" s="3">
        <v>1.1206E-9</v>
      </c>
      <c r="L42" s="3">
        <v>0</v>
      </c>
      <c r="M42" s="16">
        <v>0</v>
      </c>
      <c r="N42">
        <f t="shared" si="2"/>
        <v>0</v>
      </c>
      <c r="P42" s="3">
        <v>1.1206E-9</v>
      </c>
      <c r="Q42" s="3">
        <v>0</v>
      </c>
      <c r="R42" s="16">
        <v>0</v>
      </c>
      <c r="S42">
        <f t="shared" si="3"/>
        <v>0</v>
      </c>
      <c r="U42" s="3">
        <v>1.1206E-9</v>
      </c>
      <c r="V42" s="3">
        <v>0</v>
      </c>
      <c r="W42" s="16">
        <v>0</v>
      </c>
      <c r="X42">
        <f t="shared" si="4"/>
        <v>0</v>
      </c>
      <c r="Z42" s="3">
        <v>1.1206E-9</v>
      </c>
      <c r="AA42" s="3">
        <v>0</v>
      </c>
      <c r="AB42" s="16">
        <v>0</v>
      </c>
      <c r="AC42">
        <f t="shared" si="5"/>
        <v>0</v>
      </c>
      <c r="AE42" s="3">
        <v>1.1206E-9</v>
      </c>
      <c r="AF42" s="3">
        <v>0</v>
      </c>
      <c r="AG42" s="16">
        <v>0</v>
      </c>
      <c r="AH42">
        <f t="shared" si="6"/>
        <v>0</v>
      </c>
      <c r="AJ42" s="3">
        <v>1.1206E-9</v>
      </c>
      <c r="AK42" s="3">
        <v>0</v>
      </c>
      <c r="AL42" s="16">
        <v>1.26798002738062E-2</v>
      </c>
      <c r="AM42">
        <f t="shared" si="7"/>
        <v>0</v>
      </c>
      <c r="AO42" s="3">
        <v>1.1206E-9</v>
      </c>
      <c r="AP42" s="3">
        <v>0</v>
      </c>
      <c r="AQ42" s="16">
        <v>1.6733046727063401E-4</v>
      </c>
      <c r="AR42">
        <f t="shared" si="8"/>
        <v>0</v>
      </c>
      <c r="AT42" s="3">
        <v>1.1206E-9</v>
      </c>
      <c r="AU42" s="3">
        <v>0</v>
      </c>
      <c r="AV42" s="16">
        <v>0</v>
      </c>
      <c r="AW42">
        <f t="shared" si="9"/>
        <v>0</v>
      </c>
    </row>
    <row r="43" spans="1:49" x14ac:dyDescent="0.3">
      <c r="A43" s="3">
        <v>1.2647E-9</v>
      </c>
      <c r="B43" s="16">
        <v>1901.5960484321099</v>
      </c>
      <c r="C43" s="16">
        <v>7.9578957861023605E-2</v>
      </c>
      <c r="D43">
        <f t="shared" si="0"/>
        <v>151.32703180686786</v>
      </c>
      <c r="F43" s="3">
        <v>1.2647E-9</v>
      </c>
      <c r="G43" s="3">
        <v>1901.5960484321099</v>
      </c>
      <c r="H43" s="16">
        <v>0</v>
      </c>
      <c r="I43">
        <f t="shared" si="1"/>
        <v>0</v>
      </c>
      <c r="K43" s="3">
        <v>1.2647E-9</v>
      </c>
      <c r="L43" s="3">
        <v>1901.5960484321099</v>
      </c>
      <c r="M43" s="16">
        <v>0</v>
      </c>
      <c r="N43">
        <f t="shared" si="2"/>
        <v>0</v>
      </c>
      <c r="P43" s="3">
        <v>1.2647E-9</v>
      </c>
      <c r="Q43" s="3">
        <v>1901.5960484321099</v>
      </c>
      <c r="R43" s="16">
        <v>0</v>
      </c>
      <c r="S43">
        <f t="shared" si="3"/>
        <v>0</v>
      </c>
      <c r="U43" s="3">
        <v>1.2647E-9</v>
      </c>
      <c r="V43" s="3">
        <v>1901.5960484321099</v>
      </c>
      <c r="W43" s="16">
        <v>0</v>
      </c>
      <c r="X43">
        <f t="shared" si="4"/>
        <v>0</v>
      </c>
      <c r="Z43" s="3">
        <v>1.2647E-9</v>
      </c>
      <c r="AA43" s="3">
        <v>1901.5960484321099</v>
      </c>
      <c r="AB43" s="16">
        <v>0</v>
      </c>
      <c r="AC43">
        <f t="shared" si="5"/>
        <v>0</v>
      </c>
      <c r="AE43" s="3">
        <v>1.2647E-9</v>
      </c>
      <c r="AF43" s="3">
        <v>1901.5960484321099</v>
      </c>
      <c r="AG43" s="16">
        <v>0</v>
      </c>
      <c r="AH43">
        <f t="shared" si="6"/>
        <v>0</v>
      </c>
      <c r="AJ43" s="3">
        <v>1.2647E-9</v>
      </c>
      <c r="AK43" s="3">
        <v>1901.5960484321099</v>
      </c>
      <c r="AL43" s="16">
        <v>1.1777089848468999E-2</v>
      </c>
      <c r="AM43">
        <f t="shared" si="7"/>
        <v>22.395267517878565</v>
      </c>
      <c r="AO43" s="3">
        <v>1.2647E-9</v>
      </c>
      <c r="AP43" s="3">
        <v>1901.5960484321099</v>
      </c>
      <c r="AQ43" s="16">
        <v>1.5541902183807601E-4</v>
      </c>
      <c r="AR43">
        <f t="shared" si="8"/>
        <v>0.29554419777846913</v>
      </c>
      <c r="AT43" s="3">
        <v>1.2647E-9</v>
      </c>
      <c r="AU43" s="3">
        <v>1901.5960484321099</v>
      </c>
      <c r="AV43" s="16">
        <v>0</v>
      </c>
      <c r="AW43">
        <f t="shared" si="9"/>
        <v>0</v>
      </c>
    </row>
    <row r="44" spans="1:49" x14ac:dyDescent="0.3">
      <c r="A44" s="3">
        <v>1.4274000000000001E-9</v>
      </c>
      <c r="B44" s="16">
        <v>1810.59874503949</v>
      </c>
      <c r="C44" s="16">
        <v>7.5774559962710097E-2</v>
      </c>
      <c r="D44">
        <f t="shared" si="0"/>
        <v>137.1973231744025</v>
      </c>
      <c r="F44" s="3">
        <v>1.4274000000000001E-9</v>
      </c>
      <c r="G44" s="3">
        <v>1810.59874503949</v>
      </c>
      <c r="H44" s="16">
        <v>0</v>
      </c>
      <c r="I44">
        <f t="shared" si="1"/>
        <v>0</v>
      </c>
      <c r="K44" s="3">
        <v>1.4274000000000001E-9</v>
      </c>
      <c r="L44" s="3">
        <v>1810.59874503949</v>
      </c>
      <c r="M44" s="16">
        <v>0</v>
      </c>
      <c r="N44">
        <f t="shared" si="2"/>
        <v>0</v>
      </c>
      <c r="P44" s="3">
        <v>1.4274000000000001E-9</v>
      </c>
      <c r="Q44" s="3">
        <v>1810.59874503949</v>
      </c>
      <c r="R44" s="16">
        <v>0</v>
      </c>
      <c r="S44">
        <f t="shared" si="3"/>
        <v>0</v>
      </c>
      <c r="U44" s="3">
        <v>1.4274000000000001E-9</v>
      </c>
      <c r="V44" s="3">
        <v>1810.59874503949</v>
      </c>
      <c r="W44" s="16">
        <v>0</v>
      </c>
      <c r="X44">
        <f t="shared" si="4"/>
        <v>0</v>
      </c>
      <c r="Z44" s="3">
        <v>1.4274000000000001E-9</v>
      </c>
      <c r="AA44" s="3">
        <v>1810.59874503949</v>
      </c>
      <c r="AB44" s="16">
        <v>0</v>
      </c>
      <c r="AC44">
        <f t="shared" si="5"/>
        <v>0</v>
      </c>
      <c r="AE44" s="3">
        <v>1.4274000000000001E-9</v>
      </c>
      <c r="AF44" s="3">
        <v>1810.59874503949</v>
      </c>
      <c r="AG44" s="16">
        <v>0</v>
      </c>
      <c r="AH44">
        <f t="shared" si="6"/>
        <v>0</v>
      </c>
      <c r="AJ44" s="3">
        <v>1.4274000000000001E-9</v>
      </c>
      <c r="AK44" s="3">
        <v>1810.59874503949</v>
      </c>
      <c r="AL44" s="16">
        <v>1.12135268330528E-2</v>
      </c>
      <c r="AM44">
        <f t="shared" si="7"/>
        <v>20.303197611392047</v>
      </c>
      <c r="AO44" s="3">
        <v>1.4274000000000001E-9</v>
      </c>
      <c r="AP44" s="3">
        <v>1810.59874503949</v>
      </c>
      <c r="AQ44" s="16">
        <v>1.47981662899242E-4</v>
      </c>
      <c r="AR44">
        <f t="shared" si="8"/>
        <v>0.26793541313422442</v>
      </c>
      <c r="AT44" s="3">
        <v>1.4274000000000001E-9</v>
      </c>
      <c r="AU44" s="3">
        <v>1810.59874503949</v>
      </c>
      <c r="AV44" s="16">
        <v>0</v>
      </c>
      <c r="AW44">
        <f t="shared" si="9"/>
        <v>0</v>
      </c>
    </row>
    <row r="45" spans="1:49" x14ac:dyDescent="0.3">
      <c r="A45" s="3">
        <v>1.6109999999999999E-9</v>
      </c>
      <c r="B45" s="16">
        <v>1723.9537803522301</v>
      </c>
      <c r="C45" s="16">
        <v>7.2152336944959705E-2</v>
      </c>
      <c r="D45">
        <f t="shared" si="0"/>
        <v>124.38729403751115</v>
      </c>
      <c r="F45" s="3">
        <v>1.6109999999999999E-9</v>
      </c>
      <c r="G45" s="3">
        <v>1723.9537803522301</v>
      </c>
      <c r="H45" s="16">
        <v>0</v>
      </c>
      <c r="I45">
        <f t="shared" si="1"/>
        <v>0</v>
      </c>
      <c r="K45" s="3">
        <v>1.6109999999999999E-9</v>
      </c>
      <c r="L45" s="3">
        <v>1723.9537803522301</v>
      </c>
      <c r="M45" s="16">
        <v>0</v>
      </c>
      <c r="N45">
        <f t="shared" si="2"/>
        <v>0</v>
      </c>
      <c r="P45" s="3">
        <v>1.6109999999999999E-9</v>
      </c>
      <c r="Q45" s="3">
        <v>1723.9537803522301</v>
      </c>
      <c r="R45" s="16">
        <v>0</v>
      </c>
      <c r="S45">
        <f t="shared" si="3"/>
        <v>0</v>
      </c>
      <c r="U45" s="3">
        <v>1.6109999999999999E-9</v>
      </c>
      <c r="V45" s="3">
        <v>1723.9537803522301</v>
      </c>
      <c r="W45" s="16">
        <v>0</v>
      </c>
      <c r="X45">
        <f t="shared" si="4"/>
        <v>0</v>
      </c>
      <c r="Z45" s="3">
        <v>1.6109999999999999E-9</v>
      </c>
      <c r="AA45" s="3">
        <v>1723.9537803522301</v>
      </c>
      <c r="AB45" s="16">
        <v>0</v>
      </c>
      <c r="AC45">
        <f t="shared" si="5"/>
        <v>0</v>
      </c>
      <c r="AE45" s="3">
        <v>1.6109999999999999E-9</v>
      </c>
      <c r="AF45" s="3">
        <v>1723.9537803522301</v>
      </c>
      <c r="AG45" s="16">
        <v>0</v>
      </c>
      <c r="AH45">
        <f t="shared" si="6"/>
        <v>0</v>
      </c>
      <c r="AJ45" s="3">
        <v>1.6109999999999999E-9</v>
      </c>
      <c r="AK45" s="3">
        <v>1723.9537803522301</v>
      </c>
      <c r="AL45" s="16">
        <v>1.0676919175361401E-2</v>
      </c>
      <c r="AM45">
        <f t="shared" si="7"/>
        <v>18.406515174879502</v>
      </c>
      <c r="AO45" s="3">
        <v>1.6109999999999999E-9</v>
      </c>
      <c r="AP45" s="3">
        <v>1723.9537803522301</v>
      </c>
      <c r="AQ45" s="16">
        <v>1.40900870779668E-4</v>
      </c>
      <c r="AR45">
        <f t="shared" si="8"/>
        <v>0.24290658883552971</v>
      </c>
      <c r="AT45" s="3">
        <v>1.6109999999999999E-9</v>
      </c>
      <c r="AU45" s="3">
        <v>1723.9537803522301</v>
      </c>
      <c r="AV45" s="16">
        <v>0</v>
      </c>
      <c r="AW45">
        <f t="shared" si="9"/>
        <v>0</v>
      </c>
    </row>
    <row r="46" spans="1:49" x14ac:dyDescent="0.3">
      <c r="A46" s="3">
        <v>1.8182E-9</v>
      </c>
      <c r="B46" s="16">
        <v>1602.18054590516</v>
      </c>
      <c r="C46" s="16">
        <v>6.7061809418804699E-2</v>
      </c>
      <c r="D46">
        <f t="shared" si="0"/>
        <v>107.44512642400831</v>
      </c>
      <c r="F46" s="3">
        <v>1.8182E-9</v>
      </c>
      <c r="G46" s="3">
        <v>1602.18054590516</v>
      </c>
      <c r="H46" s="16">
        <v>0</v>
      </c>
      <c r="I46">
        <f t="shared" si="1"/>
        <v>0</v>
      </c>
      <c r="K46" s="3">
        <v>1.8182E-9</v>
      </c>
      <c r="L46" s="3">
        <v>1602.18054590516</v>
      </c>
      <c r="M46" s="16">
        <v>0</v>
      </c>
      <c r="N46">
        <f t="shared" si="2"/>
        <v>0</v>
      </c>
      <c r="P46" s="3">
        <v>1.8182E-9</v>
      </c>
      <c r="Q46" s="3">
        <v>1602.18054590516</v>
      </c>
      <c r="R46" s="16">
        <v>0</v>
      </c>
      <c r="S46">
        <f t="shared" si="3"/>
        <v>0</v>
      </c>
      <c r="U46" s="3">
        <v>1.8182E-9</v>
      </c>
      <c r="V46" s="3">
        <v>1602.18054590516</v>
      </c>
      <c r="W46" s="16">
        <v>0</v>
      </c>
      <c r="X46">
        <f t="shared" si="4"/>
        <v>0</v>
      </c>
      <c r="Z46" s="3">
        <v>1.8182E-9</v>
      </c>
      <c r="AA46" s="3">
        <v>1602.18054590516</v>
      </c>
      <c r="AB46" s="16">
        <v>0</v>
      </c>
      <c r="AC46">
        <f t="shared" si="5"/>
        <v>0</v>
      </c>
      <c r="AE46" s="3">
        <v>1.8182E-9</v>
      </c>
      <c r="AF46" s="3">
        <v>1602.18054590516</v>
      </c>
      <c r="AG46" s="16">
        <v>0</v>
      </c>
      <c r="AH46">
        <f t="shared" si="6"/>
        <v>0</v>
      </c>
      <c r="AJ46" s="3">
        <v>1.8182E-9</v>
      </c>
      <c r="AK46" s="3">
        <v>1602.18054590516</v>
      </c>
      <c r="AL46" s="16">
        <v>9.9227572759592805E-3</v>
      </c>
      <c r="AM46">
        <f t="shared" si="7"/>
        <v>15.898048669280838</v>
      </c>
      <c r="AO46" s="3">
        <v>1.8182E-9</v>
      </c>
      <c r="AP46" s="3">
        <v>1602.18054590516</v>
      </c>
      <c r="AQ46" s="16">
        <v>1.3094962386638999E-4</v>
      </c>
      <c r="AR46">
        <f t="shared" si="8"/>
        <v>0.20980493985232809</v>
      </c>
      <c r="AT46" s="3">
        <v>1.8182E-9</v>
      </c>
      <c r="AU46" s="3">
        <v>1602.18054590516</v>
      </c>
      <c r="AV46" s="16">
        <v>0</v>
      </c>
      <c r="AW46">
        <f t="shared" si="9"/>
        <v>0</v>
      </c>
    </row>
    <row r="47" spans="1:49" x14ac:dyDescent="0.3">
      <c r="A47" s="3">
        <v>2.0519999999999999E-9</v>
      </c>
      <c r="B47" s="16">
        <v>1488.1151226147799</v>
      </c>
      <c r="C47" s="16">
        <v>6.2293976357238802E-2</v>
      </c>
      <c r="D47">
        <f t="shared" si="0"/>
        <v>92.700608265014623</v>
      </c>
      <c r="F47" s="3">
        <v>2.0519999999999999E-9</v>
      </c>
      <c r="G47" s="3">
        <v>1488.1151226147799</v>
      </c>
      <c r="H47" s="16">
        <v>0</v>
      </c>
      <c r="I47">
        <f t="shared" si="1"/>
        <v>0</v>
      </c>
      <c r="K47" s="3">
        <v>2.0519999999999999E-9</v>
      </c>
      <c r="L47" s="3">
        <v>1488.1151226147799</v>
      </c>
      <c r="M47" s="16">
        <v>0</v>
      </c>
      <c r="N47">
        <f t="shared" si="2"/>
        <v>0</v>
      </c>
      <c r="P47" s="3">
        <v>2.0519999999999999E-9</v>
      </c>
      <c r="Q47" s="3">
        <v>1488.1151226147799</v>
      </c>
      <c r="R47" s="16">
        <v>0</v>
      </c>
      <c r="S47">
        <f t="shared" si="3"/>
        <v>0</v>
      </c>
      <c r="U47" s="3">
        <v>2.0519999999999999E-9</v>
      </c>
      <c r="V47" s="3">
        <v>1488.1151226147799</v>
      </c>
      <c r="W47" s="16">
        <v>0</v>
      </c>
      <c r="X47">
        <f t="shared" si="4"/>
        <v>0</v>
      </c>
      <c r="Z47" s="3">
        <v>2.0519999999999999E-9</v>
      </c>
      <c r="AA47" s="3">
        <v>1488.1151226147799</v>
      </c>
      <c r="AB47" s="16">
        <v>0</v>
      </c>
      <c r="AC47">
        <f t="shared" si="5"/>
        <v>0</v>
      </c>
      <c r="AE47" s="3">
        <v>2.0519999999999999E-9</v>
      </c>
      <c r="AF47" s="3">
        <v>1488.1151226147799</v>
      </c>
      <c r="AG47" s="16">
        <v>0</v>
      </c>
      <c r="AH47">
        <f t="shared" si="6"/>
        <v>0</v>
      </c>
      <c r="AJ47" s="3">
        <v>2.0519999999999999E-9</v>
      </c>
      <c r="AK47" s="3">
        <v>1488.1151226147799</v>
      </c>
      <c r="AL47" s="16">
        <v>9.2163308646008892E-3</v>
      </c>
      <c r="AM47">
        <f t="shared" si="7"/>
        <v>13.714961334633934</v>
      </c>
      <c r="AO47" s="3">
        <v>2.0519999999999999E-9</v>
      </c>
      <c r="AP47" s="3">
        <v>1488.1151226147799</v>
      </c>
      <c r="AQ47" s="16">
        <v>1.21627882806701E-4</v>
      </c>
      <c r="AR47">
        <f t="shared" si="8"/>
        <v>0.18099629173626994</v>
      </c>
      <c r="AT47" s="3">
        <v>2.0519999999999999E-9</v>
      </c>
      <c r="AU47" s="3">
        <v>1488.1151226147799</v>
      </c>
      <c r="AV47" s="16">
        <v>0</v>
      </c>
      <c r="AW47">
        <f t="shared" si="9"/>
        <v>0</v>
      </c>
    </row>
    <row r="48" spans="1:49" x14ac:dyDescent="0.3">
      <c r="A48" s="3">
        <v>2.3159999999999999E-9</v>
      </c>
      <c r="B48" s="16">
        <v>1416.9011554404599</v>
      </c>
      <c r="C48" s="16">
        <v>5.9317678602956697E-2</v>
      </c>
      <c r="D48">
        <f t="shared" si="0"/>
        <v>84.047287350575189</v>
      </c>
      <c r="F48" s="3">
        <v>2.3159999999999999E-9</v>
      </c>
      <c r="G48" s="3">
        <v>1416.9011554404599</v>
      </c>
      <c r="H48" s="16">
        <v>0</v>
      </c>
      <c r="I48">
        <f t="shared" si="1"/>
        <v>0</v>
      </c>
      <c r="K48" s="3">
        <v>2.3159999999999999E-9</v>
      </c>
      <c r="L48" s="3">
        <v>1416.9011554404599</v>
      </c>
      <c r="M48" s="16">
        <v>0</v>
      </c>
      <c r="N48">
        <f t="shared" si="2"/>
        <v>0</v>
      </c>
      <c r="P48" s="3">
        <v>2.3159999999999999E-9</v>
      </c>
      <c r="Q48" s="3">
        <v>1416.9011554404599</v>
      </c>
      <c r="R48" s="16">
        <v>0</v>
      </c>
      <c r="S48">
        <f t="shared" si="3"/>
        <v>0</v>
      </c>
      <c r="U48" s="3">
        <v>2.3159999999999999E-9</v>
      </c>
      <c r="V48" s="3">
        <v>1416.9011554404599</v>
      </c>
      <c r="W48" s="16">
        <v>0</v>
      </c>
      <c r="X48">
        <f t="shared" si="4"/>
        <v>0</v>
      </c>
      <c r="Z48" s="3">
        <v>2.3159999999999999E-9</v>
      </c>
      <c r="AA48" s="3">
        <v>1416.9011554404599</v>
      </c>
      <c r="AB48" s="16">
        <v>0</v>
      </c>
      <c r="AC48">
        <f t="shared" si="5"/>
        <v>0</v>
      </c>
      <c r="AE48" s="3">
        <v>2.3159999999999999E-9</v>
      </c>
      <c r="AF48" s="3">
        <v>1416.9011554404599</v>
      </c>
      <c r="AG48" s="16">
        <v>0</v>
      </c>
      <c r="AH48">
        <f t="shared" si="6"/>
        <v>0</v>
      </c>
      <c r="AJ48" s="3">
        <v>2.3159999999999999E-9</v>
      </c>
      <c r="AK48" s="3">
        <v>1416.9011554404599</v>
      </c>
      <c r="AL48" s="16">
        <v>8.7752922024797401E-3</v>
      </c>
      <c r="AM48">
        <f t="shared" si="7"/>
        <v>12.433721661021202</v>
      </c>
      <c r="AO48" s="3">
        <v>2.3159999999999999E-9</v>
      </c>
      <c r="AP48" s="3">
        <v>1416.9011554404599</v>
      </c>
      <c r="AQ48" s="16">
        <v>1.1580794036760199E-4</v>
      </c>
      <c r="AR48">
        <f t="shared" si="8"/>
        <v>0.16408840451603515</v>
      </c>
      <c r="AT48" s="3">
        <v>2.3159999999999999E-9</v>
      </c>
      <c r="AU48" s="3">
        <v>1416.9011554404599</v>
      </c>
      <c r="AV48" s="16">
        <v>0</v>
      </c>
      <c r="AW48">
        <f t="shared" si="9"/>
        <v>0</v>
      </c>
    </row>
    <row r="49" spans="1:49" x14ac:dyDescent="0.3">
      <c r="A49" s="3">
        <v>2.6138999999999998E-9</v>
      </c>
      <c r="B49" s="16">
        <v>1349.0979629583401</v>
      </c>
      <c r="C49" s="16">
        <v>5.6483866991764699E-2</v>
      </c>
      <c r="D49">
        <f t="shared" si="0"/>
        <v>76.202269898599582</v>
      </c>
      <c r="F49" s="3">
        <v>2.6138999999999998E-9</v>
      </c>
      <c r="G49" s="3">
        <v>1349.0979629583401</v>
      </c>
      <c r="H49" s="16">
        <v>0</v>
      </c>
      <c r="I49">
        <f t="shared" si="1"/>
        <v>0</v>
      </c>
      <c r="K49" s="3">
        <v>2.6138999999999998E-9</v>
      </c>
      <c r="L49" s="3">
        <v>1349.0979629583401</v>
      </c>
      <c r="M49" s="16">
        <v>0</v>
      </c>
      <c r="N49">
        <f t="shared" si="2"/>
        <v>0</v>
      </c>
      <c r="P49" s="3">
        <v>2.6138999999999998E-9</v>
      </c>
      <c r="Q49" s="3">
        <v>1349.0979629583401</v>
      </c>
      <c r="R49" s="16">
        <v>0</v>
      </c>
      <c r="S49">
        <f t="shared" si="3"/>
        <v>0</v>
      </c>
      <c r="U49" s="3">
        <v>2.6138999999999998E-9</v>
      </c>
      <c r="V49" s="3">
        <v>1349.0979629583401</v>
      </c>
      <c r="W49" s="16">
        <v>0</v>
      </c>
      <c r="X49">
        <f t="shared" si="4"/>
        <v>0</v>
      </c>
      <c r="Z49" s="3">
        <v>2.6138999999999998E-9</v>
      </c>
      <c r="AA49" s="3">
        <v>1349.0979629583401</v>
      </c>
      <c r="AB49" s="16">
        <v>0</v>
      </c>
      <c r="AC49">
        <f t="shared" si="5"/>
        <v>0</v>
      </c>
      <c r="AE49" s="3">
        <v>2.6138999999999998E-9</v>
      </c>
      <c r="AF49" s="3">
        <v>1349.0979629583401</v>
      </c>
      <c r="AG49" s="16">
        <v>0</v>
      </c>
      <c r="AH49">
        <f t="shared" si="6"/>
        <v>0</v>
      </c>
      <c r="AJ49" s="3">
        <v>2.6138999999999998E-9</v>
      </c>
      <c r="AK49" s="3">
        <v>1349.0979629583401</v>
      </c>
      <c r="AL49" s="16">
        <v>8.3553767388666808E-3</v>
      </c>
      <c r="AM49">
        <f t="shared" si="7"/>
        <v>11.272221738154538</v>
      </c>
      <c r="AO49" s="3">
        <v>2.6138999999999998E-9</v>
      </c>
      <c r="AP49" s="3">
        <v>1349.0979629583401</v>
      </c>
      <c r="AQ49" s="16">
        <v>1.1026645088271799E-4</v>
      </c>
      <c r="AR49">
        <f t="shared" si="8"/>
        <v>0.14876024426852069</v>
      </c>
      <c r="AT49" s="3">
        <v>2.6138999999999998E-9</v>
      </c>
      <c r="AU49" s="3">
        <v>1349.0979629583401</v>
      </c>
      <c r="AV49" s="16">
        <v>0</v>
      </c>
      <c r="AW49">
        <f t="shared" si="9"/>
        <v>0</v>
      </c>
    </row>
    <row r="50" spans="1:49" x14ac:dyDescent="0.3">
      <c r="A50" s="3">
        <v>2.9501E-9</v>
      </c>
      <c r="B50" s="16">
        <v>1284.53127775705</v>
      </c>
      <c r="C50" s="16">
        <v>5.37861055121805E-2</v>
      </c>
      <c r="D50">
        <f t="shared" si="0"/>
        <v>69.089934839136731</v>
      </c>
      <c r="F50" s="3">
        <v>2.9501E-9</v>
      </c>
      <c r="G50" s="3">
        <v>1284.53127775705</v>
      </c>
      <c r="H50" s="16">
        <v>0</v>
      </c>
      <c r="I50">
        <f t="shared" si="1"/>
        <v>0</v>
      </c>
      <c r="K50" s="3">
        <v>2.9501E-9</v>
      </c>
      <c r="L50" s="3">
        <v>1284.53127775705</v>
      </c>
      <c r="M50" s="16">
        <v>0</v>
      </c>
      <c r="N50">
        <f t="shared" si="2"/>
        <v>0</v>
      </c>
      <c r="P50" s="3">
        <v>2.9501E-9</v>
      </c>
      <c r="Q50" s="3">
        <v>1284.53127775705</v>
      </c>
      <c r="R50" s="16">
        <v>0</v>
      </c>
      <c r="S50">
        <f t="shared" si="3"/>
        <v>0</v>
      </c>
      <c r="U50" s="3">
        <v>2.9501E-9</v>
      </c>
      <c r="V50" s="3">
        <v>1284.53127775705</v>
      </c>
      <c r="W50" s="16">
        <v>0</v>
      </c>
      <c r="X50">
        <f t="shared" si="4"/>
        <v>0</v>
      </c>
      <c r="Z50" s="3">
        <v>2.9501E-9</v>
      </c>
      <c r="AA50" s="3">
        <v>1284.53127775705</v>
      </c>
      <c r="AB50" s="16">
        <v>0</v>
      </c>
      <c r="AC50">
        <f t="shared" si="5"/>
        <v>0</v>
      </c>
      <c r="AE50" s="3">
        <v>2.9501E-9</v>
      </c>
      <c r="AF50" s="3">
        <v>1284.53127775705</v>
      </c>
      <c r="AG50" s="16">
        <v>0</v>
      </c>
      <c r="AH50">
        <f t="shared" si="6"/>
        <v>0</v>
      </c>
      <c r="AJ50" s="3">
        <v>2.9501E-9</v>
      </c>
      <c r="AK50" s="3">
        <v>1284.53127775705</v>
      </c>
      <c r="AL50" s="16">
        <v>7.9555062594527E-3</v>
      </c>
      <c r="AM50">
        <f t="shared" si="7"/>
        <v>10.219096620658986</v>
      </c>
      <c r="AO50" s="3">
        <v>2.9501E-9</v>
      </c>
      <c r="AP50" s="3">
        <v>1284.53127775705</v>
      </c>
      <c r="AQ50" s="16">
        <v>1.04990548538983E-4</v>
      </c>
      <c r="AR50">
        <f t="shared" si="8"/>
        <v>0.13486364346719343</v>
      </c>
      <c r="AT50" s="3">
        <v>2.9501E-9</v>
      </c>
      <c r="AU50" s="3">
        <v>1284.53127775705</v>
      </c>
      <c r="AV50" s="16">
        <v>0</v>
      </c>
      <c r="AW50">
        <f t="shared" si="9"/>
        <v>0</v>
      </c>
    </row>
    <row r="51" spans="1:49" x14ac:dyDescent="0.3">
      <c r="A51" s="3">
        <v>3.3295000000000001E-9</v>
      </c>
      <c r="B51" s="16">
        <v>1267.71489074126</v>
      </c>
      <c r="C51" s="16">
        <v>4.9995026582073103E-2</v>
      </c>
      <c r="D51">
        <f t="shared" si="0"/>
        <v>63.379439661099191</v>
      </c>
      <c r="F51" s="3">
        <v>3.3295000000000001E-9</v>
      </c>
      <c r="G51" s="3">
        <v>1267.71489074126</v>
      </c>
      <c r="H51" s="16">
        <v>0</v>
      </c>
      <c r="I51">
        <f t="shared" si="1"/>
        <v>0</v>
      </c>
      <c r="K51" s="3">
        <v>3.3295000000000001E-9</v>
      </c>
      <c r="L51" s="3">
        <v>1267.71489074126</v>
      </c>
      <c r="M51" s="16">
        <v>0</v>
      </c>
      <c r="N51">
        <f t="shared" si="2"/>
        <v>0</v>
      </c>
      <c r="P51" s="3">
        <v>3.3295000000000001E-9</v>
      </c>
      <c r="Q51" s="3">
        <v>1267.71489074126</v>
      </c>
      <c r="R51" s="16">
        <v>0</v>
      </c>
      <c r="S51">
        <f t="shared" si="3"/>
        <v>0</v>
      </c>
      <c r="U51" s="3">
        <v>3.3295000000000001E-9</v>
      </c>
      <c r="V51" s="3">
        <v>1267.71489074126</v>
      </c>
      <c r="W51" s="16">
        <v>0</v>
      </c>
      <c r="X51">
        <f t="shared" si="4"/>
        <v>0</v>
      </c>
      <c r="Z51" s="3">
        <v>3.3295000000000001E-9</v>
      </c>
      <c r="AA51" s="3">
        <v>1267.71489074126</v>
      </c>
      <c r="AB51" s="16">
        <v>0</v>
      </c>
      <c r="AC51">
        <f t="shared" si="5"/>
        <v>0</v>
      </c>
      <c r="AE51" s="3">
        <v>3.3295000000000001E-9</v>
      </c>
      <c r="AF51" s="3">
        <v>1267.71489074126</v>
      </c>
      <c r="AG51" s="16">
        <v>0</v>
      </c>
      <c r="AH51">
        <f t="shared" si="6"/>
        <v>0</v>
      </c>
      <c r="AJ51" s="3">
        <v>3.3295000000000001E-9</v>
      </c>
      <c r="AK51" s="3">
        <v>1267.71489074126</v>
      </c>
      <c r="AL51" s="16">
        <v>7.3935605654999199E-3</v>
      </c>
      <c r="AM51">
        <f t="shared" si="7"/>
        <v>9.3729268244816186</v>
      </c>
      <c r="AO51" s="3">
        <v>3.3295000000000001E-9</v>
      </c>
      <c r="AP51" s="3">
        <v>1267.71489074126</v>
      </c>
      <c r="AQ51" s="17">
        <v>9.7575704773015406E-5</v>
      </c>
      <c r="AR51">
        <f t="shared" si="8"/>
        <v>0.12369817391532467</v>
      </c>
      <c r="AT51" s="3">
        <v>3.3295000000000001E-9</v>
      </c>
      <c r="AU51" s="3">
        <v>1267.71489074126</v>
      </c>
      <c r="AV51" s="16">
        <v>0</v>
      </c>
      <c r="AW51">
        <f t="shared" si="9"/>
        <v>0</v>
      </c>
    </row>
    <row r="52" spans="1:49" x14ac:dyDescent="0.3">
      <c r="A52" s="3">
        <v>3.7578000000000004E-9</v>
      </c>
      <c r="B52" s="16">
        <v>1108.80230518331</v>
      </c>
      <c r="C52" s="16">
        <v>4.6444582970157799E-2</v>
      </c>
      <c r="D52">
        <f t="shared" si="0"/>
        <v>51.497860660588472</v>
      </c>
      <c r="F52" s="3">
        <v>3.7578000000000004E-9</v>
      </c>
      <c r="G52" s="3">
        <v>1108.80230518331</v>
      </c>
      <c r="H52" s="16">
        <v>0</v>
      </c>
      <c r="I52">
        <f t="shared" si="1"/>
        <v>0</v>
      </c>
      <c r="K52" s="3">
        <v>3.7578000000000004E-9</v>
      </c>
      <c r="L52" s="3">
        <v>1108.80230518331</v>
      </c>
      <c r="M52" s="16">
        <v>0</v>
      </c>
      <c r="N52">
        <f t="shared" si="2"/>
        <v>0</v>
      </c>
      <c r="P52" s="3">
        <v>3.7578000000000004E-9</v>
      </c>
      <c r="Q52" s="3">
        <v>1108.80230518331</v>
      </c>
      <c r="R52" s="16">
        <v>0</v>
      </c>
      <c r="S52">
        <f t="shared" si="3"/>
        <v>0</v>
      </c>
      <c r="U52" s="3">
        <v>3.7578000000000004E-9</v>
      </c>
      <c r="V52" s="3">
        <v>1108.80230518331</v>
      </c>
      <c r="W52" s="16">
        <v>0</v>
      </c>
      <c r="X52">
        <f t="shared" si="4"/>
        <v>0</v>
      </c>
      <c r="Z52" s="3">
        <v>3.7578000000000004E-9</v>
      </c>
      <c r="AA52" s="3">
        <v>1108.80230518331</v>
      </c>
      <c r="AB52" s="16">
        <v>0</v>
      </c>
      <c r="AC52">
        <f t="shared" si="5"/>
        <v>0</v>
      </c>
      <c r="AE52" s="3">
        <v>3.7578000000000004E-9</v>
      </c>
      <c r="AF52" s="3">
        <v>1108.80230518331</v>
      </c>
      <c r="AG52" s="16">
        <v>0</v>
      </c>
      <c r="AH52">
        <f t="shared" si="6"/>
        <v>0</v>
      </c>
      <c r="AJ52" s="3">
        <v>3.7578000000000004E-9</v>
      </c>
      <c r="AK52" s="3">
        <v>1108.80230518331</v>
      </c>
      <c r="AL52" s="16">
        <v>6.8671959437440503E-3</v>
      </c>
      <c r="AM52">
        <f t="shared" si="7"/>
        <v>7.6143626925688785</v>
      </c>
      <c r="AO52" s="3">
        <v>3.7578000000000004E-9</v>
      </c>
      <c r="AP52" s="3">
        <v>1108.80230518331</v>
      </c>
      <c r="AQ52" s="17">
        <v>9.0629452298646401E-5</v>
      </c>
      <c r="AR52">
        <f t="shared" si="8"/>
        <v>0.10049014562623997</v>
      </c>
      <c r="AT52" s="3">
        <v>3.7578000000000004E-9</v>
      </c>
      <c r="AU52" s="3">
        <v>1108.80230518331</v>
      </c>
      <c r="AV52" s="16">
        <v>0</v>
      </c>
      <c r="AW52">
        <f t="shared" si="9"/>
        <v>0</v>
      </c>
    </row>
    <row r="53" spans="1:49" x14ac:dyDescent="0.3">
      <c r="A53" s="3">
        <v>4.2411000000000002E-9</v>
      </c>
      <c r="B53" s="16">
        <v>1078.84287059795</v>
      </c>
      <c r="C53" s="16">
        <v>4.4228628461248302E-2</v>
      </c>
      <c r="D53">
        <f t="shared" si="0"/>
        <v>47.715740491743311</v>
      </c>
      <c r="F53" s="3">
        <v>4.2411000000000002E-9</v>
      </c>
      <c r="G53" s="3">
        <v>1078.84287059795</v>
      </c>
      <c r="H53" s="16">
        <v>0</v>
      </c>
      <c r="I53">
        <f t="shared" si="1"/>
        <v>0</v>
      </c>
      <c r="K53" s="3">
        <v>4.2411000000000002E-9</v>
      </c>
      <c r="L53" s="3">
        <v>1078.84287059795</v>
      </c>
      <c r="M53" s="16">
        <v>0</v>
      </c>
      <c r="N53">
        <f t="shared" si="2"/>
        <v>0</v>
      </c>
      <c r="P53" s="3">
        <v>4.2411000000000002E-9</v>
      </c>
      <c r="Q53" s="3">
        <v>1078.84287059795</v>
      </c>
      <c r="R53" s="16">
        <v>0</v>
      </c>
      <c r="S53">
        <f t="shared" si="3"/>
        <v>0</v>
      </c>
      <c r="U53" s="3">
        <v>4.2411000000000002E-9</v>
      </c>
      <c r="V53" s="3">
        <v>1078.84287059795</v>
      </c>
      <c r="W53" s="16">
        <v>0</v>
      </c>
      <c r="X53">
        <f t="shared" si="4"/>
        <v>0</v>
      </c>
      <c r="Z53" s="3">
        <v>4.2411000000000002E-9</v>
      </c>
      <c r="AA53" s="3">
        <v>1078.84287059795</v>
      </c>
      <c r="AB53" s="16">
        <v>0</v>
      </c>
      <c r="AC53">
        <f t="shared" si="5"/>
        <v>0</v>
      </c>
      <c r="AE53" s="3">
        <v>4.2411000000000002E-9</v>
      </c>
      <c r="AF53" s="3">
        <v>1078.84287059795</v>
      </c>
      <c r="AG53" s="16">
        <v>0</v>
      </c>
      <c r="AH53">
        <f t="shared" si="6"/>
        <v>0</v>
      </c>
      <c r="AJ53" s="3">
        <v>4.2411000000000002E-9</v>
      </c>
      <c r="AK53" s="3">
        <v>1078.84287059795</v>
      </c>
      <c r="AL53" s="16">
        <v>6.5385856282065098E-3</v>
      </c>
      <c r="AM53">
        <f t="shared" si="7"/>
        <v>7.0541064887848108</v>
      </c>
      <c r="AO53" s="3">
        <v>4.2411000000000002E-9</v>
      </c>
      <c r="AP53" s="3">
        <v>1078.84287059795</v>
      </c>
      <c r="AQ53" s="17">
        <v>8.6293213802058396E-5</v>
      </c>
      <c r="AR53">
        <f t="shared" si="8"/>
        <v>9.3096818491335318E-2</v>
      </c>
      <c r="AT53" s="3">
        <v>4.2411000000000002E-9</v>
      </c>
      <c r="AU53" s="3">
        <v>1078.84287059795</v>
      </c>
      <c r="AV53" s="16">
        <v>0</v>
      </c>
      <c r="AW53">
        <f t="shared" si="9"/>
        <v>0</v>
      </c>
    </row>
    <row r="54" spans="1:49" x14ac:dyDescent="0.3">
      <c r="A54" s="3">
        <v>4.7866999999999996E-9</v>
      </c>
      <c r="B54" s="16">
        <v>1148.95489043103</v>
      </c>
      <c r="C54" s="16">
        <v>4.2119046919890199E-2</v>
      </c>
      <c r="D54">
        <f t="shared" si="0"/>
        <v>48.392884938901851</v>
      </c>
      <c r="F54" s="3">
        <v>4.7866999999999996E-9</v>
      </c>
      <c r="G54" s="3">
        <v>1148.95489043103</v>
      </c>
      <c r="H54" s="16">
        <v>0</v>
      </c>
      <c r="I54">
        <f t="shared" si="1"/>
        <v>0</v>
      </c>
      <c r="K54" s="3">
        <v>4.7866999999999996E-9</v>
      </c>
      <c r="L54" s="3">
        <v>1148.95489043103</v>
      </c>
      <c r="M54" s="16">
        <v>0</v>
      </c>
      <c r="N54">
        <f t="shared" si="2"/>
        <v>0</v>
      </c>
      <c r="P54" s="3">
        <v>4.7866999999999996E-9</v>
      </c>
      <c r="Q54" s="3">
        <v>1148.95489043103</v>
      </c>
      <c r="R54" s="16">
        <v>0</v>
      </c>
      <c r="S54">
        <f t="shared" si="3"/>
        <v>0</v>
      </c>
      <c r="U54" s="3">
        <v>4.7866999999999996E-9</v>
      </c>
      <c r="V54" s="3">
        <v>1148.95489043103</v>
      </c>
      <c r="W54" s="16">
        <v>0</v>
      </c>
      <c r="X54">
        <f t="shared" si="4"/>
        <v>0</v>
      </c>
      <c r="Z54" s="3">
        <v>4.7866999999999996E-9</v>
      </c>
      <c r="AA54" s="3">
        <v>1148.95489043103</v>
      </c>
      <c r="AB54" s="16">
        <v>0</v>
      </c>
      <c r="AC54">
        <f t="shared" si="5"/>
        <v>0</v>
      </c>
      <c r="AE54" s="3">
        <v>4.7866999999999996E-9</v>
      </c>
      <c r="AF54" s="3">
        <v>1148.95489043103</v>
      </c>
      <c r="AG54" s="16">
        <v>0</v>
      </c>
      <c r="AH54">
        <f t="shared" si="6"/>
        <v>0</v>
      </c>
      <c r="AJ54" s="3">
        <v>4.7866999999999996E-9</v>
      </c>
      <c r="AK54" s="3">
        <v>1148.95489043103</v>
      </c>
      <c r="AL54" s="16">
        <v>6.22565842989075E-3</v>
      </c>
      <c r="AM54">
        <f t="shared" si="7"/>
        <v>7.153000699176145</v>
      </c>
      <c r="AO54" s="3">
        <v>4.7866999999999996E-9</v>
      </c>
      <c r="AP54" s="3">
        <v>1148.95489043103</v>
      </c>
      <c r="AQ54" s="17">
        <v>8.2164390591828298E-5</v>
      </c>
      <c r="AR54">
        <f t="shared" si="8"/>
        <v>9.4403178389766432E-2</v>
      </c>
      <c r="AT54" s="3">
        <v>4.7866999999999996E-9</v>
      </c>
      <c r="AU54" s="3">
        <v>1148.95489043103</v>
      </c>
      <c r="AV54" s="16">
        <v>0</v>
      </c>
      <c r="AW54">
        <f t="shared" si="9"/>
        <v>0</v>
      </c>
    </row>
    <row r="55" spans="1:49" x14ac:dyDescent="0.3">
      <c r="A55" s="3">
        <v>5.4022999999999998E-9</v>
      </c>
      <c r="B55" s="16">
        <v>1114.82568351434</v>
      </c>
      <c r="C55" s="16">
        <v>3.9155263632378902E-2</v>
      </c>
      <c r="D55">
        <f t="shared" si="0"/>
        <v>43.651293542150988</v>
      </c>
      <c r="F55" s="3">
        <v>5.4022999999999998E-9</v>
      </c>
      <c r="G55" s="3">
        <v>1114.82568351434</v>
      </c>
      <c r="H55" s="16">
        <v>0</v>
      </c>
      <c r="I55">
        <f t="shared" si="1"/>
        <v>0</v>
      </c>
      <c r="K55" s="3">
        <v>5.4022999999999998E-9</v>
      </c>
      <c r="L55" s="3">
        <v>1114.82568351434</v>
      </c>
      <c r="M55" s="16">
        <v>0</v>
      </c>
      <c r="N55">
        <f t="shared" si="2"/>
        <v>0</v>
      </c>
      <c r="P55" s="3">
        <v>5.4022999999999998E-9</v>
      </c>
      <c r="Q55" s="3">
        <v>1114.82568351434</v>
      </c>
      <c r="R55" s="16">
        <v>0</v>
      </c>
      <c r="S55">
        <f t="shared" si="3"/>
        <v>0</v>
      </c>
      <c r="U55" s="3">
        <v>5.4022999999999998E-9</v>
      </c>
      <c r="V55" s="3">
        <v>1114.82568351434</v>
      </c>
      <c r="W55" s="16">
        <v>0</v>
      </c>
      <c r="X55">
        <f t="shared" si="4"/>
        <v>0</v>
      </c>
      <c r="Z55" s="3">
        <v>5.4022999999999998E-9</v>
      </c>
      <c r="AA55" s="3">
        <v>1114.82568351434</v>
      </c>
      <c r="AB55" s="16">
        <v>0</v>
      </c>
      <c r="AC55">
        <f t="shared" si="5"/>
        <v>0</v>
      </c>
      <c r="AE55" s="3">
        <v>5.4022999999999998E-9</v>
      </c>
      <c r="AF55" s="3">
        <v>1114.82568351434</v>
      </c>
      <c r="AG55" s="16">
        <v>0</v>
      </c>
      <c r="AH55">
        <f t="shared" si="6"/>
        <v>0</v>
      </c>
      <c r="AJ55" s="3">
        <v>5.4022999999999998E-9</v>
      </c>
      <c r="AK55" s="3">
        <v>1114.82568351434</v>
      </c>
      <c r="AL55" s="16">
        <v>5.7858940210438799E-3</v>
      </c>
      <c r="AM55">
        <f t="shared" si="7"/>
        <v>6.4502632567517768</v>
      </c>
      <c r="AO55" s="3">
        <v>5.4022999999999998E-9</v>
      </c>
      <c r="AP55" s="3">
        <v>1114.82568351434</v>
      </c>
      <c r="AQ55" s="17">
        <v>7.6361587253705906E-5</v>
      </c>
      <c r="AR55">
        <f t="shared" si="8"/>
        <v>8.5129858704352593E-2</v>
      </c>
      <c r="AT55" s="3">
        <v>5.4022999999999998E-9</v>
      </c>
      <c r="AU55" s="3">
        <v>1114.82568351434</v>
      </c>
      <c r="AV55" s="16">
        <v>0</v>
      </c>
      <c r="AW55">
        <f t="shared" si="9"/>
        <v>0</v>
      </c>
    </row>
    <row r="56" spans="1:49" x14ac:dyDescent="0.3">
      <c r="A56" s="3">
        <v>6.0972E-9</v>
      </c>
      <c r="B56" s="16">
        <v>1039.60558186356</v>
      </c>
      <c r="C56" s="16">
        <v>3.6379733680719298E-2</v>
      </c>
      <c r="D56">
        <f t="shared" si="0"/>
        <v>37.820574201185536</v>
      </c>
      <c r="F56" s="3">
        <v>6.0972E-9</v>
      </c>
      <c r="G56" s="3">
        <v>1039.60558186356</v>
      </c>
      <c r="H56" s="16">
        <v>0</v>
      </c>
      <c r="I56">
        <f t="shared" si="1"/>
        <v>0</v>
      </c>
      <c r="K56" s="3">
        <v>6.0972E-9</v>
      </c>
      <c r="L56" s="3">
        <v>1039.60558186356</v>
      </c>
      <c r="M56" s="16">
        <v>0</v>
      </c>
      <c r="N56">
        <f t="shared" si="2"/>
        <v>0</v>
      </c>
      <c r="P56" s="3">
        <v>6.0972E-9</v>
      </c>
      <c r="Q56" s="3">
        <v>1039.60558186356</v>
      </c>
      <c r="R56" s="16">
        <v>0</v>
      </c>
      <c r="S56">
        <f t="shared" si="3"/>
        <v>0</v>
      </c>
      <c r="U56" s="3">
        <v>6.0972E-9</v>
      </c>
      <c r="V56" s="3">
        <v>1039.60558186356</v>
      </c>
      <c r="W56" s="16">
        <v>0</v>
      </c>
      <c r="X56">
        <f t="shared" si="4"/>
        <v>0</v>
      </c>
      <c r="Z56" s="3">
        <v>6.0972E-9</v>
      </c>
      <c r="AA56" s="3">
        <v>1039.60558186356</v>
      </c>
      <c r="AB56" s="16">
        <v>0</v>
      </c>
      <c r="AC56">
        <f t="shared" si="5"/>
        <v>0</v>
      </c>
      <c r="AE56" s="3">
        <v>6.0972E-9</v>
      </c>
      <c r="AF56" s="3">
        <v>1039.60558186356</v>
      </c>
      <c r="AG56" s="16">
        <v>0</v>
      </c>
      <c r="AH56">
        <f t="shared" si="6"/>
        <v>0</v>
      </c>
      <c r="AJ56" s="3">
        <v>6.0972E-9</v>
      </c>
      <c r="AK56" s="3">
        <v>1039.60558186356</v>
      </c>
      <c r="AL56" s="16">
        <v>5.3739671452656601E-3</v>
      </c>
      <c r="AM56">
        <f t="shared" si="7"/>
        <v>5.5868062409695609</v>
      </c>
      <c r="AO56" s="3">
        <v>6.0972E-9</v>
      </c>
      <c r="AP56" s="3">
        <v>1039.60558186356</v>
      </c>
      <c r="AQ56" s="17">
        <v>7.0926102878619704E-5</v>
      </c>
      <c r="AR56">
        <f t="shared" si="8"/>
        <v>7.3735172452442155E-2</v>
      </c>
      <c r="AT56" s="3">
        <v>6.0972E-9</v>
      </c>
      <c r="AU56" s="3">
        <v>1039.60558186356</v>
      </c>
      <c r="AV56" s="16">
        <v>0</v>
      </c>
      <c r="AW56">
        <f t="shared" si="9"/>
        <v>0</v>
      </c>
    </row>
    <row r="57" spans="1:49" x14ac:dyDescent="0.3">
      <c r="A57" s="3">
        <v>6.8815000000000003E-9</v>
      </c>
      <c r="B57" s="16">
        <v>1045.4803850199501</v>
      </c>
      <c r="C57" s="16">
        <v>3.4647195145354803E-2</v>
      </c>
      <c r="D57">
        <f t="shared" si="0"/>
        <v>36.222962920426887</v>
      </c>
      <c r="F57" s="3">
        <v>6.8815000000000003E-9</v>
      </c>
      <c r="G57" s="3">
        <v>1045.4803850199501</v>
      </c>
      <c r="H57" s="16">
        <v>0</v>
      </c>
      <c r="I57">
        <f t="shared" si="1"/>
        <v>0</v>
      </c>
      <c r="K57" s="3">
        <v>6.8815000000000003E-9</v>
      </c>
      <c r="L57" s="3">
        <v>1045.4803850199501</v>
      </c>
      <c r="M57" s="16">
        <v>0</v>
      </c>
      <c r="N57">
        <f t="shared" si="2"/>
        <v>0</v>
      </c>
      <c r="P57" s="3">
        <v>6.8815000000000003E-9</v>
      </c>
      <c r="Q57" s="3">
        <v>1045.4803850199501</v>
      </c>
      <c r="R57" s="16">
        <v>0</v>
      </c>
      <c r="S57">
        <f t="shared" si="3"/>
        <v>0</v>
      </c>
      <c r="U57" s="3">
        <v>6.8815000000000003E-9</v>
      </c>
      <c r="V57" s="3">
        <v>1045.4803850199501</v>
      </c>
      <c r="W57" s="16">
        <v>0</v>
      </c>
      <c r="X57">
        <f t="shared" si="4"/>
        <v>0</v>
      </c>
      <c r="Z57" s="3">
        <v>6.8815000000000003E-9</v>
      </c>
      <c r="AA57" s="3">
        <v>1045.4803850199501</v>
      </c>
      <c r="AB57" s="16">
        <v>0</v>
      </c>
      <c r="AC57">
        <f t="shared" si="5"/>
        <v>0</v>
      </c>
      <c r="AE57" s="3">
        <v>6.8815000000000003E-9</v>
      </c>
      <c r="AF57" s="3">
        <v>1045.4803850199501</v>
      </c>
      <c r="AG57" s="16">
        <v>0</v>
      </c>
      <c r="AH57">
        <f t="shared" si="6"/>
        <v>0</v>
      </c>
      <c r="AJ57" s="3">
        <v>6.8815000000000003E-9</v>
      </c>
      <c r="AK57" s="3">
        <v>1045.4803850199501</v>
      </c>
      <c r="AL57" s="16">
        <v>5.1168130325698396E-3</v>
      </c>
      <c r="AM57">
        <f t="shared" si="7"/>
        <v>5.3495276593662142</v>
      </c>
      <c r="AO57" s="3">
        <v>6.8815000000000003E-9</v>
      </c>
      <c r="AP57" s="3">
        <v>1045.4803850199501</v>
      </c>
      <c r="AQ57" s="17">
        <v>6.7532652783780105E-5</v>
      </c>
      <c r="AR57">
        <f t="shared" si="8"/>
        <v>7.060406383380502E-2</v>
      </c>
      <c r="AT57" s="3">
        <v>6.8815000000000003E-9</v>
      </c>
      <c r="AU57" s="3">
        <v>1045.4803850199501</v>
      </c>
      <c r="AV57" s="16">
        <v>0</v>
      </c>
      <c r="AW57">
        <f t="shared" si="9"/>
        <v>0</v>
      </c>
    </row>
    <row r="58" spans="1:49" x14ac:dyDescent="0.3">
      <c r="A58" s="3">
        <v>7.7665999999999992E-9</v>
      </c>
      <c r="B58" s="16">
        <v>1209.45855231667</v>
      </c>
      <c r="C58" s="16">
        <v>3.2997609646870901E-2</v>
      </c>
      <c r="D58">
        <f t="shared" si="0"/>
        <v>39.909241193415063</v>
      </c>
      <c r="F58" s="3">
        <v>7.7665999999999992E-9</v>
      </c>
      <c r="G58" s="3">
        <v>1209.45855231667</v>
      </c>
      <c r="H58" s="16">
        <v>0</v>
      </c>
      <c r="I58">
        <f t="shared" si="1"/>
        <v>0</v>
      </c>
      <c r="K58" s="3">
        <v>7.7665999999999992E-9</v>
      </c>
      <c r="L58" s="3">
        <v>1209.45855231667</v>
      </c>
      <c r="M58" s="16">
        <v>0</v>
      </c>
      <c r="N58">
        <f t="shared" si="2"/>
        <v>0</v>
      </c>
      <c r="P58" s="3">
        <v>7.7665999999999992E-9</v>
      </c>
      <c r="Q58" s="3">
        <v>1209.45855231667</v>
      </c>
      <c r="R58" s="16">
        <v>0</v>
      </c>
      <c r="S58">
        <f t="shared" si="3"/>
        <v>0</v>
      </c>
      <c r="U58" s="3">
        <v>7.7665999999999992E-9</v>
      </c>
      <c r="V58" s="3">
        <v>1209.45855231667</v>
      </c>
      <c r="W58" s="16">
        <v>0</v>
      </c>
      <c r="X58">
        <f t="shared" si="4"/>
        <v>0</v>
      </c>
      <c r="Z58" s="3">
        <v>7.7665999999999992E-9</v>
      </c>
      <c r="AA58" s="3">
        <v>1209.45855231667</v>
      </c>
      <c r="AB58" s="16">
        <v>0</v>
      </c>
      <c r="AC58">
        <f t="shared" si="5"/>
        <v>0</v>
      </c>
      <c r="AE58" s="3">
        <v>7.7665999999999992E-9</v>
      </c>
      <c r="AF58" s="3">
        <v>1209.45855231667</v>
      </c>
      <c r="AG58" s="16">
        <v>0</v>
      </c>
      <c r="AH58">
        <f t="shared" si="6"/>
        <v>0</v>
      </c>
      <c r="AJ58" s="3">
        <v>7.7665999999999992E-9</v>
      </c>
      <c r="AK58" s="3">
        <v>1209.45855231667</v>
      </c>
      <c r="AL58" s="16">
        <v>4.8719701668931198E-3</v>
      </c>
      <c r="AM58">
        <f t="shared" si="7"/>
        <v>5.8924459849805579</v>
      </c>
      <c r="AO58" s="3">
        <v>7.7665999999999992E-9</v>
      </c>
      <c r="AP58" s="3">
        <v>1209.45855231667</v>
      </c>
      <c r="AQ58" s="17">
        <v>6.4301679528231895E-5</v>
      </c>
      <c r="AR58">
        <f t="shared" si="8"/>
        <v>7.7770216233745804E-2</v>
      </c>
      <c r="AT58" s="3">
        <v>7.7665999999999992E-9</v>
      </c>
      <c r="AU58" s="3">
        <v>1209.45855231667</v>
      </c>
      <c r="AV58" s="16">
        <v>0</v>
      </c>
      <c r="AW58">
        <f t="shared" si="9"/>
        <v>0</v>
      </c>
    </row>
    <row r="59" spans="1:49" x14ac:dyDescent="0.3">
      <c r="A59" s="3">
        <v>8.7655E-9</v>
      </c>
      <c r="B59" s="16">
        <v>1219.03874634669</v>
      </c>
      <c r="C59" s="16">
        <v>3.0679841011876301E-2</v>
      </c>
      <c r="D59">
        <f t="shared" si="0"/>
        <v>37.399914925233453</v>
      </c>
      <c r="F59" s="3">
        <v>8.7655E-9</v>
      </c>
      <c r="G59" s="3">
        <v>1219.03874634669</v>
      </c>
      <c r="H59" s="16">
        <v>0</v>
      </c>
      <c r="I59">
        <f t="shared" si="1"/>
        <v>0</v>
      </c>
      <c r="K59" s="3">
        <v>8.7655E-9</v>
      </c>
      <c r="L59" s="3">
        <v>1219.03874634669</v>
      </c>
      <c r="M59" s="16">
        <v>0</v>
      </c>
      <c r="N59">
        <f t="shared" si="2"/>
        <v>0</v>
      </c>
      <c r="P59" s="3">
        <v>8.7655E-9</v>
      </c>
      <c r="Q59" s="3">
        <v>1219.03874634669</v>
      </c>
      <c r="R59" s="16">
        <v>0</v>
      </c>
      <c r="S59">
        <f t="shared" si="3"/>
        <v>0</v>
      </c>
      <c r="U59" s="3">
        <v>8.7655E-9</v>
      </c>
      <c r="V59" s="3">
        <v>1219.03874634669</v>
      </c>
      <c r="W59" s="16">
        <v>0</v>
      </c>
      <c r="X59">
        <f t="shared" si="4"/>
        <v>0</v>
      </c>
      <c r="Z59" s="3">
        <v>8.7655E-9</v>
      </c>
      <c r="AA59" s="3">
        <v>1219.03874634669</v>
      </c>
      <c r="AB59" s="16">
        <v>0</v>
      </c>
      <c r="AC59">
        <f t="shared" si="5"/>
        <v>0</v>
      </c>
      <c r="AE59" s="3">
        <v>8.7655E-9</v>
      </c>
      <c r="AF59" s="3">
        <v>1219.03874634669</v>
      </c>
      <c r="AG59" s="16">
        <v>0</v>
      </c>
      <c r="AH59">
        <f t="shared" si="6"/>
        <v>0</v>
      </c>
      <c r="AJ59" s="3">
        <v>8.7655E-9</v>
      </c>
      <c r="AK59" s="3">
        <v>1219.03874634669</v>
      </c>
      <c r="AL59" s="16">
        <v>4.5278409167672203E-3</v>
      </c>
      <c r="AM59">
        <f t="shared" si="7"/>
        <v>5.5196135148331598</v>
      </c>
      <c r="AO59" s="3">
        <v>8.7655E-9</v>
      </c>
      <c r="AP59" s="3">
        <v>1219.03874634669</v>
      </c>
      <c r="AQ59" s="17">
        <v>5.9760828654561002E-5</v>
      </c>
      <c r="AR59">
        <f t="shared" si="8"/>
        <v>7.2850765643695387E-2</v>
      </c>
      <c r="AT59" s="3">
        <v>8.7655E-9</v>
      </c>
      <c r="AU59" s="3">
        <v>1219.03874634669</v>
      </c>
      <c r="AV59" s="16">
        <v>0</v>
      </c>
      <c r="AW59">
        <f t="shared" si="9"/>
        <v>0</v>
      </c>
    </row>
    <row r="60" spans="1:49" x14ac:dyDescent="0.3">
      <c r="A60" s="3">
        <v>9.8929999999999996E-9</v>
      </c>
      <c r="B60" s="16">
        <v>1415.92115205653</v>
      </c>
      <c r="C60" s="16">
        <v>2.8509564306679998E-2</v>
      </c>
      <c r="D60">
        <f t="shared" si="0"/>
        <v>40.367295137744073</v>
      </c>
      <c r="F60" s="3">
        <v>9.8929999999999996E-9</v>
      </c>
      <c r="G60" s="3">
        <v>1415.92115205653</v>
      </c>
      <c r="H60" s="16">
        <v>0</v>
      </c>
      <c r="I60">
        <f t="shared" si="1"/>
        <v>0</v>
      </c>
      <c r="K60" s="3">
        <v>9.8929999999999996E-9</v>
      </c>
      <c r="L60" s="3">
        <v>1415.92115205653</v>
      </c>
      <c r="M60" s="16">
        <v>0</v>
      </c>
      <c r="N60">
        <f t="shared" si="2"/>
        <v>0</v>
      </c>
      <c r="P60" s="3">
        <v>9.8929999999999996E-9</v>
      </c>
      <c r="Q60" s="3">
        <v>1415.92115205653</v>
      </c>
      <c r="R60" s="16">
        <v>0</v>
      </c>
      <c r="S60">
        <f t="shared" si="3"/>
        <v>0</v>
      </c>
      <c r="U60" s="3">
        <v>9.8929999999999996E-9</v>
      </c>
      <c r="V60" s="3">
        <v>1415.92115205653</v>
      </c>
      <c r="W60" s="16">
        <v>0</v>
      </c>
      <c r="X60">
        <f t="shared" si="4"/>
        <v>0</v>
      </c>
      <c r="Z60" s="3">
        <v>9.8929999999999996E-9</v>
      </c>
      <c r="AA60" s="3">
        <v>1415.92115205653</v>
      </c>
      <c r="AB60" s="16">
        <v>0</v>
      </c>
      <c r="AC60">
        <f t="shared" si="5"/>
        <v>0</v>
      </c>
      <c r="AE60" s="3">
        <v>9.8929999999999996E-9</v>
      </c>
      <c r="AF60" s="3">
        <v>1415.92115205653</v>
      </c>
      <c r="AG60" s="16">
        <v>0</v>
      </c>
      <c r="AH60">
        <f t="shared" si="6"/>
        <v>0</v>
      </c>
      <c r="AJ60" s="3">
        <v>9.8929999999999996E-9</v>
      </c>
      <c r="AK60" s="3">
        <v>1415.92115205653</v>
      </c>
      <c r="AL60" s="16">
        <v>4.2054964966572001E-3</v>
      </c>
      <c r="AM60">
        <f t="shared" si="7"/>
        <v>5.9546514445165633</v>
      </c>
      <c r="AO60" s="3">
        <v>9.8929999999999996E-9</v>
      </c>
      <c r="AP60" s="3">
        <v>1415.92115205653</v>
      </c>
      <c r="AQ60" s="17">
        <v>5.5507344905587302E-5</v>
      </c>
      <c r="AR60">
        <f t="shared" si="8"/>
        <v>7.8594023746318339E-2</v>
      </c>
      <c r="AT60" s="3">
        <v>9.8929999999999996E-9</v>
      </c>
      <c r="AU60" s="3">
        <v>1415.92115205653</v>
      </c>
      <c r="AV60" s="16">
        <v>0</v>
      </c>
      <c r="AW60">
        <f t="shared" si="9"/>
        <v>0</v>
      </c>
    </row>
    <row r="61" spans="1:49" x14ac:dyDescent="0.3">
      <c r="A61" s="3">
        <v>1.1164999999999999E-8</v>
      </c>
      <c r="B61" s="16">
        <v>1249.6207792668099</v>
      </c>
      <c r="C61" s="16">
        <v>2.71551414458895E-2</v>
      </c>
      <c r="D61">
        <f t="shared" si="0"/>
        <v>33.933629014712885</v>
      </c>
      <c r="F61" s="3">
        <v>1.1164999999999999E-8</v>
      </c>
      <c r="G61" s="3">
        <v>1249.6207792668099</v>
      </c>
      <c r="H61" s="16">
        <v>0</v>
      </c>
      <c r="I61">
        <f t="shared" si="1"/>
        <v>0</v>
      </c>
      <c r="K61" s="3">
        <v>1.1164999999999999E-8</v>
      </c>
      <c r="L61" s="3">
        <v>1249.6207792668099</v>
      </c>
      <c r="M61" s="16">
        <v>0</v>
      </c>
      <c r="N61">
        <f t="shared" si="2"/>
        <v>0</v>
      </c>
      <c r="P61" s="3">
        <v>1.1164999999999999E-8</v>
      </c>
      <c r="Q61" s="3">
        <v>1249.6207792668099</v>
      </c>
      <c r="R61" s="16">
        <v>0</v>
      </c>
      <c r="S61">
        <f t="shared" si="3"/>
        <v>0</v>
      </c>
      <c r="U61" s="3">
        <v>1.1164999999999999E-8</v>
      </c>
      <c r="V61" s="3">
        <v>1249.6207792668099</v>
      </c>
      <c r="W61" s="16">
        <v>0</v>
      </c>
      <c r="X61">
        <f t="shared" si="4"/>
        <v>0</v>
      </c>
      <c r="Z61" s="3">
        <v>1.1164999999999999E-8</v>
      </c>
      <c r="AA61" s="3">
        <v>1249.6207792668099</v>
      </c>
      <c r="AB61" s="16">
        <v>0</v>
      </c>
      <c r="AC61">
        <f t="shared" si="5"/>
        <v>0</v>
      </c>
      <c r="AE61" s="3">
        <v>1.1164999999999999E-8</v>
      </c>
      <c r="AF61" s="3">
        <v>1249.6207792668099</v>
      </c>
      <c r="AG61" s="16">
        <v>0</v>
      </c>
      <c r="AH61">
        <f t="shared" si="6"/>
        <v>0</v>
      </c>
      <c r="AJ61" s="3">
        <v>1.1164999999999999E-8</v>
      </c>
      <c r="AK61" s="3">
        <v>1249.6207792668099</v>
      </c>
      <c r="AL61" s="16">
        <v>4.0042575978311498E-3</v>
      </c>
      <c r="AM61">
        <f t="shared" si="7"/>
        <v>5.0038034997868062</v>
      </c>
      <c r="AO61" s="3">
        <v>1.1164999999999999E-8</v>
      </c>
      <c r="AP61" s="3">
        <v>1249.6207792668099</v>
      </c>
      <c r="AQ61" s="17">
        <v>5.2852024886080801E-5</v>
      </c>
      <c r="AR61">
        <f t="shared" si="8"/>
        <v>6.6044988523973114E-2</v>
      </c>
      <c r="AT61" s="3">
        <v>1.1164999999999999E-8</v>
      </c>
      <c r="AU61" s="3">
        <v>1249.6207792668099</v>
      </c>
      <c r="AV61" s="16">
        <v>0</v>
      </c>
      <c r="AW61">
        <f t="shared" si="9"/>
        <v>0</v>
      </c>
    </row>
    <row r="62" spans="1:49" x14ac:dyDescent="0.3">
      <c r="A62" s="3">
        <v>1.2601999999999999E-8</v>
      </c>
      <c r="B62" s="16">
        <v>1630.3087147848601</v>
      </c>
      <c r="C62" s="16">
        <v>2.5866151368500401E-2</v>
      </c>
      <c r="D62">
        <f t="shared" si="0"/>
        <v>42.169811994010537</v>
      </c>
      <c r="F62" s="3">
        <v>1.2601999999999999E-8</v>
      </c>
      <c r="G62" s="3">
        <v>1630.3087147848601</v>
      </c>
      <c r="H62" s="16">
        <v>0</v>
      </c>
      <c r="I62">
        <f t="shared" si="1"/>
        <v>0</v>
      </c>
      <c r="K62" s="3">
        <v>1.2601999999999999E-8</v>
      </c>
      <c r="L62" s="3">
        <v>1630.3087147848601</v>
      </c>
      <c r="M62" s="16">
        <v>0</v>
      </c>
      <c r="N62">
        <f t="shared" si="2"/>
        <v>0</v>
      </c>
      <c r="P62" s="3">
        <v>1.2601999999999999E-8</v>
      </c>
      <c r="Q62" s="3">
        <v>1630.3087147848601</v>
      </c>
      <c r="R62" s="16">
        <v>0</v>
      </c>
      <c r="S62">
        <f t="shared" si="3"/>
        <v>0</v>
      </c>
      <c r="U62" s="3">
        <v>1.2601999999999999E-8</v>
      </c>
      <c r="V62" s="3">
        <v>1630.3087147848601</v>
      </c>
      <c r="W62" s="16">
        <v>0</v>
      </c>
      <c r="X62">
        <f t="shared" si="4"/>
        <v>0</v>
      </c>
      <c r="Z62" s="3">
        <v>1.2601999999999999E-8</v>
      </c>
      <c r="AA62" s="3">
        <v>1630.3087147848601</v>
      </c>
      <c r="AB62" s="16">
        <v>0</v>
      </c>
      <c r="AC62">
        <f t="shared" si="5"/>
        <v>0</v>
      </c>
      <c r="AE62" s="3">
        <v>1.2601999999999999E-8</v>
      </c>
      <c r="AF62" s="3">
        <v>1630.3087147848601</v>
      </c>
      <c r="AG62" s="16">
        <v>0</v>
      </c>
      <c r="AH62">
        <f t="shared" si="6"/>
        <v>0</v>
      </c>
      <c r="AJ62" s="3">
        <v>1.2601999999999999E-8</v>
      </c>
      <c r="AK62" s="3">
        <v>1630.3087147848601</v>
      </c>
      <c r="AL62" s="16">
        <v>3.8126540141482299E-3</v>
      </c>
      <c r="AM62">
        <f t="shared" si="7"/>
        <v>6.2158030657253383</v>
      </c>
      <c r="AO62" s="3">
        <v>1.2601999999999999E-8</v>
      </c>
      <c r="AP62" s="3">
        <v>1630.3087147848601</v>
      </c>
      <c r="AQ62" s="17">
        <v>5.0323984517263598E-5</v>
      </c>
      <c r="AR62">
        <f t="shared" si="8"/>
        <v>8.2043630521193206E-2</v>
      </c>
      <c r="AT62" s="3">
        <v>1.2601999999999999E-8</v>
      </c>
      <c r="AU62" s="3">
        <v>1630.3087147848601</v>
      </c>
      <c r="AV62" s="16">
        <v>0</v>
      </c>
      <c r="AW62">
        <f t="shared" si="9"/>
        <v>0</v>
      </c>
    </row>
    <row r="63" spans="1:49" x14ac:dyDescent="0.3">
      <c r="A63" s="3">
        <v>1.4222999999999999E-8</v>
      </c>
      <c r="B63" s="16">
        <v>1763.5452417220199</v>
      </c>
      <c r="C63" s="16">
        <v>2.4055397415818601E-2</v>
      </c>
      <c r="D63">
        <f t="shared" si="0"/>
        <v>42.422781650399067</v>
      </c>
      <c r="F63" s="3">
        <v>1.4222999999999999E-8</v>
      </c>
      <c r="G63" s="3">
        <v>1763.5452417220199</v>
      </c>
      <c r="H63" s="16">
        <v>0</v>
      </c>
      <c r="I63">
        <f t="shared" si="1"/>
        <v>0</v>
      </c>
      <c r="K63" s="3">
        <v>1.4222999999999999E-8</v>
      </c>
      <c r="L63" s="3">
        <v>1763.5452417220199</v>
      </c>
      <c r="M63" s="16">
        <v>0</v>
      </c>
      <c r="N63">
        <f t="shared" si="2"/>
        <v>0</v>
      </c>
      <c r="P63" s="3">
        <v>1.4222999999999999E-8</v>
      </c>
      <c r="Q63" s="3">
        <v>1763.5452417220199</v>
      </c>
      <c r="R63" s="16">
        <v>0</v>
      </c>
      <c r="S63">
        <f t="shared" si="3"/>
        <v>0</v>
      </c>
      <c r="U63" s="3">
        <v>1.4222999999999999E-8</v>
      </c>
      <c r="V63" s="3">
        <v>1763.5452417220199</v>
      </c>
      <c r="W63" s="16">
        <v>0</v>
      </c>
      <c r="X63">
        <f t="shared" si="4"/>
        <v>0</v>
      </c>
      <c r="Z63" s="3">
        <v>1.4222999999999999E-8</v>
      </c>
      <c r="AA63" s="3">
        <v>1763.5452417220199</v>
      </c>
      <c r="AB63" s="16">
        <v>0</v>
      </c>
      <c r="AC63">
        <f t="shared" si="5"/>
        <v>0</v>
      </c>
      <c r="AE63" s="3">
        <v>1.4222999999999999E-8</v>
      </c>
      <c r="AF63" s="3">
        <v>1763.5452417220199</v>
      </c>
      <c r="AG63" s="16">
        <v>0</v>
      </c>
      <c r="AH63">
        <f t="shared" si="6"/>
        <v>0</v>
      </c>
      <c r="AJ63" s="3">
        <v>1.4222999999999999E-8</v>
      </c>
      <c r="AK63" s="3">
        <v>1763.5452417220199</v>
      </c>
      <c r="AL63" s="16">
        <v>3.5433675399891302E-3</v>
      </c>
      <c r="AM63">
        <f t="shared" si="7"/>
        <v>6.2488889648200896</v>
      </c>
      <c r="AO63" s="3">
        <v>1.4222999999999999E-8</v>
      </c>
      <c r="AP63" s="3">
        <v>1763.5452417220199</v>
      </c>
      <c r="AQ63" s="17">
        <v>4.6771274036398997E-5</v>
      </c>
      <c r="AR63">
        <f t="shared" si="8"/>
        <v>8.2483257776168106E-2</v>
      </c>
      <c r="AT63" s="3">
        <v>1.4222999999999999E-8</v>
      </c>
      <c r="AU63" s="3">
        <v>1763.5452417220199</v>
      </c>
      <c r="AV63" s="16">
        <v>0</v>
      </c>
      <c r="AW63">
        <f t="shared" si="9"/>
        <v>0</v>
      </c>
    </row>
    <row r="64" spans="1:49" x14ac:dyDescent="0.3">
      <c r="A64" s="3">
        <v>1.6052E-8</v>
      </c>
      <c r="B64" s="16">
        <v>1956.4322690051199</v>
      </c>
      <c r="C64" s="16">
        <v>2.2360491669814801E-2</v>
      </c>
      <c r="D64">
        <f t="shared" si="0"/>
        <v>43.746787453645851</v>
      </c>
      <c r="F64" s="3">
        <v>1.6052E-8</v>
      </c>
      <c r="G64" s="3">
        <v>1956.4322690051199</v>
      </c>
      <c r="H64" s="16">
        <v>0</v>
      </c>
      <c r="I64">
        <f t="shared" si="1"/>
        <v>0</v>
      </c>
      <c r="K64" s="3">
        <v>1.6052E-8</v>
      </c>
      <c r="L64" s="3">
        <v>1956.4322690051199</v>
      </c>
      <c r="M64" s="16">
        <v>0</v>
      </c>
      <c r="N64">
        <f t="shared" si="2"/>
        <v>0</v>
      </c>
      <c r="P64" s="3">
        <v>1.6052E-8</v>
      </c>
      <c r="Q64" s="3">
        <v>1956.4322690051199</v>
      </c>
      <c r="R64" s="16">
        <v>0</v>
      </c>
      <c r="S64">
        <f t="shared" si="3"/>
        <v>0</v>
      </c>
      <c r="U64" s="3">
        <v>1.6052E-8</v>
      </c>
      <c r="V64" s="3">
        <v>1956.4322690051199</v>
      </c>
      <c r="W64" s="16">
        <v>0</v>
      </c>
      <c r="X64">
        <f t="shared" si="4"/>
        <v>0</v>
      </c>
      <c r="Z64" s="3">
        <v>1.6052E-8</v>
      </c>
      <c r="AA64" s="3">
        <v>1956.4322690051199</v>
      </c>
      <c r="AB64" s="16">
        <v>0</v>
      </c>
      <c r="AC64">
        <f t="shared" si="5"/>
        <v>0</v>
      </c>
      <c r="AE64" s="3">
        <v>1.6052E-8</v>
      </c>
      <c r="AF64" s="3">
        <v>1956.4322690051199</v>
      </c>
      <c r="AG64" s="16">
        <v>0</v>
      </c>
      <c r="AH64">
        <f t="shared" si="6"/>
        <v>0</v>
      </c>
      <c r="AJ64" s="3">
        <v>1.6052E-8</v>
      </c>
      <c r="AK64" s="3">
        <v>1956.4322690051199</v>
      </c>
      <c r="AL64" s="16">
        <v>3.2911217528863099E-3</v>
      </c>
      <c r="AM64">
        <f t="shared" si="7"/>
        <v>6.4388567985714706</v>
      </c>
      <c r="AO64" s="3">
        <v>1.6052E-8</v>
      </c>
      <c r="AP64" s="3">
        <v>1956.4322690051199</v>
      </c>
      <c r="AQ64" s="17">
        <v>4.3443899081520101E-5</v>
      </c>
      <c r="AR64">
        <f t="shared" si="8"/>
        <v>8.4995046054487822E-2</v>
      </c>
      <c r="AT64" s="3">
        <v>1.6052E-8</v>
      </c>
      <c r="AU64" s="3">
        <v>1956.4322690051199</v>
      </c>
      <c r="AV64" s="16">
        <v>0</v>
      </c>
      <c r="AW64">
        <f t="shared" si="9"/>
        <v>0</v>
      </c>
    </row>
    <row r="65" spans="1:49" x14ac:dyDescent="0.3">
      <c r="A65" s="3">
        <v>1.8116999999999999E-8</v>
      </c>
      <c r="B65" s="16">
        <v>2014.9983824240301</v>
      </c>
      <c r="C65" s="16">
        <v>2.13031980057816E-2</v>
      </c>
      <c r="D65">
        <f t="shared" si="0"/>
        <v>42.925909522108746</v>
      </c>
      <c r="F65" s="3">
        <v>1.8116999999999999E-8</v>
      </c>
      <c r="G65" s="3">
        <v>2014.9983824240301</v>
      </c>
      <c r="H65" s="16">
        <v>0</v>
      </c>
      <c r="I65">
        <f t="shared" si="1"/>
        <v>0</v>
      </c>
      <c r="K65" s="3">
        <v>1.8116999999999999E-8</v>
      </c>
      <c r="L65" s="3">
        <v>2014.9983824240301</v>
      </c>
      <c r="M65" s="16">
        <v>0</v>
      </c>
      <c r="N65">
        <f t="shared" si="2"/>
        <v>0</v>
      </c>
      <c r="P65" s="3">
        <v>1.8116999999999999E-8</v>
      </c>
      <c r="Q65" s="3">
        <v>2014.9983824240301</v>
      </c>
      <c r="R65" s="16">
        <v>0</v>
      </c>
      <c r="S65">
        <f t="shared" si="3"/>
        <v>0</v>
      </c>
      <c r="U65" s="3">
        <v>1.8116999999999999E-8</v>
      </c>
      <c r="V65" s="3">
        <v>2014.9983824240301</v>
      </c>
      <c r="W65" s="16">
        <v>0</v>
      </c>
      <c r="X65">
        <f t="shared" si="4"/>
        <v>0</v>
      </c>
      <c r="Z65" s="3">
        <v>1.8116999999999999E-8</v>
      </c>
      <c r="AA65" s="3">
        <v>2014.9983824240301</v>
      </c>
      <c r="AB65" s="16">
        <v>0</v>
      </c>
      <c r="AC65">
        <f t="shared" si="5"/>
        <v>0</v>
      </c>
      <c r="AE65" s="3">
        <v>1.8116999999999999E-8</v>
      </c>
      <c r="AF65" s="3">
        <v>2014.9983824240301</v>
      </c>
      <c r="AG65" s="16">
        <v>0</v>
      </c>
      <c r="AH65">
        <f t="shared" si="6"/>
        <v>0</v>
      </c>
      <c r="AJ65" s="3">
        <v>1.8116999999999999E-8</v>
      </c>
      <c r="AK65" s="3">
        <v>2014.9983824240301</v>
      </c>
      <c r="AL65" s="16">
        <v>3.1336485530572798E-3</v>
      </c>
      <c r="AM65">
        <f t="shared" si="7"/>
        <v>6.3142967654958211</v>
      </c>
      <c r="AO65" s="3">
        <v>1.8116999999999999E-8</v>
      </c>
      <c r="AP65" s="3">
        <v>2014.9983824240301</v>
      </c>
      <c r="AQ65" s="17">
        <v>4.1366713562003698E-5</v>
      </c>
      <c r="AR65">
        <f t="shared" si="8"/>
        <v>8.3353860913635641E-2</v>
      </c>
      <c r="AT65" s="3">
        <v>1.8116999999999999E-8</v>
      </c>
      <c r="AU65" s="3">
        <v>2014.9983824240301</v>
      </c>
      <c r="AV65" s="16">
        <v>0</v>
      </c>
      <c r="AW65">
        <f t="shared" si="9"/>
        <v>0</v>
      </c>
    </row>
    <row r="66" spans="1:49" x14ac:dyDescent="0.3">
      <c r="A66" s="3">
        <v>2.0447000000000001E-8</v>
      </c>
      <c r="B66" s="16">
        <v>2357.2723147081601</v>
      </c>
      <c r="C66" s="16">
        <v>2.0297034877411899E-2</v>
      </c>
      <c r="D66">
        <f t="shared" si="0"/>
        <v>47.845638387189005</v>
      </c>
      <c r="F66" s="3">
        <v>2.0447000000000001E-8</v>
      </c>
      <c r="G66" s="3">
        <v>2357.2723147081601</v>
      </c>
      <c r="H66" s="16">
        <v>0</v>
      </c>
      <c r="I66">
        <f t="shared" si="1"/>
        <v>0</v>
      </c>
      <c r="K66" s="3">
        <v>2.0447000000000001E-8</v>
      </c>
      <c r="L66" s="3">
        <v>2357.2723147081601</v>
      </c>
      <c r="M66" s="16">
        <v>0</v>
      </c>
      <c r="N66">
        <f t="shared" si="2"/>
        <v>0</v>
      </c>
      <c r="P66" s="3">
        <v>2.0447000000000001E-8</v>
      </c>
      <c r="Q66" s="3">
        <v>2357.2723147081601</v>
      </c>
      <c r="R66" s="16">
        <v>0</v>
      </c>
      <c r="S66">
        <f t="shared" si="3"/>
        <v>0</v>
      </c>
      <c r="U66" s="3">
        <v>2.0447000000000001E-8</v>
      </c>
      <c r="V66" s="3">
        <v>2357.2723147081601</v>
      </c>
      <c r="W66" s="16">
        <v>0</v>
      </c>
      <c r="X66">
        <f t="shared" si="4"/>
        <v>0</v>
      </c>
      <c r="Z66" s="3">
        <v>2.0447000000000001E-8</v>
      </c>
      <c r="AA66" s="3">
        <v>2357.2723147081601</v>
      </c>
      <c r="AB66" s="16">
        <v>0</v>
      </c>
      <c r="AC66">
        <f t="shared" si="5"/>
        <v>0</v>
      </c>
      <c r="AE66" s="3">
        <v>2.0447000000000001E-8</v>
      </c>
      <c r="AF66" s="3">
        <v>2357.2723147081601</v>
      </c>
      <c r="AG66" s="16">
        <v>0</v>
      </c>
      <c r="AH66">
        <f t="shared" si="6"/>
        <v>0</v>
      </c>
      <c r="AJ66" s="3">
        <v>2.0447000000000001E-8</v>
      </c>
      <c r="AK66" s="3">
        <v>2357.2723147081601</v>
      </c>
      <c r="AL66" s="16">
        <v>2.9837081504688399E-3</v>
      </c>
      <c r="AM66">
        <f t="shared" si="7"/>
        <v>7.0334126182692858</v>
      </c>
      <c r="AO66" s="3">
        <v>2.0447000000000001E-8</v>
      </c>
      <c r="AP66" s="3">
        <v>2357.2723147081601</v>
      </c>
      <c r="AQ66" s="17">
        <v>3.9388870499090301E-5</v>
      </c>
      <c r="AR66">
        <f t="shared" si="8"/>
        <v>9.2850293935130557E-2</v>
      </c>
      <c r="AT66" s="3">
        <v>2.0447000000000001E-8</v>
      </c>
      <c r="AU66" s="3">
        <v>2357.2723147081601</v>
      </c>
      <c r="AV66" s="16">
        <v>0</v>
      </c>
      <c r="AW66">
        <f t="shared" si="9"/>
        <v>0</v>
      </c>
    </row>
    <row r="67" spans="1:49" x14ac:dyDescent="0.3">
      <c r="A67" s="3">
        <v>2.3076999999999999E-8</v>
      </c>
      <c r="B67" s="16">
        <v>2756.6351079405499</v>
      </c>
      <c r="C67" s="16">
        <v>1.93396781694481E-2</v>
      </c>
      <c r="D67">
        <f t="shared" si="0"/>
        <v>53.312435818172062</v>
      </c>
      <c r="F67" s="3">
        <v>2.3076999999999999E-8</v>
      </c>
      <c r="G67" s="3">
        <v>2756.6351079405499</v>
      </c>
      <c r="H67" s="16">
        <v>0</v>
      </c>
      <c r="I67">
        <f t="shared" si="1"/>
        <v>0</v>
      </c>
      <c r="K67" s="3">
        <v>2.3076999999999999E-8</v>
      </c>
      <c r="L67" s="3">
        <v>2756.6351079405499</v>
      </c>
      <c r="M67" s="16">
        <v>0</v>
      </c>
      <c r="N67">
        <f t="shared" si="2"/>
        <v>0</v>
      </c>
      <c r="P67" s="3">
        <v>2.3076999999999999E-8</v>
      </c>
      <c r="Q67" s="3">
        <v>2756.6351079405499</v>
      </c>
      <c r="R67" s="16">
        <v>0</v>
      </c>
      <c r="S67">
        <f t="shared" si="3"/>
        <v>0</v>
      </c>
      <c r="U67" s="3">
        <v>2.3076999999999999E-8</v>
      </c>
      <c r="V67" s="3">
        <v>2756.6351079405499</v>
      </c>
      <c r="W67" s="16">
        <v>0</v>
      </c>
      <c r="X67">
        <f t="shared" si="4"/>
        <v>0</v>
      </c>
      <c r="Z67" s="3">
        <v>2.3076999999999999E-8</v>
      </c>
      <c r="AA67" s="3">
        <v>2756.6351079405499</v>
      </c>
      <c r="AB67" s="16">
        <v>0</v>
      </c>
      <c r="AC67">
        <f t="shared" si="5"/>
        <v>0</v>
      </c>
      <c r="AE67" s="3">
        <v>2.3076999999999999E-8</v>
      </c>
      <c r="AF67" s="3">
        <v>2756.6351079405499</v>
      </c>
      <c r="AG67" s="16">
        <v>0</v>
      </c>
      <c r="AH67">
        <f t="shared" si="6"/>
        <v>0</v>
      </c>
      <c r="AJ67" s="3">
        <v>2.3076999999999999E-8</v>
      </c>
      <c r="AK67" s="3">
        <v>2756.6351079405499</v>
      </c>
      <c r="AL67" s="16">
        <v>2.84093787303522E-3</v>
      </c>
      <c r="AM67">
        <f t="shared" si="7"/>
        <v>7.8314290802868403</v>
      </c>
      <c r="AO67" s="3">
        <v>2.3076999999999999E-8</v>
      </c>
      <c r="AP67" s="3">
        <v>2756.6351079405499</v>
      </c>
      <c r="AQ67" s="17">
        <v>3.7505499263547802E-5</v>
      </c>
      <c r="AR67">
        <f t="shared" si="8"/>
        <v>0.10338897601073431</v>
      </c>
      <c r="AT67" s="3">
        <v>2.3076999999999999E-8</v>
      </c>
      <c r="AU67" s="3">
        <v>2756.6351079405499</v>
      </c>
      <c r="AV67" s="16">
        <v>0</v>
      </c>
      <c r="AW67">
        <f t="shared" si="9"/>
        <v>0</v>
      </c>
    </row>
    <row r="68" spans="1:49" x14ac:dyDescent="0.3">
      <c r="A68" s="3">
        <v>2.6044999999999999E-8</v>
      </c>
      <c r="B68" s="16">
        <v>3066.72330146883</v>
      </c>
      <c r="C68" s="16">
        <v>1.7911986085349701E-2</v>
      </c>
      <c r="D68">
        <f t="shared" ref="D68:D131" si="10">B68*C68</f>
        <v>54.931105103527379</v>
      </c>
      <c r="F68" s="3">
        <v>2.6044999999999999E-8</v>
      </c>
      <c r="G68" s="3">
        <v>3066.72330146883</v>
      </c>
      <c r="H68" s="16">
        <v>0</v>
      </c>
      <c r="I68">
        <f t="shared" ref="I68:I131" si="11">G68*H68</f>
        <v>0</v>
      </c>
      <c r="K68" s="3">
        <v>2.6044999999999999E-8</v>
      </c>
      <c r="L68" s="3">
        <v>3066.72330146883</v>
      </c>
      <c r="M68" s="16">
        <v>0</v>
      </c>
      <c r="N68">
        <f t="shared" ref="N68:N131" si="12">L68*M68</f>
        <v>0</v>
      </c>
      <c r="P68" s="3">
        <v>2.6044999999999999E-8</v>
      </c>
      <c r="Q68" s="3">
        <v>3066.72330146883</v>
      </c>
      <c r="R68" s="16">
        <v>0</v>
      </c>
      <c r="S68">
        <f t="shared" ref="S68:S131" si="13">Q68*R68</f>
        <v>0</v>
      </c>
      <c r="U68" s="3">
        <v>2.6044999999999999E-8</v>
      </c>
      <c r="V68" s="3">
        <v>3066.72330146883</v>
      </c>
      <c r="W68" s="16">
        <v>0</v>
      </c>
      <c r="X68">
        <f t="shared" ref="X68:X131" si="14">V68*W68</f>
        <v>0</v>
      </c>
      <c r="Z68" s="3">
        <v>2.6044999999999999E-8</v>
      </c>
      <c r="AA68" s="3">
        <v>3066.72330146883</v>
      </c>
      <c r="AB68" s="16">
        <v>0</v>
      </c>
      <c r="AC68">
        <f t="shared" ref="AC68:AC131" si="15">AA68*AB68</f>
        <v>0</v>
      </c>
      <c r="AE68" s="3">
        <v>2.6044999999999999E-8</v>
      </c>
      <c r="AF68" s="3">
        <v>3066.72330146883</v>
      </c>
      <c r="AG68" s="16">
        <v>0</v>
      </c>
      <c r="AH68">
        <f t="shared" ref="AH68:AH131" si="16">AF68*AG68</f>
        <v>0</v>
      </c>
      <c r="AJ68" s="3">
        <v>2.6044999999999999E-8</v>
      </c>
      <c r="AK68" s="3">
        <v>3066.72330146883</v>
      </c>
      <c r="AL68" s="16">
        <v>2.6278026763332301E-3</v>
      </c>
      <c r="AM68">
        <f t="shared" ref="AM68:AM131" si="17">AK68*AL68</f>
        <v>8.0587436991732702</v>
      </c>
      <c r="AO68" s="3">
        <v>2.6044999999999999E-8</v>
      </c>
      <c r="AP68" s="3">
        <v>3066.72330146883</v>
      </c>
      <c r="AQ68" s="17">
        <v>3.46934307548531E-5</v>
      </c>
      <c r="AR68">
        <f t="shared" ref="AR68:AR131" si="18">AP68*AQ68</f>
        <v>0.10639515250380334</v>
      </c>
      <c r="AT68" s="3">
        <v>2.6044999999999999E-8</v>
      </c>
      <c r="AU68" s="3">
        <v>3066.72330146883</v>
      </c>
      <c r="AV68" s="16">
        <v>0</v>
      </c>
      <c r="AW68">
        <f t="shared" ref="AW68:AW131" si="19">AU68*AV68</f>
        <v>0</v>
      </c>
    </row>
    <row r="69" spans="1:49" x14ac:dyDescent="0.3">
      <c r="A69" s="3">
        <v>2.9395E-8</v>
      </c>
      <c r="B69" s="16">
        <v>3357.7450122199398</v>
      </c>
      <c r="C69" s="16">
        <v>1.6815563855213201E-2</v>
      </c>
      <c r="D69">
        <f t="shared" si="10"/>
        <v>56.46237566250803</v>
      </c>
      <c r="F69" s="3">
        <v>2.9395E-8</v>
      </c>
      <c r="G69" s="3">
        <v>3357.7450122199398</v>
      </c>
      <c r="H69" s="16">
        <v>0</v>
      </c>
      <c r="I69">
        <f t="shared" si="11"/>
        <v>0</v>
      </c>
      <c r="K69" s="3">
        <v>2.9395E-8</v>
      </c>
      <c r="L69" s="3">
        <v>3357.7450122199398</v>
      </c>
      <c r="M69" s="16">
        <v>0</v>
      </c>
      <c r="N69">
        <f t="shared" si="12"/>
        <v>0</v>
      </c>
      <c r="P69" s="3">
        <v>2.9395E-8</v>
      </c>
      <c r="Q69" s="3">
        <v>3357.7450122199398</v>
      </c>
      <c r="R69" s="16">
        <v>0</v>
      </c>
      <c r="S69">
        <f t="shared" si="13"/>
        <v>0</v>
      </c>
      <c r="U69" s="3">
        <v>2.9395E-8</v>
      </c>
      <c r="V69" s="3">
        <v>3357.7450122199398</v>
      </c>
      <c r="W69" s="16">
        <v>0</v>
      </c>
      <c r="X69">
        <f t="shared" si="14"/>
        <v>0</v>
      </c>
      <c r="Z69" s="3">
        <v>2.9395E-8</v>
      </c>
      <c r="AA69" s="3">
        <v>3357.7450122199398</v>
      </c>
      <c r="AB69" s="16">
        <v>0</v>
      </c>
      <c r="AC69">
        <f t="shared" si="15"/>
        <v>0</v>
      </c>
      <c r="AE69" s="3">
        <v>2.9395E-8</v>
      </c>
      <c r="AF69" s="3">
        <v>3357.7450122199398</v>
      </c>
      <c r="AG69" s="16">
        <v>0</v>
      </c>
      <c r="AH69">
        <f t="shared" si="16"/>
        <v>0</v>
      </c>
      <c r="AJ69" s="3">
        <v>2.9395E-8</v>
      </c>
      <c r="AK69" s="3">
        <v>3357.7450122199398</v>
      </c>
      <c r="AL69" s="16">
        <v>2.46390593307545E-3</v>
      </c>
      <c r="AM69">
        <f t="shared" si="17"/>
        <v>8.2731678573632088</v>
      </c>
      <c r="AO69" s="3">
        <v>2.9395E-8</v>
      </c>
      <c r="AP69" s="3">
        <v>3357.7450122199398</v>
      </c>
      <c r="AQ69" s="17">
        <v>3.2530840742888701E-5</v>
      </c>
      <c r="AR69">
        <f t="shared" si="18"/>
        <v>0.10923026824775574</v>
      </c>
      <c r="AT69" s="3">
        <v>2.9395E-8</v>
      </c>
      <c r="AU69" s="3">
        <v>3357.7450122199398</v>
      </c>
      <c r="AV69" s="16">
        <v>0</v>
      </c>
      <c r="AW69">
        <f t="shared" si="19"/>
        <v>0</v>
      </c>
    </row>
    <row r="70" spans="1:49" x14ac:dyDescent="0.3">
      <c r="A70" s="3">
        <v>3.3175999999999999E-8</v>
      </c>
      <c r="B70" s="16">
        <v>3654.9552369402199</v>
      </c>
      <c r="C70" s="16">
        <v>1.6027974827899801E-2</v>
      </c>
      <c r="D70">
        <f t="shared" si="10"/>
        <v>58.581530534778402</v>
      </c>
      <c r="F70" s="3">
        <v>3.3175999999999999E-8</v>
      </c>
      <c r="G70" s="3">
        <v>3654.9552369402199</v>
      </c>
      <c r="H70" s="16">
        <v>0</v>
      </c>
      <c r="I70">
        <f t="shared" si="11"/>
        <v>0</v>
      </c>
      <c r="K70" s="3">
        <v>3.3175999999999999E-8</v>
      </c>
      <c r="L70" s="3">
        <v>3654.9552369402199</v>
      </c>
      <c r="M70" s="16">
        <v>0</v>
      </c>
      <c r="N70">
        <f t="shared" si="12"/>
        <v>0</v>
      </c>
      <c r="P70" s="3">
        <v>3.3175999999999999E-8</v>
      </c>
      <c r="Q70" s="3">
        <v>3654.9552369402199</v>
      </c>
      <c r="R70" s="16">
        <v>0</v>
      </c>
      <c r="S70">
        <f t="shared" si="13"/>
        <v>0</v>
      </c>
      <c r="U70" s="3">
        <v>3.3175999999999999E-8</v>
      </c>
      <c r="V70" s="3">
        <v>3654.9552369402199</v>
      </c>
      <c r="W70" s="16">
        <v>0</v>
      </c>
      <c r="X70">
        <f t="shared" si="14"/>
        <v>0</v>
      </c>
      <c r="Z70" s="3">
        <v>3.3175999999999999E-8</v>
      </c>
      <c r="AA70" s="3">
        <v>3654.9552369402199</v>
      </c>
      <c r="AB70" s="16">
        <v>0</v>
      </c>
      <c r="AC70">
        <f t="shared" si="15"/>
        <v>0</v>
      </c>
      <c r="AE70" s="3">
        <v>3.3175999999999999E-8</v>
      </c>
      <c r="AF70" s="3">
        <v>3654.9552369402199</v>
      </c>
      <c r="AG70" s="16">
        <v>0</v>
      </c>
      <c r="AH70">
        <f t="shared" si="16"/>
        <v>0</v>
      </c>
      <c r="AJ70" s="3">
        <v>3.3175999999999999E-8</v>
      </c>
      <c r="AK70" s="3">
        <v>3654.9552369402199</v>
      </c>
      <c r="AL70" s="16">
        <v>2.3460375052055402E-3</v>
      </c>
      <c r="AM70">
        <f t="shared" si="17"/>
        <v>8.5746620657091572</v>
      </c>
      <c r="AO70" s="3">
        <v>3.3175999999999999E-8</v>
      </c>
      <c r="AP70" s="3">
        <v>3654.9552369402199</v>
      </c>
      <c r="AQ70" s="17">
        <v>3.0975363943201301E-5</v>
      </c>
      <c r="AR70">
        <f t="shared" si="18"/>
        <v>0.11321356866033286</v>
      </c>
      <c r="AT70" s="3">
        <v>3.3175999999999999E-8</v>
      </c>
      <c r="AU70" s="3">
        <v>3654.9552369402199</v>
      </c>
      <c r="AV70" s="16">
        <v>0</v>
      </c>
      <c r="AW70">
        <f t="shared" si="19"/>
        <v>0</v>
      </c>
    </row>
    <row r="71" spans="1:49" x14ac:dyDescent="0.3">
      <c r="A71" s="3">
        <v>3.7443E-8</v>
      </c>
      <c r="B71" s="16">
        <v>4136.1918019270897</v>
      </c>
      <c r="C71" s="16">
        <v>1.5278894602620999E-2</v>
      </c>
      <c r="D71">
        <f t="shared" si="10"/>
        <v>63.19643859786904</v>
      </c>
      <c r="F71" s="3">
        <v>3.7443E-8</v>
      </c>
      <c r="G71" s="3">
        <v>4136.1918019270897</v>
      </c>
      <c r="H71" s="16">
        <v>0</v>
      </c>
      <c r="I71">
        <f t="shared" si="11"/>
        <v>0</v>
      </c>
      <c r="K71" s="3">
        <v>3.7443E-8</v>
      </c>
      <c r="L71" s="3">
        <v>4136.1918019270897</v>
      </c>
      <c r="M71" s="16">
        <v>0</v>
      </c>
      <c r="N71">
        <f t="shared" si="12"/>
        <v>0</v>
      </c>
      <c r="P71" s="3">
        <v>3.7443E-8</v>
      </c>
      <c r="Q71" s="3">
        <v>4136.1918019270897</v>
      </c>
      <c r="R71" s="16">
        <v>0</v>
      </c>
      <c r="S71">
        <f t="shared" si="13"/>
        <v>0</v>
      </c>
      <c r="U71" s="3">
        <v>3.7443E-8</v>
      </c>
      <c r="V71" s="3">
        <v>4136.1918019270897</v>
      </c>
      <c r="W71" s="16">
        <v>0</v>
      </c>
      <c r="X71">
        <f t="shared" si="14"/>
        <v>0</v>
      </c>
      <c r="Z71" s="3">
        <v>3.7443E-8</v>
      </c>
      <c r="AA71" s="3">
        <v>4136.1918019270897</v>
      </c>
      <c r="AB71" s="16">
        <v>0</v>
      </c>
      <c r="AC71">
        <f t="shared" si="15"/>
        <v>0</v>
      </c>
      <c r="AE71" s="3">
        <v>3.7443E-8</v>
      </c>
      <c r="AF71" s="3">
        <v>4136.1918019270897</v>
      </c>
      <c r="AG71" s="16">
        <v>0</v>
      </c>
      <c r="AH71">
        <f t="shared" si="16"/>
        <v>0</v>
      </c>
      <c r="AJ71" s="3">
        <v>3.7443E-8</v>
      </c>
      <c r="AK71" s="3">
        <v>4136.1918019270897</v>
      </c>
      <c r="AL71" s="16">
        <v>2.2338346034319898E-3</v>
      </c>
      <c r="AM71">
        <f t="shared" si="17"/>
        <v>9.2395683735764482</v>
      </c>
      <c r="AO71" s="3">
        <v>3.7443E-8</v>
      </c>
      <c r="AP71" s="3">
        <v>4136.1918019270897</v>
      </c>
      <c r="AQ71" s="17">
        <v>2.94943250619676E-5</v>
      </c>
      <c r="AR71">
        <f t="shared" si="18"/>
        <v>0.12199418552468309</v>
      </c>
      <c r="AT71" s="3">
        <v>3.7443E-8</v>
      </c>
      <c r="AU71" s="3">
        <v>4136.1918019270897</v>
      </c>
      <c r="AV71" s="16">
        <v>0</v>
      </c>
      <c r="AW71">
        <f t="shared" si="19"/>
        <v>0</v>
      </c>
    </row>
    <row r="72" spans="1:49" x14ac:dyDescent="0.3">
      <c r="A72" s="3">
        <v>4.2260000000000003E-8</v>
      </c>
      <c r="B72" s="16">
        <v>4417.6698978210497</v>
      </c>
      <c r="C72" s="16">
        <v>1.4227974377736E-2</v>
      </c>
      <c r="D72">
        <f t="shared" si="10"/>
        <v>62.854494115493509</v>
      </c>
      <c r="F72" s="3">
        <v>4.2260000000000003E-8</v>
      </c>
      <c r="G72" s="3">
        <v>4417.6698978210497</v>
      </c>
      <c r="H72" s="16">
        <v>0</v>
      </c>
      <c r="I72">
        <f t="shared" si="11"/>
        <v>0</v>
      </c>
      <c r="K72" s="3">
        <v>4.2260000000000003E-8</v>
      </c>
      <c r="L72" s="3">
        <v>4417.6698978210497</v>
      </c>
      <c r="M72" s="16">
        <v>0</v>
      </c>
      <c r="N72">
        <f t="shared" si="12"/>
        <v>0</v>
      </c>
      <c r="P72" s="3">
        <v>4.2260000000000003E-8</v>
      </c>
      <c r="Q72" s="3">
        <v>4417.6698978210497</v>
      </c>
      <c r="R72" s="16">
        <v>0</v>
      </c>
      <c r="S72">
        <f t="shared" si="13"/>
        <v>0</v>
      </c>
      <c r="U72" s="3">
        <v>4.2260000000000003E-8</v>
      </c>
      <c r="V72" s="3">
        <v>4417.6698978210497</v>
      </c>
      <c r="W72" s="16">
        <v>0</v>
      </c>
      <c r="X72">
        <f t="shared" si="14"/>
        <v>0</v>
      </c>
      <c r="Z72" s="3">
        <v>4.2260000000000003E-8</v>
      </c>
      <c r="AA72" s="3">
        <v>4417.6698978210497</v>
      </c>
      <c r="AB72" s="16">
        <v>0</v>
      </c>
      <c r="AC72">
        <f t="shared" si="15"/>
        <v>0</v>
      </c>
      <c r="AE72" s="3">
        <v>4.2260000000000003E-8</v>
      </c>
      <c r="AF72" s="3">
        <v>4417.6698978210497</v>
      </c>
      <c r="AG72" s="16">
        <v>0</v>
      </c>
      <c r="AH72">
        <f t="shared" si="16"/>
        <v>0</v>
      </c>
      <c r="AJ72" s="3">
        <v>4.2260000000000003E-8</v>
      </c>
      <c r="AK72" s="3">
        <v>4417.6698978210497</v>
      </c>
      <c r="AL72" s="16">
        <v>2.0762045724307399E-3</v>
      </c>
      <c r="AM72">
        <f t="shared" si="17"/>
        <v>9.1719864413457035</v>
      </c>
      <c r="AO72" s="3">
        <v>4.2260000000000003E-8</v>
      </c>
      <c r="AP72" s="3">
        <v>4417.6698978210497</v>
      </c>
      <c r="AQ72" s="17">
        <v>2.7412820305207602E-5</v>
      </c>
      <c r="AR72">
        <f t="shared" si="18"/>
        <v>0.12110079107669326</v>
      </c>
      <c r="AT72" s="3">
        <v>4.2260000000000003E-8</v>
      </c>
      <c r="AU72" s="3">
        <v>4417.6698978210497</v>
      </c>
      <c r="AV72" s="16">
        <v>0</v>
      </c>
      <c r="AW72">
        <f t="shared" si="19"/>
        <v>0</v>
      </c>
    </row>
    <row r="73" spans="1:49" x14ac:dyDescent="0.3">
      <c r="A73" s="3">
        <v>4.7694999999999998E-8</v>
      </c>
      <c r="B73" s="16">
        <v>5265.4158477670499</v>
      </c>
      <c r="C73" s="16">
        <v>1.32455797973259E-2</v>
      </c>
      <c r="D73">
        <f t="shared" si="10"/>
        <v>69.743485777702858</v>
      </c>
      <c r="F73" s="3">
        <v>4.7694999999999998E-8</v>
      </c>
      <c r="G73" s="3">
        <v>5265.4158477670499</v>
      </c>
      <c r="H73" s="16">
        <v>0</v>
      </c>
      <c r="I73">
        <f t="shared" si="11"/>
        <v>0</v>
      </c>
      <c r="K73" s="3">
        <v>4.7694999999999998E-8</v>
      </c>
      <c r="L73" s="3">
        <v>5265.4158477670499</v>
      </c>
      <c r="M73" s="16">
        <v>0</v>
      </c>
      <c r="N73">
        <f t="shared" si="12"/>
        <v>0</v>
      </c>
      <c r="P73" s="3">
        <v>4.7694999999999998E-8</v>
      </c>
      <c r="Q73" s="3">
        <v>5265.4158477670499</v>
      </c>
      <c r="R73" s="16">
        <v>0</v>
      </c>
      <c r="S73">
        <f t="shared" si="13"/>
        <v>0</v>
      </c>
      <c r="U73" s="3">
        <v>4.7694999999999998E-8</v>
      </c>
      <c r="V73" s="3">
        <v>5265.4158477670499</v>
      </c>
      <c r="W73" s="16">
        <v>0</v>
      </c>
      <c r="X73">
        <f t="shared" si="14"/>
        <v>0</v>
      </c>
      <c r="Z73" s="3">
        <v>4.7694999999999998E-8</v>
      </c>
      <c r="AA73" s="3">
        <v>5265.4158477670499</v>
      </c>
      <c r="AB73" s="16">
        <v>0</v>
      </c>
      <c r="AC73">
        <f t="shared" si="15"/>
        <v>0</v>
      </c>
      <c r="AE73" s="3">
        <v>4.7694999999999998E-8</v>
      </c>
      <c r="AF73" s="3">
        <v>5265.4158477670499</v>
      </c>
      <c r="AG73" s="16">
        <v>0</v>
      </c>
      <c r="AH73">
        <f t="shared" si="16"/>
        <v>0</v>
      </c>
      <c r="AJ73" s="3">
        <v>4.7694999999999998E-8</v>
      </c>
      <c r="AK73" s="3">
        <v>5265.4158477670499</v>
      </c>
      <c r="AL73" s="16">
        <v>1.92860193450317E-3</v>
      </c>
      <c r="AM73">
        <f t="shared" si="17"/>
        <v>10.154891189967181</v>
      </c>
      <c r="AO73" s="3">
        <v>4.7694999999999998E-8</v>
      </c>
      <c r="AP73" s="3">
        <v>5265.4158477670499</v>
      </c>
      <c r="AQ73" s="17">
        <v>2.54631901323748E-5</v>
      </c>
      <c r="AR73">
        <f t="shared" si="18"/>
        <v>0.13407428485771183</v>
      </c>
      <c r="AT73" s="3">
        <v>4.7694999999999998E-8</v>
      </c>
      <c r="AU73" s="3">
        <v>5265.4158477670499</v>
      </c>
      <c r="AV73" s="16">
        <v>0</v>
      </c>
      <c r="AW73">
        <f t="shared" si="19"/>
        <v>0</v>
      </c>
    </row>
    <row r="74" spans="1:49" x14ac:dyDescent="0.3">
      <c r="A74" s="3">
        <v>5.383E-8</v>
      </c>
      <c r="B74" s="16">
        <v>5143.0004671557299</v>
      </c>
      <c r="C74" s="16">
        <v>1.26337296390934E-2</v>
      </c>
      <c r="D74">
        <f t="shared" si="10"/>
        <v>64.975277435776547</v>
      </c>
      <c r="F74" s="3">
        <v>5.383E-8</v>
      </c>
      <c r="G74" s="3">
        <v>5143.0004671557299</v>
      </c>
      <c r="H74" s="16">
        <v>0</v>
      </c>
      <c r="I74">
        <f t="shared" si="11"/>
        <v>0</v>
      </c>
      <c r="K74" s="3">
        <v>5.383E-8</v>
      </c>
      <c r="L74" s="3">
        <v>5143.0004671557299</v>
      </c>
      <c r="M74" s="16">
        <v>0</v>
      </c>
      <c r="N74">
        <f t="shared" si="12"/>
        <v>0</v>
      </c>
      <c r="P74" s="3">
        <v>5.383E-8</v>
      </c>
      <c r="Q74" s="3">
        <v>5143.0004671557299</v>
      </c>
      <c r="R74" s="16">
        <v>0</v>
      </c>
      <c r="S74">
        <f t="shared" si="13"/>
        <v>0</v>
      </c>
      <c r="U74" s="3">
        <v>5.383E-8</v>
      </c>
      <c r="V74" s="3">
        <v>5143.0004671557299</v>
      </c>
      <c r="W74" s="16">
        <v>0</v>
      </c>
      <c r="X74">
        <f t="shared" si="14"/>
        <v>0</v>
      </c>
      <c r="Z74" s="3">
        <v>5.383E-8</v>
      </c>
      <c r="AA74" s="3">
        <v>5143.0004671557299</v>
      </c>
      <c r="AB74" s="16">
        <v>0</v>
      </c>
      <c r="AC74">
        <f t="shared" si="15"/>
        <v>0</v>
      </c>
      <c r="AE74" s="3">
        <v>5.383E-8</v>
      </c>
      <c r="AF74" s="3">
        <v>5143.0004671557299</v>
      </c>
      <c r="AG74" s="16">
        <v>0</v>
      </c>
      <c r="AH74">
        <f t="shared" si="16"/>
        <v>0</v>
      </c>
      <c r="AJ74" s="3">
        <v>5.383E-8</v>
      </c>
      <c r="AK74" s="3">
        <v>5143.0004671557299</v>
      </c>
      <c r="AL74" s="16">
        <v>1.83644891790283E-3</v>
      </c>
      <c r="AM74">
        <f t="shared" si="17"/>
        <v>9.4448576426818889</v>
      </c>
      <c r="AO74" s="3">
        <v>5.383E-8</v>
      </c>
      <c r="AP74" s="3">
        <v>5143.0004671557299</v>
      </c>
      <c r="AQ74" s="17">
        <v>2.4246084216324999E-5</v>
      </c>
      <c r="AR74">
        <f t="shared" si="18"/>
        <v>0.12469762245125664</v>
      </c>
      <c r="AT74" s="3">
        <v>5.383E-8</v>
      </c>
      <c r="AU74" s="3">
        <v>5143.0004671557299</v>
      </c>
      <c r="AV74" s="16">
        <v>0</v>
      </c>
      <c r="AW74">
        <f t="shared" si="19"/>
        <v>0</v>
      </c>
    </row>
    <row r="75" spans="1:49" x14ac:dyDescent="0.3">
      <c r="A75" s="3">
        <v>6.0754000000000003E-8</v>
      </c>
      <c r="B75" s="16">
        <v>5210.43889176826</v>
      </c>
      <c r="C75" s="16">
        <v>1.20523075129235E-2</v>
      </c>
      <c r="D75">
        <f t="shared" si="10"/>
        <v>62.797811800887395</v>
      </c>
      <c r="F75" s="3">
        <v>6.0754000000000003E-8</v>
      </c>
      <c r="G75" s="3">
        <v>5210.43889176826</v>
      </c>
      <c r="H75" s="16">
        <v>0</v>
      </c>
      <c r="I75">
        <f t="shared" si="11"/>
        <v>0</v>
      </c>
      <c r="K75" s="3">
        <v>6.0754000000000003E-8</v>
      </c>
      <c r="L75" s="3">
        <v>5210.43889176826</v>
      </c>
      <c r="M75" s="16">
        <v>0</v>
      </c>
      <c r="N75">
        <f t="shared" si="12"/>
        <v>0</v>
      </c>
      <c r="P75" s="3">
        <v>6.0754000000000003E-8</v>
      </c>
      <c r="Q75" s="3">
        <v>5210.43889176826</v>
      </c>
      <c r="R75" s="16">
        <v>0</v>
      </c>
      <c r="S75">
        <f t="shared" si="13"/>
        <v>0</v>
      </c>
      <c r="U75" s="3">
        <v>6.0754000000000003E-8</v>
      </c>
      <c r="V75" s="3">
        <v>5210.43889176826</v>
      </c>
      <c r="W75" s="16">
        <v>0</v>
      </c>
      <c r="X75">
        <f t="shared" si="14"/>
        <v>0</v>
      </c>
      <c r="Z75" s="3">
        <v>6.0754000000000003E-8</v>
      </c>
      <c r="AA75" s="3">
        <v>5210.43889176826</v>
      </c>
      <c r="AB75" s="16">
        <v>0</v>
      </c>
      <c r="AC75">
        <f t="shared" si="15"/>
        <v>0</v>
      </c>
      <c r="AE75" s="3">
        <v>6.0754000000000003E-8</v>
      </c>
      <c r="AF75" s="3">
        <v>5210.43889176826</v>
      </c>
      <c r="AG75" s="16">
        <v>0</v>
      </c>
      <c r="AH75">
        <f t="shared" si="16"/>
        <v>0</v>
      </c>
      <c r="AJ75" s="3">
        <v>6.0754000000000003E-8</v>
      </c>
      <c r="AK75" s="3">
        <v>5210.43889176826</v>
      </c>
      <c r="AL75" s="16">
        <v>1.74867737217633E-3</v>
      </c>
      <c r="AM75">
        <f t="shared" si="17"/>
        <v>9.1113765891426706</v>
      </c>
      <c r="AO75" s="3">
        <v>6.0754000000000003E-8</v>
      </c>
      <c r="AP75" s="3">
        <v>5210.43889176826</v>
      </c>
      <c r="AQ75" s="17">
        <v>2.3087242053731501E-5</v>
      </c>
      <c r="AR75">
        <f t="shared" si="18"/>
        <v>0.12029466390043032</v>
      </c>
      <c r="AT75" s="3">
        <v>6.0754000000000003E-8</v>
      </c>
      <c r="AU75" s="3">
        <v>5210.43889176826</v>
      </c>
      <c r="AV75" s="16">
        <v>0</v>
      </c>
      <c r="AW75">
        <f t="shared" si="19"/>
        <v>0</v>
      </c>
    </row>
    <row r="76" spans="1:49" x14ac:dyDescent="0.3">
      <c r="A76" s="3">
        <v>6.8567999999999996E-8</v>
      </c>
      <c r="B76" s="16">
        <v>5817.8324560669598</v>
      </c>
      <c r="C76" s="16">
        <v>1.1237678298480399E-2</v>
      </c>
      <c r="D76">
        <f t="shared" si="10"/>
        <v>65.378929535738592</v>
      </c>
      <c r="F76" s="3">
        <v>6.8567999999999996E-8</v>
      </c>
      <c r="G76" s="3">
        <v>5817.8324560669598</v>
      </c>
      <c r="H76" s="16">
        <v>0</v>
      </c>
      <c r="I76">
        <f t="shared" si="11"/>
        <v>0</v>
      </c>
      <c r="K76" s="3">
        <v>6.8567999999999996E-8</v>
      </c>
      <c r="L76" s="3">
        <v>5817.8324560669598</v>
      </c>
      <c r="M76" s="16">
        <v>0</v>
      </c>
      <c r="N76">
        <f t="shared" si="12"/>
        <v>0</v>
      </c>
      <c r="P76" s="3">
        <v>6.8567999999999996E-8</v>
      </c>
      <c r="Q76" s="3">
        <v>5817.8324560669598</v>
      </c>
      <c r="R76" s="16">
        <v>0</v>
      </c>
      <c r="S76">
        <f t="shared" si="13"/>
        <v>0</v>
      </c>
      <c r="U76" s="3">
        <v>6.8567999999999996E-8</v>
      </c>
      <c r="V76" s="3">
        <v>5817.8324560669598</v>
      </c>
      <c r="W76" s="16">
        <v>0</v>
      </c>
      <c r="X76">
        <f t="shared" si="14"/>
        <v>0</v>
      </c>
      <c r="Z76" s="3">
        <v>6.8567999999999996E-8</v>
      </c>
      <c r="AA76" s="3">
        <v>5817.8324560669598</v>
      </c>
      <c r="AB76" s="16">
        <v>0</v>
      </c>
      <c r="AC76">
        <f t="shared" si="15"/>
        <v>0</v>
      </c>
      <c r="AE76" s="3">
        <v>6.8567999999999996E-8</v>
      </c>
      <c r="AF76" s="3">
        <v>5817.8324560669598</v>
      </c>
      <c r="AG76" s="16">
        <v>0</v>
      </c>
      <c r="AH76">
        <f t="shared" si="16"/>
        <v>0</v>
      </c>
      <c r="AJ76" s="3">
        <v>6.8567999999999996E-8</v>
      </c>
      <c r="AK76" s="3">
        <v>5817.8324560669598</v>
      </c>
      <c r="AL76" s="16">
        <v>1.62525123964095E-3</v>
      </c>
      <c r="AM76">
        <f t="shared" si="17"/>
        <v>9.4554394112461786</v>
      </c>
      <c r="AO76" s="3">
        <v>6.8567999999999996E-8</v>
      </c>
      <c r="AP76" s="3">
        <v>5817.8324560669598</v>
      </c>
      <c r="AQ76" s="17">
        <v>2.1458797714226601E-5</v>
      </c>
      <c r="AR76">
        <f t="shared" si="18"/>
        <v>0.124843689810003</v>
      </c>
      <c r="AT76" s="3">
        <v>6.8567999999999996E-8</v>
      </c>
      <c r="AU76" s="3">
        <v>5817.8324560669598</v>
      </c>
      <c r="AV76" s="16">
        <v>0</v>
      </c>
      <c r="AW76">
        <f t="shared" si="19"/>
        <v>0</v>
      </c>
    </row>
    <row r="77" spans="1:49" x14ac:dyDescent="0.3">
      <c r="A77" s="3">
        <v>7.7388000000000004E-8</v>
      </c>
      <c r="B77" s="16">
        <v>6784.30678185338</v>
      </c>
      <c r="C77" s="16">
        <v>1.0442571652199599E-2</v>
      </c>
      <c r="D77">
        <f t="shared" si="10"/>
        <v>70.845609680007598</v>
      </c>
      <c r="F77" s="3">
        <v>7.7388000000000004E-8</v>
      </c>
      <c r="G77" s="3">
        <v>6784.30678185338</v>
      </c>
      <c r="H77" s="16">
        <v>0</v>
      </c>
      <c r="I77">
        <f t="shared" si="11"/>
        <v>0</v>
      </c>
      <c r="K77" s="3">
        <v>7.7388000000000004E-8</v>
      </c>
      <c r="L77" s="3">
        <v>6784.30678185338</v>
      </c>
      <c r="M77" s="16">
        <v>0</v>
      </c>
      <c r="N77">
        <f t="shared" si="12"/>
        <v>0</v>
      </c>
      <c r="P77" s="3">
        <v>7.7388000000000004E-8</v>
      </c>
      <c r="Q77" s="3">
        <v>6784.30678185338</v>
      </c>
      <c r="R77" s="16">
        <v>0</v>
      </c>
      <c r="S77">
        <f t="shared" si="13"/>
        <v>0</v>
      </c>
      <c r="U77" s="3">
        <v>7.7388000000000004E-8</v>
      </c>
      <c r="V77" s="3">
        <v>6784.30678185338</v>
      </c>
      <c r="W77" s="16">
        <v>0</v>
      </c>
      <c r="X77">
        <f t="shared" si="14"/>
        <v>0</v>
      </c>
      <c r="Z77" s="3">
        <v>7.7388000000000004E-8</v>
      </c>
      <c r="AA77" s="3">
        <v>6784.30678185338</v>
      </c>
      <c r="AB77" s="16">
        <v>0</v>
      </c>
      <c r="AC77">
        <f t="shared" si="15"/>
        <v>0</v>
      </c>
      <c r="AE77" s="3">
        <v>7.7388000000000004E-8</v>
      </c>
      <c r="AF77" s="3">
        <v>6784.30678185338</v>
      </c>
      <c r="AG77" s="16">
        <v>0</v>
      </c>
      <c r="AH77">
        <f t="shared" si="16"/>
        <v>0</v>
      </c>
      <c r="AJ77" s="3">
        <v>7.7388000000000004E-8</v>
      </c>
      <c r="AK77" s="3">
        <v>6784.30678185338</v>
      </c>
      <c r="AL77" s="16">
        <v>1.5095931511044801E-3</v>
      </c>
      <c r="AM77">
        <f t="shared" si="17"/>
        <v>10.241543052877539</v>
      </c>
      <c r="AO77" s="3">
        <v>7.7388000000000004E-8</v>
      </c>
      <c r="AP77" s="3">
        <v>6784.30678185338</v>
      </c>
      <c r="AQ77" s="17">
        <v>1.99334636765797E-5</v>
      </c>
      <c r="AR77">
        <f t="shared" si="18"/>
        <v>0.13523473280684767</v>
      </c>
      <c r="AT77" s="3">
        <v>7.7388000000000004E-8</v>
      </c>
      <c r="AU77" s="3">
        <v>6784.30678185338</v>
      </c>
      <c r="AV77" s="16">
        <v>0</v>
      </c>
      <c r="AW77">
        <f t="shared" si="19"/>
        <v>0</v>
      </c>
    </row>
    <row r="78" spans="1:49" x14ac:dyDescent="0.3">
      <c r="A78" s="3">
        <v>8.7342000000000002E-8</v>
      </c>
      <c r="B78" s="16">
        <v>7041.6709234499504</v>
      </c>
      <c r="C78" s="16">
        <v>9.9389895093439495E-3</v>
      </c>
      <c r="D78">
        <f t="shared" si="10"/>
        <v>69.987093436421375</v>
      </c>
      <c r="F78" s="3">
        <v>8.7342000000000002E-8</v>
      </c>
      <c r="G78" s="3">
        <v>7041.6709234499504</v>
      </c>
      <c r="H78" s="16">
        <v>0</v>
      </c>
      <c r="I78">
        <f t="shared" si="11"/>
        <v>0</v>
      </c>
      <c r="K78" s="3">
        <v>8.7342000000000002E-8</v>
      </c>
      <c r="L78" s="3">
        <v>7041.6709234499504</v>
      </c>
      <c r="M78" s="16">
        <v>0</v>
      </c>
      <c r="N78">
        <f t="shared" si="12"/>
        <v>0</v>
      </c>
      <c r="P78" s="3">
        <v>8.7342000000000002E-8</v>
      </c>
      <c r="Q78" s="3">
        <v>7041.6709234499504</v>
      </c>
      <c r="R78" s="16">
        <v>0</v>
      </c>
      <c r="S78">
        <f t="shared" si="13"/>
        <v>0</v>
      </c>
      <c r="U78" s="3">
        <v>8.7342000000000002E-8</v>
      </c>
      <c r="V78" s="3">
        <v>7041.6709234499504</v>
      </c>
      <c r="W78" s="16">
        <v>0</v>
      </c>
      <c r="X78">
        <f t="shared" si="14"/>
        <v>0</v>
      </c>
      <c r="Z78" s="3">
        <v>8.7342000000000002E-8</v>
      </c>
      <c r="AA78" s="3">
        <v>7041.6709234499504</v>
      </c>
      <c r="AB78" s="16">
        <v>0</v>
      </c>
      <c r="AC78">
        <f t="shared" si="15"/>
        <v>0</v>
      </c>
      <c r="AE78" s="3">
        <v>8.7342000000000002E-8</v>
      </c>
      <c r="AF78" s="3">
        <v>7041.6709234499504</v>
      </c>
      <c r="AG78" s="16">
        <v>0</v>
      </c>
      <c r="AH78">
        <f t="shared" si="16"/>
        <v>0</v>
      </c>
      <c r="AJ78" s="3">
        <v>8.7342000000000002E-8</v>
      </c>
      <c r="AK78" s="3">
        <v>7041.6709234499504</v>
      </c>
      <c r="AL78" s="16">
        <v>1.4373772972723401E-3</v>
      </c>
      <c r="AM78">
        <f t="shared" si="17"/>
        <v>10.121537920229713</v>
      </c>
      <c r="AO78" s="3">
        <v>8.7342000000000002E-8</v>
      </c>
      <c r="AP78" s="3">
        <v>7041.6709234499504</v>
      </c>
      <c r="AQ78" s="17">
        <v>1.8981393509690799E-5</v>
      </c>
      <c r="AR78">
        <f t="shared" si="18"/>
        <v>0.13366072676375129</v>
      </c>
      <c r="AT78" s="3">
        <v>8.7342000000000002E-8</v>
      </c>
      <c r="AU78" s="3">
        <v>7041.6709234499504</v>
      </c>
      <c r="AV78" s="16">
        <v>0</v>
      </c>
      <c r="AW78">
        <f t="shared" si="19"/>
        <v>0</v>
      </c>
    </row>
    <row r="79" spans="1:49" x14ac:dyDescent="0.3">
      <c r="A79" s="3">
        <v>9.8575999999999995E-8</v>
      </c>
      <c r="B79" s="16">
        <v>7617.7610947522098</v>
      </c>
      <c r="C79" s="16">
        <v>9.4628140487162306E-3</v>
      </c>
      <c r="D79">
        <f t="shared" si="10"/>
        <v>72.085456707185145</v>
      </c>
      <c r="F79" s="3">
        <v>9.8575999999999995E-8</v>
      </c>
      <c r="G79" s="3">
        <v>7617.7610947522098</v>
      </c>
      <c r="H79" s="16">
        <v>0</v>
      </c>
      <c r="I79">
        <f t="shared" si="11"/>
        <v>0</v>
      </c>
      <c r="K79" s="3">
        <v>9.8575999999999995E-8</v>
      </c>
      <c r="L79" s="3">
        <v>7617.7610947522098</v>
      </c>
      <c r="M79" s="16">
        <v>0</v>
      </c>
      <c r="N79">
        <f t="shared" si="12"/>
        <v>0</v>
      </c>
      <c r="P79" s="3">
        <v>9.8575999999999995E-8</v>
      </c>
      <c r="Q79" s="3">
        <v>7617.7610947522098</v>
      </c>
      <c r="R79" s="16">
        <v>0</v>
      </c>
      <c r="S79">
        <f t="shared" si="13"/>
        <v>0</v>
      </c>
      <c r="U79" s="3">
        <v>9.8575999999999995E-8</v>
      </c>
      <c r="V79" s="3">
        <v>7617.7610947522098</v>
      </c>
      <c r="W79" s="16">
        <v>0</v>
      </c>
      <c r="X79">
        <f t="shared" si="14"/>
        <v>0</v>
      </c>
      <c r="Z79" s="3">
        <v>9.8575999999999995E-8</v>
      </c>
      <c r="AA79" s="3">
        <v>7617.7610947522098</v>
      </c>
      <c r="AB79" s="16">
        <v>0</v>
      </c>
      <c r="AC79">
        <f t="shared" si="15"/>
        <v>0</v>
      </c>
      <c r="AE79" s="3">
        <v>9.8575999999999995E-8</v>
      </c>
      <c r="AF79" s="3">
        <v>7617.7610947522098</v>
      </c>
      <c r="AG79" s="16">
        <v>0</v>
      </c>
      <c r="AH79">
        <f t="shared" si="16"/>
        <v>0</v>
      </c>
      <c r="AJ79" s="3">
        <v>9.8575999999999995E-8</v>
      </c>
      <c r="AK79" s="3">
        <v>7617.7610947522098</v>
      </c>
      <c r="AL79" s="16">
        <v>1.36862153117724E-3</v>
      </c>
      <c r="AM79">
        <f t="shared" si="17"/>
        <v>10.425831853642178</v>
      </c>
      <c r="AO79" s="3">
        <v>9.8575999999999995E-8</v>
      </c>
      <c r="AP79" s="3">
        <v>7617.7610947522098</v>
      </c>
      <c r="AQ79" s="17">
        <v>1.8074905080521699E-5</v>
      </c>
      <c r="AR79">
        <f t="shared" si="18"/>
        <v>0.13769030871373725</v>
      </c>
      <c r="AT79" s="3">
        <v>9.8575999999999995E-8</v>
      </c>
      <c r="AU79" s="3">
        <v>7617.7610947522098</v>
      </c>
      <c r="AV79" s="16">
        <v>0</v>
      </c>
      <c r="AW79">
        <f t="shared" si="19"/>
        <v>0</v>
      </c>
    </row>
    <row r="80" spans="1:49" x14ac:dyDescent="0.3">
      <c r="A80" s="3">
        <v>1.1126E-7</v>
      </c>
      <c r="B80" s="16">
        <v>7658.1213459611299</v>
      </c>
      <c r="C80" s="16">
        <v>9.0131692576425407E-3</v>
      </c>
      <c r="D80">
        <f t="shared" si="10"/>
        <v>69.023943886712971</v>
      </c>
      <c r="F80" s="3">
        <v>1.1126E-7</v>
      </c>
      <c r="G80" s="3">
        <v>7658.1213459611299</v>
      </c>
      <c r="H80" s="16">
        <v>0</v>
      </c>
      <c r="I80">
        <f t="shared" si="11"/>
        <v>0</v>
      </c>
      <c r="K80" s="3">
        <v>1.1126E-7</v>
      </c>
      <c r="L80" s="3">
        <v>7658.1213459611299</v>
      </c>
      <c r="M80" s="16">
        <v>0</v>
      </c>
      <c r="N80">
        <f t="shared" si="12"/>
        <v>0</v>
      </c>
      <c r="P80" s="3">
        <v>1.1126E-7</v>
      </c>
      <c r="Q80" s="3">
        <v>7658.1213459611299</v>
      </c>
      <c r="R80" s="16">
        <v>0</v>
      </c>
      <c r="S80">
        <f t="shared" si="13"/>
        <v>0</v>
      </c>
      <c r="U80" s="3">
        <v>1.1126E-7</v>
      </c>
      <c r="V80" s="3">
        <v>7658.1213459611299</v>
      </c>
      <c r="W80" s="16">
        <v>0</v>
      </c>
      <c r="X80">
        <f t="shared" si="14"/>
        <v>0</v>
      </c>
      <c r="Z80" s="3">
        <v>1.1126E-7</v>
      </c>
      <c r="AA80" s="3">
        <v>7658.1213459611299</v>
      </c>
      <c r="AB80" s="16">
        <v>0</v>
      </c>
      <c r="AC80">
        <f t="shared" si="15"/>
        <v>0</v>
      </c>
      <c r="AE80" s="3">
        <v>1.1126E-7</v>
      </c>
      <c r="AF80" s="3">
        <v>7658.1213459611299</v>
      </c>
      <c r="AG80" s="16">
        <v>0</v>
      </c>
      <c r="AH80">
        <f t="shared" si="16"/>
        <v>0</v>
      </c>
      <c r="AJ80" s="3">
        <v>1.1126E-7</v>
      </c>
      <c r="AK80" s="3">
        <v>7658.1213459611299</v>
      </c>
      <c r="AL80" s="16">
        <v>1.27194981642738E-3</v>
      </c>
      <c r="AM80">
        <f t="shared" si="17"/>
        <v>9.7407460401738586</v>
      </c>
      <c r="AO80" s="3">
        <v>1.1126E-7</v>
      </c>
      <c r="AP80" s="3">
        <v>7658.1213459611299</v>
      </c>
      <c r="AQ80" s="17">
        <v>1.68010517389841E-5</v>
      </c>
      <c r="AR80">
        <f t="shared" si="18"/>
        <v>0.12866449295691149</v>
      </c>
      <c r="AT80" s="3">
        <v>1.1126E-7</v>
      </c>
      <c r="AU80" s="3">
        <v>7658.1213459611299</v>
      </c>
      <c r="AV80" s="16">
        <v>0</v>
      </c>
      <c r="AW80">
        <f t="shared" si="19"/>
        <v>0</v>
      </c>
    </row>
    <row r="81" spans="1:49" x14ac:dyDescent="0.3">
      <c r="A81" s="3">
        <v>1.2557000000000001E-7</v>
      </c>
      <c r="B81" s="16">
        <v>7596.4026585228203</v>
      </c>
      <c r="C81" s="16">
        <v>8.5884461332523393E-3</v>
      </c>
      <c r="D81">
        <f t="shared" si="10"/>
        <v>65.241295039218102</v>
      </c>
      <c r="F81" s="3">
        <v>1.2557000000000001E-7</v>
      </c>
      <c r="G81" s="3">
        <v>7596.4026585228203</v>
      </c>
      <c r="H81" s="16">
        <v>0</v>
      </c>
      <c r="I81">
        <f t="shared" si="11"/>
        <v>0</v>
      </c>
      <c r="K81" s="3">
        <v>1.2557000000000001E-7</v>
      </c>
      <c r="L81" s="3">
        <v>7596.4026585228203</v>
      </c>
      <c r="M81" s="16">
        <v>0</v>
      </c>
      <c r="N81">
        <f t="shared" si="12"/>
        <v>0</v>
      </c>
      <c r="P81" s="3">
        <v>1.2557000000000001E-7</v>
      </c>
      <c r="Q81" s="3">
        <v>7596.4026585228203</v>
      </c>
      <c r="R81" s="16">
        <v>0</v>
      </c>
      <c r="S81">
        <f t="shared" si="13"/>
        <v>0</v>
      </c>
      <c r="U81" s="3">
        <v>1.2557000000000001E-7</v>
      </c>
      <c r="V81" s="3">
        <v>7596.4026585228203</v>
      </c>
      <c r="W81" s="16">
        <v>0</v>
      </c>
      <c r="X81">
        <f t="shared" si="14"/>
        <v>0</v>
      </c>
      <c r="Z81" s="3">
        <v>1.2557000000000001E-7</v>
      </c>
      <c r="AA81" s="3">
        <v>7596.4026585228203</v>
      </c>
      <c r="AB81" s="16">
        <v>0</v>
      </c>
      <c r="AC81">
        <f t="shared" si="15"/>
        <v>0</v>
      </c>
      <c r="AE81" s="3">
        <v>1.2557000000000001E-7</v>
      </c>
      <c r="AF81" s="3">
        <v>7596.4026585228203</v>
      </c>
      <c r="AG81" s="16">
        <v>0</v>
      </c>
      <c r="AH81">
        <f t="shared" si="16"/>
        <v>0</v>
      </c>
      <c r="AJ81" s="3">
        <v>1.2557000000000001E-7</v>
      </c>
      <c r="AK81" s="3">
        <v>7596.4026585228203</v>
      </c>
      <c r="AL81" s="16">
        <v>1.1813896164198901E-3</v>
      </c>
      <c r="AM81">
        <f t="shared" si="17"/>
        <v>8.9743112229233084</v>
      </c>
      <c r="AO81" s="3">
        <v>1.2557000000000001E-7</v>
      </c>
      <c r="AP81" s="3">
        <v>7596.4026585228203</v>
      </c>
      <c r="AQ81" s="17">
        <v>1.5607977323768299E-5</v>
      </c>
      <c r="AR81">
        <f t="shared" si="18"/>
        <v>0.1185644804364374</v>
      </c>
      <c r="AT81" s="3">
        <v>1.2557000000000001E-7</v>
      </c>
      <c r="AU81" s="3">
        <v>7596.4026585228203</v>
      </c>
      <c r="AV81" s="16">
        <v>0</v>
      </c>
      <c r="AW81">
        <f t="shared" si="19"/>
        <v>0</v>
      </c>
    </row>
    <row r="82" spans="1:49" x14ac:dyDescent="0.3">
      <c r="A82" s="3">
        <v>1.4172E-7</v>
      </c>
      <c r="B82" s="16">
        <v>7877.3246002154901</v>
      </c>
      <c r="C82" s="16">
        <v>7.9990594428733502E-3</v>
      </c>
      <c r="D82">
        <f t="shared" si="10"/>
        <v>63.011187727932253</v>
      </c>
      <c r="F82" s="3">
        <v>1.4172E-7</v>
      </c>
      <c r="G82" s="3">
        <v>7877.3246002154901</v>
      </c>
      <c r="H82" s="16">
        <v>0</v>
      </c>
      <c r="I82">
        <f t="shared" si="11"/>
        <v>0</v>
      </c>
      <c r="K82" s="3">
        <v>1.4172E-7</v>
      </c>
      <c r="L82" s="3">
        <v>7877.3246002154901</v>
      </c>
      <c r="M82" s="16">
        <v>0</v>
      </c>
      <c r="N82">
        <f t="shared" si="12"/>
        <v>0</v>
      </c>
      <c r="P82" s="3">
        <v>1.4172E-7</v>
      </c>
      <c r="Q82" s="3">
        <v>7877.3246002154901</v>
      </c>
      <c r="R82" s="16">
        <v>0</v>
      </c>
      <c r="S82">
        <f t="shared" si="13"/>
        <v>0</v>
      </c>
      <c r="U82" s="3">
        <v>1.4172E-7</v>
      </c>
      <c r="V82" s="3">
        <v>7877.3246002154901</v>
      </c>
      <c r="W82" s="16">
        <v>0</v>
      </c>
      <c r="X82">
        <f t="shared" si="14"/>
        <v>0</v>
      </c>
      <c r="Z82" s="3">
        <v>1.4172E-7</v>
      </c>
      <c r="AA82" s="3">
        <v>7877.3246002154901</v>
      </c>
      <c r="AB82" s="16">
        <v>0</v>
      </c>
      <c r="AC82">
        <f t="shared" si="15"/>
        <v>0</v>
      </c>
      <c r="AE82" s="3">
        <v>1.4172E-7</v>
      </c>
      <c r="AF82" s="3">
        <v>7877.3246002154901</v>
      </c>
      <c r="AG82" s="16">
        <v>0</v>
      </c>
      <c r="AH82">
        <f t="shared" si="16"/>
        <v>0</v>
      </c>
      <c r="AJ82" s="3">
        <v>1.4172E-7</v>
      </c>
      <c r="AK82" s="3">
        <v>7877.3246002154901</v>
      </c>
      <c r="AL82" s="16">
        <v>1.12487648370604E-3</v>
      </c>
      <c r="AM82">
        <f t="shared" si="17"/>
        <v>8.8610171973014875</v>
      </c>
      <c r="AO82" s="3">
        <v>1.4172E-7</v>
      </c>
      <c r="AP82" s="3">
        <v>7877.3246002154901</v>
      </c>
      <c r="AQ82" s="17">
        <v>1.48633224432374E-5</v>
      </c>
      <c r="AR82">
        <f t="shared" si="18"/>
        <v>0.11708321552304897</v>
      </c>
      <c r="AT82" s="3">
        <v>1.4172E-7</v>
      </c>
      <c r="AU82" s="3">
        <v>7877.3246002154901</v>
      </c>
      <c r="AV82" s="16">
        <v>0</v>
      </c>
      <c r="AW82">
        <f t="shared" si="19"/>
        <v>0</v>
      </c>
    </row>
    <row r="83" spans="1:49" x14ac:dyDescent="0.3">
      <c r="A83" s="3">
        <v>1.5993999999999999E-7</v>
      </c>
      <c r="B83" s="16">
        <v>8937.9897353436609</v>
      </c>
      <c r="C83" s="16">
        <v>7.45459968820141E-3</v>
      </c>
      <c r="D83">
        <f t="shared" si="10"/>
        <v>66.629135494240259</v>
      </c>
      <c r="F83" s="3">
        <v>1.5993999999999999E-7</v>
      </c>
      <c r="G83" s="3">
        <v>8937.9897353436609</v>
      </c>
      <c r="H83" s="16">
        <v>0</v>
      </c>
      <c r="I83">
        <f t="shared" si="11"/>
        <v>0</v>
      </c>
      <c r="K83" s="3">
        <v>1.5993999999999999E-7</v>
      </c>
      <c r="L83" s="3">
        <v>8937.9897353436609</v>
      </c>
      <c r="M83" s="16">
        <v>0</v>
      </c>
      <c r="N83">
        <f t="shared" si="12"/>
        <v>0</v>
      </c>
      <c r="P83" s="3">
        <v>1.5993999999999999E-7</v>
      </c>
      <c r="Q83" s="3">
        <v>8937.9897353436609</v>
      </c>
      <c r="R83" s="16">
        <v>0</v>
      </c>
      <c r="S83">
        <f t="shared" si="13"/>
        <v>0</v>
      </c>
      <c r="U83" s="3">
        <v>1.5993999999999999E-7</v>
      </c>
      <c r="V83" s="3">
        <v>8937.9897353436609</v>
      </c>
      <c r="W83" s="16">
        <v>0</v>
      </c>
      <c r="X83">
        <f t="shared" si="14"/>
        <v>0</v>
      </c>
      <c r="Z83" s="3">
        <v>1.5993999999999999E-7</v>
      </c>
      <c r="AA83" s="3">
        <v>8937.9897353436609</v>
      </c>
      <c r="AB83" s="16">
        <v>0</v>
      </c>
      <c r="AC83">
        <f t="shared" si="15"/>
        <v>0</v>
      </c>
      <c r="AE83" s="3">
        <v>1.5993999999999999E-7</v>
      </c>
      <c r="AF83" s="3">
        <v>8937.9897353436609</v>
      </c>
      <c r="AG83" s="16">
        <v>0</v>
      </c>
      <c r="AH83">
        <f t="shared" si="16"/>
        <v>0</v>
      </c>
      <c r="AJ83" s="3">
        <v>1.5993999999999999E-7</v>
      </c>
      <c r="AK83" s="3">
        <v>8937.9897353436609</v>
      </c>
      <c r="AL83" s="16">
        <v>1.0710490848164301E-3</v>
      </c>
      <c r="AM83">
        <f t="shared" si="17"/>
        <v>9.5730257261384732</v>
      </c>
      <c r="AO83" s="3">
        <v>1.5993999999999999E-7</v>
      </c>
      <c r="AP83" s="3">
        <v>8937.9897353436609</v>
      </c>
      <c r="AQ83" s="17">
        <v>1.41544161432972E-5</v>
      </c>
      <c r="AR83">
        <f t="shared" si="18"/>
        <v>0.12651202619857299</v>
      </c>
      <c r="AT83" s="3">
        <v>1.5993999999999999E-7</v>
      </c>
      <c r="AU83" s="3">
        <v>8937.9897353436609</v>
      </c>
      <c r="AV83" s="16">
        <v>0</v>
      </c>
      <c r="AW83">
        <f t="shared" si="19"/>
        <v>0</v>
      </c>
    </row>
    <row r="84" spans="1:49" x14ac:dyDescent="0.3">
      <c r="A84" s="3">
        <v>1.8052E-7</v>
      </c>
      <c r="B84" s="16">
        <v>9656.7821233887098</v>
      </c>
      <c r="C84" s="16">
        <v>7.1199092133220603E-3</v>
      </c>
      <c r="D84">
        <f t="shared" si="10"/>
        <v>68.755412011359041</v>
      </c>
      <c r="F84" s="3">
        <v>1.8052E-7</v>
      </c>
      <c r="G84" s="3">
        <v>9656.7821233887098</v>
      </c>
      <c r="H84" s="16">
        <v>0</v>
      </c>
      <c r="I84">
        <f t="shared" si="11"/>
        <v>0</v>
      </c>
      <c r="K84" s="3">
        <v>1.8052E-7</v>
      </c>
      <c r="L84" s="3">
        <v>9656.7821233887098</v>
      </c>
      <c r="M84" s="16">
        <v>0</v>
      </c>
      <c r="N84">
        <f t="shared" si="12"/>
        <v>0</v>
      </c>
      <c r="P84" s="3">
        <v>1.8052E-7</v>
      </c>
      <c r="Q84" s="3">
        <v>9656.7821233887098</v>
      </c>
      <c r="R84" s="16">
        <v>0</v>
      </c>
      <c r="S84">
        <f t="shared" si="13"/>
        <v>0</v>
      </c>
      <c r="U84" s="3">
        <v>1.8052E-7</v>
      </c>
      <c r="V84" s="3">
        <v>9656.7821233887098</v>
      </c>
      <c r="W84" s="16">
        <v>0</v>
      </c>
      <c r="X84">
        <f t="shared" si="14"/>
        <v>0</v>
      </c>
      <c r="Z84" s="3">
        <v>1.8052E-7</v>
      </c>
      <c r="AA84" s="3">
        <v>9656.7821233887098</v>
      </c>
      <c r="AB84" s="16">
        <v>0</v>
      </c>
      <c r="AC84">
        <f t="shared" si="15"/>
        <v>0</v>
      </c>
      <c r="AE84" s="3">
        <v>1.8052E-7</v>
      </c>
      <c r="AF84" s="3">
        <v>9656.7821233887098</v>
      </c>
      <c r="AG84" s="16">
        <v>0</v>
      </c>
      <c r="AH84">
        <f t="shared" si="16"/>
        <v>0</v>
      </c>
      <c r="AJ84" s="3">
        <v>1.8052E-7</v>
      </c>
      <c r="AK84" s="3">
        <v>9656.7821233887098</v>
      </c>
      <c r="AL84" s="16">
        <v>9.9539029665669104E-4</v>
      </c>
      <c r="AM84">
        <f t="shared" si="17"/>
        <v>9.612267222548919</v>
      </c>
      <c r="AO84" s="3">
        <v>1.8052E-7</v>
      </c>
      <c r="AP84" s="3">
        <v>9656.7821233887098</v>
      </c>
      <c r="AQ84" s="17">
        <v>1.3158280566656999E-5</v>
      </c>
      <c r="AR84">
        <f t="shared" si="18"/>
        <v>0.12706664855062638</v>
      </c>
      <c r="AT84" s="3">
        <v>1.8052E-7</v>
      </c>
      <c r="AU84" s="3">
        <v>9656.7821233887098</v>
      </c>
      <c r="AV84" s="16">
        <v>0</v>
      </c>
      <c r="AW84">
        <f t="shared" si="19"/>
        <v>0</v>
      </c>
    </row>
    <row r="85" spans="1:49" x14ac:dyDescent="0.3">
      <c r="A85" s="3">
        <v>2.0374E-7</v>
      </c>
      <c r="B85" s="16">
        <v>10527.2109258574</v>
      </c>
      <c r="C85" s="16">
        <v>6.8055994414693904E-3</v>
      </c>
      <c r="D85">
        <f t="shared" si="10"/>
        <v>71.64398079724559</v>
      </c>
      <c r="F85" s="3">
        <v>2.0374E-7</v>
      </c>
      <c r="G85" s="3">
        <v>10527.2109258574</v>
      </c>
      <c r="H85" s="16">
        <v>0</v>
      </c>
      <c r="I85">
        <f t="shared" si="11"/>
        <v>0</v>
      </c>
      <c r="K85" s="3">
        <v>2.0374E-7</v>
      </c>
      <c r="L85" s="3">
        <v>10527.2109258574</v>
      </c>
      <c r="M85" s="16">
        <v>0</v>
      </c>
      <c r="N85">
        <f t="shared" si="12"/>
        <v>0</v>
      </c>
      <c r="P85" s="3">
        <v>2.0374E-7</v>
      </c>
      <c r="Q85" s="3">
        <v>10527.2109258574</v>
      </c>
      <c r="R85" s="16">
        <v>0</v>
      </c>
      <c r="S85">
        <f t="shared" si="13"/>
        <v>0</v>
      </c>
      <c r="U85" s="3">
        <v>2.0374E-7</v>
      </c>
      <c r="V85" s="3">
        <v>10527.2109258574</v>
      </c>
      <c r="W85" s="16">
        <v>0</v>
      </c>
      <c r="X85">
        <f t="shared" si="14"/>
        <v>0</v>
      </c>
      <c r="Z85" s="3">
        <v>2.0374E-7</v>
      </c>
      <c r="AA85" s="3">
        <v>10527.2109258574</v>
      </c>
      <c r="AB85" s="16">
        <v>0</v>
      </c>
      <c r="AC85">
        <f t="shared" si="15"/>
        <v>0</v>
      </c>
      <c r="AE85" s="3">
        <v>2.0374E-7</v>
      </c>
      <c r="AF85" s="3">
        <v>10527.2109258574</v>
      </c>
      <c r="AG85" s="16">
        <v>0</v>
      </c>
      <c r="AH85">
        <f t="shared" si="16"/>
        <v>0</v>
      </c>
      <c r="AJ85" s="3">
        <v>2.0374E-7</v>
      </c>
      <c r="AK85" s="3">
        <v>10527.2109258574</v>
      </c>
      <c r="AL85" s="16">
        <v>9.2454426509438103E-4</v>
      </c>
      <c r="AM85">
        <f t="shared" si="17"/>
        <v>9.7328724889403677</v>
      </c>
      <c r="AO85" s="3">
        <v>2.0374E-7</v>
      </c>
      <c r="AP85" s="3">
        <v>10527.2109258574</v>
      </c>
      <c r="AQ85" s="17">
        <v>1.22253712713701E-5</v>
      </c>
      <c r="AR85">
        <f t="shared" si="18"/>
        <v>0.1286990620206305</v>
      </c>
      <c r="AT85" s="3">
        <v>2.0374E-7</v>
      </c>
      <c r="AU85" s="3">
        <v>10527.2109258574</v>
      </c>
      <c r="AV85" s="16">
        <v>0</v>
      </c>
      <c r="AW85">
        <f t="shared" si="19"/>
        <v>0</v>
      </c>
    </row>
    <row r="86" spans="1:49" x14ac:dyDescent="0.3">
      <c r="A86" s="3">
        <v>2.2994000000000001E-7</v>
      </c>
      <c r="B86" s="16">
        <v>10037.101919573801</v>
      </c>
      <c r="C86" s="16">
        <v>6.5106334596823799E-3</v>
      </c>
      <c r="D86">
        <f t="shared" si="10"/>
        <v>65.347891595819434</v>
      </c>
      <c r="F86" s="3">
        <v>2.2994000000000001E-7</v>
      </c>
      <c r="G86" s="3">
        <v>10037.101919573801</v>
      </c>
      <c r="H86" s="16">
        <v>0</v>
      </c>
      <c r="I86">
        <f t="shared" si="11"/>
        <v>0</v>
      </c>
      <c r="K86" s="3">
        <v>2.2994000000000001E-7</v>
      </c>
      <c r="L86" s="3">
        <v>10037.101919573801</v>
      </c>
      <c r="M86" s="16">
        <v>0</v>
      </c>
      <c r="N86">
        <f t="shared" si="12"/>
        <v>0</v>
      </c>
      <c r="P86" s="3">
        <v>2.2994000000000001E-7</v>
      </c>
      <c r="Q86" s="3">
        <v>10037.101919573801</v>
      </c>
      <c r="R86" s="16">
        <v>0</v>
      </c>
      <c r="S86">
        <f t="shared" si="13"/>
        <v>0</v>
      </c>
      <c r="U86" s="3">
        <v>2.2994000000000001E-7</v>
      </c>
      <c r="V86" s="3">
        <v>10037.101919573801</v>
      </c>
      <c r="W86" s="16">
        <v>0</v>
      </c>
      <c r="X86">
        <f t="shared" si="14"/>
        <v>0</v>
      </c>
      <c r="Z86" s="3">
        <v>2.2994000000000001E-7</v>
      </c>
      <c r="AA86" s="3">
        <v>10037.101919573801</v>
      </c>
      <c r="AB86" s="16">
        <v>0</v>
      </c>
      <c r="AC86">
        <f t="shared" si="15"/>
        <v>0</v>
      </c>
      <c r="AE86" s="3">
        <v>2.2994000000000001E-7</v>
      </c>
      <c r="AF86" s="3">
        <v>10037.101919573801</v>
      </c>
      <c r="AG86" s="16">
        <v>0</v>
      </c>
      <c r="AH86">
        <f t="shared" si="16"/>
        <v>0</v>
      </c>
      <c r="AJ86" s="3">
        <v>2.2994000000000001E-7</v>
      </c>
      <c r="AK86" s="3">
        <v>10037.101919573801</v>
      </c>
      <c r="AL86" s="16">
        <v>8.8028356771004904E-4</v>
      </c>
      <c r="AM86">
        <f t="shared" si="17"/>
        <v>8.8354958872318079</v>
      </c>
      <c r="AO86" s="3">
        <v>2.2994000000000001E-7</v>
      </c>
      <c r="AP86" s="3">
        <v>10037.101919573801</v>
      </c>
      <c r="AQ86" s="17">
        <v>1.16431932301306E-5</v>
      </c>
      <c r="AR86">
        <f t="shared" si="18"/>
        <v>0.11686391712011253</v>
      </c>
      <c r="AT86" s="3">
        <v>2.2994000000000001E-7</v>
      </c>
      <c r="AU86" s="3">
        <v>10037.101919573801</v>
      </c>
      <c r="AV86" s="16">
        <v>0</v>
      </c>
      <c r="AW86">
        <f t="shared" si="19"/>
        <v>0</v>
      </c>
    </row>
    <row r="87" spans="1:49" x14ac:dyDescent="0.3">
      <c r="A87" s="3">
        <v>2.5951999999999998E-7</v>
      </c>
      <c r="B87" s="16">
        <v>10903.936771336301</v>
      </c>
      <c r="C87" s="16">
        <v>6.2346000783385898E-3</v>
      </c>
      <c r="D87">
        <f t="shared" si="10"/>
        <v>67.981685048772334</v>
      </c>
      <c r="F87" s="3">
        <v>2.5951999999999998E-7</v>
      </c>
      <c r="G87" s="3">
        <v>10903.936771336301</v>
      </c>
      <c r="H87" s="16">
        <v>0</v>
      </c>
      <c r="I87">
        <f t="shared" si="11"/>
        <v>0</v>
      </c>
      <c r="K87" s="3">
        <v>2.5951999999999998E-7</v>
      </c>
      <c r="L87" s="3">
        <v>10903.936771336301</v>
      </c>
      <c r="M87" s="16">
        <v>0</v>
      </c>
      <c r="N87">
        <f t="shared" si="12"/>
        <v>0</v>
      </c>
      <c r="P87" s="3">
        <v>2.5951999999999998E-7</v>
      </c>
      <c r="Q87" s="3">
        <v>10903.936771336301</v>
      </c>
      <c r="R87" s="16">
        <v>0</v>
      </c>
      <c r="S87">
        <f t="shared" si="13"/>
        <v>0</v>
      </c>
      <c r="U87" s="3">
        <v>2.5951999999999998E-7</v>
      </c>
      <c r="V87" s="3">
        <v>10903.936771336301</v>
      </c>
      <c r="W87" s="16">
        <v>0</v>
      </c>
      <c r="X87">
        <f t="shared" si="14"/>
        <v>0</v>
      </c>
      <c r="Z87" s="3">
        <v>2.5951999999999998E-7</v>
      </c>
      <c r="AA87" s="3">
        <v>10903.936771336301</v>
      </c>
      <c r="AB87" s="16">
        <v>0</v>
      </c>
      <c r="AC87">
        <f t="shared" si="15"/>
        <v>0</v>
      </c>
      <c r="AE87" s="3">
        <v>2.5951999999999998E-7</v>
      </c>
      <c r="AF87" s="3">
        <v>10903.936771336301</v>
      </c>
      <c r="AG87" s="16">
        <v>0</v>
      </c>
      <c r="AH87">
        <f t="shared" si="16"/>
        <v>0</v>
      </c>
      <c r="AJ87" s="3">
        <v>2.5951999999999998E-7</v>
      </c>
      <c r="AK87" s="3">
        <v>10903.936771336301</v>
      </c>
      <c r="AL87" s="16">
        <v>8.3814989309891996E-4</v>
      </c>
      <c r="AM87">
        <f t="shared" si="17"/>
        <v>9.1391334392529036</v>
      </c>
      <c r="AO87" s="3">
        <v>2.5951999999999998E-7</v>
      </c>
      <c r="AP87" s="3">
        <v>10903.936771336301</v>
      </c>
      <c r="AQ87" s="17">
        <v>1.1088952382977399E-5</v>
      </c>
      <c r="AR87">
        <f t="shared" si="18"/>
        <v>0.12091323564434456</v>
      </c>
      <c r="AT87" s="3">
        <v>2.5951999999999998E-7</v>
      </c>
      <c r="AU87" s="3">
        <v>10903.936771336301</v>
      </c>
      <c r="AV87" s="16">
        <v>0</v>
      </c>
      <c r="AW87">
        <f t="shared" si="19"/>
        <v>0</v>
      </c>
    </row>
    <row r="88" spans="1:49" x14ac:dyDescent="0.3">
      <c r="A88" s="3">
        <v>2.9289999999999998E-7</v>
      </c>
      <c r="B88" s="16">
        <v>11738.7404116136</v>
      </c>
      <c r="C88" s="16">
        <v>5.9766411625737101E-3</v>
      </c>
      <c r="D88">
        <f t="shared" si="10"/>
        <v>70.158239140817301</v>
      </c>
      <c r="F88" s="3">
        <v>2.9289999999999998E-7</v>
      </c>
      <c r="G88" s="3">
        <v>11738.7404116136</v>
      </c>
      <c r="H88" s="16">
        <v>0</v>
      </c>
      <c r="I88">
        <f t="shared" si="11"/>
        <v>0</v>
      </c>
      <c r="K88" s="3">
        <v>2.9289999999999998E-7</v>
      </c>
      <c r="L88" s="3">
        <v>11738.7404116136</v>
      </c>
      <c r="M88" s="16">
        <v>0</v>
      </c>
      <c r="N88">
        <f t="shared" si="12"/>
        <v>0</v>
      </c>
      <c r="P88" s="3">
        <v>2.9289999999999998E-7</v>
      </c>
      <c r="Q88" s="3">
        <v>11738.7404116136</v>
      </c>
      <c r="R88" s="16">
        <v>0</v>
      </c>
      <c r="S88">
        <f t="shared" si="13"/>
        <v>0</v>
      </c>
      <c r="U88" s="3">
        <v>2.9289999999999998E-7</v>
      </c>
      <c r="V88" s="3">
        <v>11738.7404116136</v>
      </c>
      <c r="W88" s="16">
        <v>0</v>
      </c>
      <c r="X88">
        <f t="shared" si="14"/>
        <v>0</v>
      </c>
      <c r="Z88" s="3">
        <v>2.9289999999999998E-7</v>
      </c>
      <c r="AA88" s="3">
        <v>11738.7404116136</v>
      </c>
      <c r="AB88" s="16">
        <v>0</v>
      </c>
      <c r="AC88">
        <f t="shared" si="15"/>
        <v>0</v>
      </c>
      <c r="AE88" s="3">
        <v>2.9289999999999998E-7</v>
      </c>
      <c r="AF88" s="3">
        <v>11738.7404116136</v>
      </c>
      <c r="AG88" s="16">
        <v>0</v>
      </c>
      <c r="AH88">
        <f t="shared" si="16"/>
        <v>0</v>
      </c>
      <c r="AJ88" s="3">
        <v>2.9289999999999998E-7</v>
      </c>
      <c r="AK88" s="3">
        <v>11738.7404116136</v>
      </c>
      <c r="AL88" s="16">
        <v>7.9810893444207196E-4</v>
      </c>
      <c r="AM88">
        <f t="shared" si="17"/>
        <v>9.3687936016050202</v>
      </c>
      <c r="AO88" s="3">
        <v>2.9289999999999998E-7</v>
      </c>
      <c r="AP88" s="3">
        <v>11738.7404116136</v>
      </c>
      <c r="AQ88" s="17">
        <v>1.05614540472687E-5</v>
      </c>
      <c r="AR88">
        <f t="shared" si="18"/>
        <v>0.1239781674300731</v>
      </c>
      <c r="AT88" s="3">
        <v>2.9289999999999998E-7</v>
      </c>
      <c r="AU88" s="3">
        <v>11738.7404116136</v>
      </c>
      <c r="AV88" s="16">
        <v>0</v>
      </c>
      <c r="AW88">
        <f t="shared" si="19"/>
        <v>0</v>
      </c>
    </row>
    <row r="89" spans="1:49" x14ac:dyDescent="0.3">
      <c r="A89" s="3">
        <v>3.3056999999999997E-7</v>
      </c>
      <c r="B89" s="16">
        <v>12581.079592702299</v>
      </c>
      <c r="C89" s="16">
        <v>5.6249578296006198E-3</v>
      </c>
      <c r="D89">
        <f t="shared" si="10"/>
        <v>70.768042159799379</v>
      </c>
      <c r="F89" s="3">
        <v>3.3056999999999997E-7</v>
      </c>
      <c r="G89" s="3">
        <v>12581.079592702299</v>
      </c>
      <c r="H89" s="16">
        <v>0</v>
      </c>
      <c r="I89">
        <f t="shared" si="11"/>
        <v>0</v>
      </c>
      <c r="K89" s="3">
        <v>3.3056999999999997E-7</v>
      </c>
      <c r="L89" s="3">
        <v>12581.079592702299</v>
      </c>
      <c r="M89" s="16">
        <v>0</v>
      </c>
      <c r="N89">
        <f t="shared" si="12"/>
        <v>0</v>
      </c>
      <c r="P89" s="3">
        <v>3.3056999999999997E-7</v>
      </c>
      <c r="Q89" s="3">
        <v>12581.079592702299</v>
      </c>
      <c r="R89" s="16">
        <v>0</v>
      </c>
      <c r="S89">
        <f t="shared" si="13"/>
        <v>0</v>
      </c>
      <c r="U89" s="3">
        <v>3.3056999999999997E-7</v>
      </c>
      <c r="V89" s="3">
        <v>12581.079592702299</v>
      </c>
      <c r="W89" s="16">
        <v>0</v>
      </c>
      <c r="X89">
        <f t="shared" si="14"/>
        <v>0</v>
      </c>
      <c r="Z89" s="3">
        <v>3.3056999999999997E-7</v>
      </c>
      <c r="AA89" s="3">
        <v>12581.079592702299</v>
      </c>
      <c r="AB89" s="16">
        <v>0</v>
      </c>
      <c r="AC89">
        <f t="shared" si="15"/>
        <v>0</v>
      </c>
      <c r="AE89" s="3">
        <v>3.3056999999999997E-7</v>
      </c>
      <c r="AF89" s="3">
        <v>12581.079592702299</v>
      </c>
      <c r="AG89" s="16">
        <v>0</v>
      </c>
      <c r="AH89">
        <f t="shared" si="16"/>
        <v>0</v>
      </c>
      <c r="AJ89" s="3">
        <v>3.3056999999999997E-7</v>
      </c>
      <c r="AK89" s="3">
        <v>12581.079592702299</v>
      </c>
      <c r="AL89" s="16">
        <v>7.4175508338751096E-4</v>
      </c>
      <c r="AM89">
        <f t="shared" si="17"/>
        <v>9.3320797423898068</v>
      </c>
      <c r="AO89" s="3">
        <v>3.3056999999999997E-7</v>
      </c>
      <c r="AP89" s="3">
        <v>12581.079592702299</v>
      </c>
      <c r="AQ89" s="17">
        <v>9.8203372653309898E-6</v>
      </c>
      <c r="AR89">
        <f t="shared" si="18"/>
        <v>0.12355044476230961</v>
      </c>
      <c r="AT89" s="3">
        <v>3.3056999999999997E-7</v>
      </c>
      <c r="AU89" s="3">
        <v>12581.079592702299</v>
      </c>
      <c r="AV89" s="16">
        <v>0</v>
      </c>
      <c r="AW89">
        <f t="shared" si="19"/>
        <v>0</v>
      </c>
    </row>
    <row r="90" spans="1:49" x14ac:dyDescent="0.3">
      <c r="A90" s="3">
        <v>3.7309000000000001E-7</v>
      </c>
      <c r="B90" s="16">
        <v>12886.3417977225</v>
      </c>
      <c r="C90" s="16">
        <v>5.30747474653107E-3</v>
      </c>
      <c r="D90">
        <f t="shared" si="10"/>
        <v>68.393933666579954</v>
      </c>
      <c r="F90" s="3">
        <v>3.7309000000000001E-7</v>
      </c>
      <c r="G90" s="3">
        <v>12886.3417977225</v>
      </c>
      <c r="H90" s="16">
        <v>0</v>
      </c>
      <c r="I90">
        <f t="shared" si="11"/>
        <v>0</v>
      </c>
      <c r="K90" s="3">
        <v>3.7309000000000001E-7</v>
      </c>
      <c r="L90" s="3">
        <v>12886.3417977225</v>
      </c>
      <c r="M90" s="16">
        <v>0</v>
      </c>
      <c r="N90">
        <f t="shared" si="12"/>
        <v>0</v>
      </c>
      <c r="P90" s="3">
        <v>3.7309000000000001E-7</v>
      </c>
      <c r="Q90" s="3">
        <v>12886.3417977225</v>
      </c>
      <c r="R90" s="16">
        <v>0</v>
      </c>
      <c r="S90">
        <f t="shared" si="13"/>
        <v>0</v>
      </c>
      <c r="U90" s="3">
        <v>3.7309000000000001E-7</v>
      </c>
      <c r="V90" s="3">
        <v>12886.3417977225</v>
      </c>
      <c r="W90" s="16">
        <v>0</v>
      </c>
      <c r="X90">
        <f t="shared" si="14"/>
        <v>0</v>
      </c>
      <c r="Z90" s="3">
        <v>3.7309000000000001E-7</v>
      </c>
      <c r="AA90" s="3">
        <v>12886.3417977225</v>
      </c>
      <c r="AB90" s="16">
        <v>0</v>
      </c>
      <c r="AC90">
        <f t="shared" si="15"/>
        <v>0</v>
      </c>
      <c r="AE90" s="3">
        <v>3.7309000000000001E-7</v>
      </c>
      <c r="AF90" s="3">
        <v>12886.3417977225</v>
      </c>
      <c r="AG90" s="16">
        <v>0</v>
      </c>
      <c r="AH90">
        <f t="shared" si="16"/>
        <v>0</v>
      </c>
      <c r="AJ90" s="3">
        <v>3.7309000000000001E-7</v>
      </c>
      <c r="AK90" s="3">
        <v>12886.3417977225</v>
      </c>
      <c r="AL90" s="16">
        <v>6.8896914150090301E-4</v>
      </c>
      <c r="AM90">
        <f t="shared" si="17"/>
        <v>8.8782918454640747</v>
      </c>
      <c r="AO90" s="3">
        <v>3.7309000000000001E-7</v>
      </c>
      <c r="AP90" s="3">
        <v>12886.3417977225</v>
      </c>
      <c r="AQ90" s="17">
        <v>9.1264380173456798E-6</v>
      </c>
      <c r="AR90">
        <f t="shared" si="18"/>
        <v>0.11760639968724529</v>
      </c>
      <c r="AT90" s="3">
        <v>3.7309000000000001E-7</v>
      </c>
      <c r="AU90" s="3">
        <v>12886.3417977225</v>
      </c>
      <c r="AV90" s="16">
        <v>0</v>
      </c>
      <c r="AW90">
        <f t="shared" si="19"/>
        <v>0</v>
      </c>
    </row>
    <row r="91" spans="1:49" x14ac:dyDescent="0.3">
      <c r="A91" s="3">
        <v>4.2108000000000001E-7</v>
      </c>
      <c r="B91" s="16">
        <v>13758.351773869501</v>
      </c>
      <c r="C91" s="16">
        <v>5.1061348539990902E-3</v>
      </c>
      <c r="D91">
        <f t="shared" si="10"/>
        <v>70.251999526135265</v>
      </c>
      <c r="F91" s="3">
        <v>4.2108000000000001E-7</v>
      </c>
      <c r="G91" s="3">
        <v>13758.351773869501</v>
      </c>
      <c r="H91" s="16">
        <v>0</v>
      </c>
      <c r="I91">
        <f t="shared" si="11"/>
        <v>0</v>
      </c>
      <c r="K91" s="3">
        <v>4.2108000000000001E-7</v>
      </c>
      <c r="L91" s="3">
        <v>13758.351773869501</v>
      </c>
      <c r="M91" s="16">
        <v>0</v>
      </c>
      <c r="N91">
        <f t="shared" si="12"/>
        <v>0</v>
      </c>
      <c r="P91" s="3">
        <v>4.2108000000000001E-7</v>
      </c>
      <c r="Q91" s="3">
        <v>13758.351773869501</v>
      </c>
      <c r="R91" s="16">
        <v>0</v>
      </c>
      <c r="S91">
        <f t="shared" si="13"/>
        <v>0</v>
      </c>
      <c r="U91" s="3">
        <v>4.2108000000000001E-7</v>
      </c>
      <c r="V91" s="3">
        <v>13758.351773869501</v>
      </c>
      <c r="W91" s="16">
        <v>0</v>
      </c>
      <c r="X91">
        <f t="shared" si="14"/>
        <v>0</v>
      </c>
      <c r="Z91" s="3">
        <v>4.2108000000000001E-7</v>
      </c>
      <c r="AA91" s="3">
        <v>13758.351773869501</v>
      </c>
      <c r="AB91" s="16">
        <v>0</v>
      </c>
      <c r="AC91">
        <f t="shared" si="15"/>
        <v>0</v>
      </c>
      <c r="AE91" s="3">
        <v>4.2108000000000001E-7</v>
      </c>
      <c r="AF91" s="3">
        <v>13758.351773869501</v>
      </c>
      <c r="AG91" s="16">
        <v>0</v>
      </c>
      <c r="AH91">
        <f t="shared" si="16"/>
        <v>0</v>
      </c>
      <c r="AJ91" s="3">
        <v>4.2108000000000001E-7</v>
      </c>
      <c r="AK91" s="3">
        <v>13758.351773869501</v>
      </c>
      <c r="AL91" s="16">
        <v>6.5600028851624996E-4</v>
      </c>
      <c r="AM91">
        <f t="shared" si="17"/>
        <v>9.0254827331664522</v>
      </c>
      <c r="AO91" s="3">
        <v>4.2108000000000001E-7</v>
      </c>
      <c r="AP91" s="3">
        <v>13758.351773869501</v>
      </c>
      <c r="AQ91" s="17">
        <v>8.6934850279396101E-6</v>
      </c>
      <c r="AR91">
        <f t="shared" si="18"/>
        <v>0.11960802515526088</v>
      </c>
      <c r="AT91" s="3">
        <v>4.2108000000000001E-7</v>
      </c>
      <c r="AU91" s="3">
        <v>13758.351773869501</v>
      </c>
      <c r="AV91" s="16">
        <v>0</v>
      </c>
      <c r="AW91">
        <f t="shared" si="19"/>
        <v>0</v>
      </c>
    </row>
    <row r="92" spans="1:49" x14ac:dyDescent="0.3">
      <c r="A92" s="3">
        <v>4.7524000000000001E-7</v>
      </c>
      <c r="B92" s="16">
        <v>14376.8057562411</v>
      </c>
      <c r="C92" s="16">
        <v>4.9237275619103101E-3</v>
      </c>
      <c r="D92">
        <f t="shared" si="10"/>
        <v>70.787474754235106</v>
      </c>
      <c r="F92" s="3">
        <v>4.7524000000000001E-7</v>
      </c>
      <c r="G92" s="3">
        <v>14376.8057562411</v>
      </c>
      <c r="H92" s="16">
        <v>0</v>
      </c>
      <c r="I92">
        <f t="shared" si="11"/>
        <v>0</v>
      </c>
      <c r="K92" s="3">
        <v>4.7524000000000001E-7</v>
      </c>
      <c r="L92" s="3">
        <v>14376.8057562411</v>
      </c>
      <c r="M92" s="16">
        <v>0</v>
      </c>
      <c r="N92">
        <f t="shared" si="12"/>
        <v>0</v>
      </c>
      <c r="P92" s="3">
        <v>4.7524000000000001E-7</v>
      </c>
      <c r="Q92" s="3">
        <v>14376.8057562411</v>
      </c>
      <c r="R92" s="16">
        <v>0</v>
      </c>
      <c r="S92">
        <f t="shared" si="13"/>
        <v>0</v>
      </c>
      <c r="U92" s="3">
        <v>4.7524000000000001E-7</v>
      </c>
      <c r="V92" s="3">
        <v>14376.8057562411</v>
      </c>
      <c r="W92" s="16">
        <v>0</v>
      </c>
      <c r="X92">
        <f t="shared" si="14"/>
        <v>0</v>
      </c>
      <c r="Z92" s="3">
        <v>4.7524000000000001E-7</v>
      </c>
      <c r="AA92" s="3">
        <v>14376.8057562411</v>
      </c>
      <c r="AB92" s="16">
        <v>0</v>
      </c>
      <c r="AC92">
        <f t="shared" si="15"/>
        <v>0</v>
      </c>
      <c r="AE92" s="3">
        <v>4.7524000000000001E-7</v>
      </c>
      <c r="AF92" s="3">
        <v>14376.8057562411</v>
      </c>
      <c r="AG92" s="16">
        <v>0</v>
      </c>
      <c r="AH92">
        <f t="shared" si="16"/>
        <v>0</v>
      </c>
      <c r="AJ92" s="3">
        <v>4.7524000000000001E-7</v>
      </c>
      <c r="AK92" s="3">
        <v>14376.8057562411</v>
      </c>
      <c r="AL92" s="16">
        <v>6.2462915309856499E-4</v>
      </c>
      <c r="AM92">
        <f t="shared" si="17"/>
        <v>8.9801720037834514</v>
      </c>
      <c r="AO92" s="3">
        <v>4.7524000000000001E-7</v>
      </c>
      <c r="AP92" s="3">
        <v>14376.8057562411</v>
      </c>
      <c r="AQ92" s="17">
        <v>8.2814481746323707E-6</v>
      </c>
      <c r="AR92">
        <f t="shared" si="18"/>
        <v>0.11906077178706702</v>
      </c>
      <c r="AT92" s="3">
        <v>4.7524000000000001E-7</v>
      </c>
      <c r="AU92" s="3">
        <v>14376.8057562411</v>
      </c>
      <c r="AV92" s="16">
        <v>0</v>
      </c>
      <c r="AW92">
        <f t="shared" si="19"/>
        <v>0</v>
      </c>
    </row>
    <row r="93" spans="1:49" x14ac:dyDescent="0.3">
      <c r="A93" s="3">
        <v>5.3636999999999998E-7</v>
      </c>
      <c r="B93" s="16">
        <v>14565.926113601199</v>
      </c>
      <c r="C93" s="16">
        <v>4.7603243815034198E-3</v>
      </c>
      <c r="D93">
        <f t="shared" si="10"/>
        <v>69.338533217753138</v>
      </c>
      <c r="F93" s="3">
        <v>5.3636999999999998E-7</v>
      </c>
      <c r="G93" s="3">
        <v>14565.926113601199</v>
      </c>
      <c r="H93" s="16">
        <v>0</v>
      </c>
      <c r="I93">
        <f t="shared" si="11"/>
        <v>0</v>
      </c>
      <c r="K93" s="3">
        <v>5.3636999999999998E-7</v>
      </c>
      <c r="L93" s="3">
        <v>14565.926113601199</v>
      </c>
      <c r="M93" s="16">
        <v>0</v>
      </c>
      <c r="N93">
        <f t="shared" si="12"/>
        <v>0</v>
      </c>
      <c r="P93" s="3">
        <v>5.3636999999999998E-7</v>
      </c>
      <c r="Q93" s="3">
        <v>14565.926113601199</v>
      </c>
      <c r="R93" s="16">
        <v>0</v>
      </c>
      <c r="S93">
        <f t="shared" si="13"/>
        <v>0</v>
      </c>
      <c r="U93" s="3">
        <v>5.3636999999999998E-7</v>
      </c>
      <c r="V93" s="3">
        <v>14565.926113601199</v>
      </c>
      <c r="W93" s="16">
        <v>0</v>
      </c>
      <c r="X93">
        <f t="shared" si="14"/>
        <v>0</v>
      </c>
      <c r="Z93" s="3">
        <v>5.3636999999999998E-7</v>
      </c>
      <c r="AA93" s="3">
        <v>14565.926113601199</v>
      </c>
      <c r="AB93" s="16">
        <v>0</v>
      </c>
      <c r="AC93">
        <f t="shared" si="15"/>
        <v>0</v>
      </c>
      <c r="AE93" s="3">
        <v>5.3636999999999998E-7</v>
      </c>
      <c r="AF93" s="3">
        <v>14565.926113601199</v>
      </c>
      <c r="AG93" s="16">
        <v>0</v>
      </c>
      <c r="AH93">
        <f t="shared" si="16"/>
        <v>0</v>
      </c>
      <c r="AJ93" s="3">
        <v>5.3636999999999998E-7</v>
      </c>
      <c r="AK93" s="3">
        <v>14565.926113601199</v>
      </c>
      <c r="AL93" s="16">
        <v>5.8054979175711004E-4</v>
      </c>
      <c r="AM93">
        <f t="shared" si="17"/>
        <v>8.4562453720006268</v>
      </c>
      <c r="AO93" s="3">
        <v>5.3636999999999998E-7</v>
      </c>
      <c r="AP93" s="3">
        <v>14565.926113601199</v>
      </c>
      <c r="AQ93" s="17">
        <v>7.7027439029207208E-6</v>
      </c>
      <c r="AR93">
        <f t="shared" si="18"/>
        <v>0.11219759856193534</v>
      </c>
      <c r="AT93" s="3">
        <v>5.3636999999999998E-7</v>
      </c>
      <c r="AU93" s="3">
        <v>14565.926113601199</v>
      </c>
      <c r="AV93" s="16">
        <v>0</v>
      </c>
      <c r="AW93">
        <f t="shared" si="19"/>
        <v>0</v>
      </c>
    </row>
    <row r="94" spans="1:49" x14ac:dyDescent="0.3">
      <c r="A94" s="3">
        <v>6.0536000000000002E-7</v>
      </c>
      <c r="B94" s="16">
        <v>15951.419415083799</v>
      </c>
      <c r="C94" s="16">
        <v>4.6163007467815596E-3</v>
      </c>
      <c r="D94">
        <f t="shared" si="10"/>
        <v>73.636549358077218</v>
      </c>
      <c r="F94" s="3">
        <v>6.0536000000000002E-7</v>
      </c>
      <c r="G94" s="3">
        <v>15951.419415083799</v>
      </c>
      <c r="H94" s="16">
        <v>0</v>
      </c>
      <c r="I94">
        <f t="shared" si="11"/>
        <v>0</v>
      </c>
      <c r="K94" s="3">
        <v>6.0536000000000002E-7</v>
      </c>
      <c r="L94" s="3">
        <v>15951.419415083799</v>
      </c>
      <c r="M94" s="16">
        <v>0</v>
      </c>
      <c r="N94">
        <f t="shared" si="12"/>
        <v>0</v>
      </c>
      <c r="P94" s="3">
        <v>6.0536000000000002E-7</v>
      </c>
      <c r="Q94" s="3">
        <v>15951.419415083799</v>
      </c>
      <c r="R94" s="16">
        <v>0</v>
      </c>
      <c r="S94">
        <f t="shared" si="13"/>
        <v>0</v>
      </c>
      <c r="U94" s="3">
        <v>6.0536000000000002E-7</v>
      </c>
      <c r="V94" s="3">
        <v>15951.419415083799</v>
      </c>
      <c r="W94" s="16">
        <v>0</v>
      </c>
      <c r="X94">
        <f t="shared" si="14"/>
        <v>0</v>
      </c>
      <c r="Z94" s="3">
        <v>6.0536000000000002E-7</v>
      </c>
      <c r="AA94" s="3">
        <v>15951.419415083799</v>
      </c>
      <c r="AB94" s="16">
        <v>0</v>
      </c>
      <c r="AC94">
        <f t="shared" si="15"/>
        <v>0</v>
      </c>
      <c r="AE94" s="3">
        <v>6.0536000000000002E-7</v>
      </c>
      <c r="AF94" s="3">
        <v>15951.419415083799</v>
      </c>
      <c r="AG94" s="16">
        <v>0</v>
      </c>
      <c r="AH94">
        <f t="shared" si="16"/>
        <v>0</v>
      </c>
      <c r="AJ94" s="3">
        <v>6.0536000000000002E-7</v>
      </c>
      <c r="AK94" s="3">
        <v>15951.419415083799</v>
      </c>
      <c r="AL94" s="16">
        <v>5.3916596618814705E-4</v>
      </c>
      <c r="AM94">
        <f t="shared" si="17"/>
        <v>8.6004624610060247</v>
      </c>
      <c r="AO94" s="3">
        <v>6.0536000000000002E-7</v>
      </c>
      <c r="AP94" s="3">
        <v>15951.419415083799</v>
      </c>
      <c r="AQ94" s="17">
        <v>7.1611023627058197E-6</v>
      </c>
      <c r="AR94">
        <f t="shared" si="18"/>
        <v>0.11422974726186808</v>
      </c>
      <c r="AT94" s="3">
        <v>6.0536000000000002E-7</v>
      </c>
      <c r="AU94" s="3">
        <v>15951.419415083799</v>
      </c>
      <c r="AV94" s="16">
        <v>0</v>
      </c>
      <c r="AW94">
        <f t="shared" si="19"/>
        <v>0</v>
      </c>
    </row>
    <row r="95" spans="1:49" x14ac:dyDescent="0.3">
      <c r="A95" s="3">
        <v>6.8322999999999996E-7</v>
      </c>
      <c r="B95" s="16">
        <v>16670.074024550999</v>
      </c>
      <c r="C95" s="16">
        <v>4.4923538923219396E-3</v>
      </c>
      <c r="D95">
        <f t="shared" si="10"/>
        <v>74.887871929486536</v>
      </c>
      <c r="F95" s="3">
        <v>6.8322999999999996E-7</v>
      </c>
      <c r="G95" s="3">
        <v>16670.074024550999</v>
      </c>
      <c r="H95" s="16">
        <v>0</v>
      </c>
      <c r="I95">
        <f t="shared" si="11"/>
        <v>0</v>
      </c>
      <c r="K95" s="3">
        <v>6.8322999999999996E-7</v>
      </c>
      <c r="L95" s="3">
        <v>16670.074024550999</v>
      </c>
      <c r="M95" s="16">
        <v>0</v>
      </c>
      <c r="N95">
        <f t="shared" si="12"/>
        <v>0</v>
      </c>
      <c r="P95" s="3">
        <v>6.8322999999999996E-7</v>
      </c>
      <c r="Q95" s="3">
        <v>16670.074024550999</v>
      </c>
      <c r="R95" s="16">
        <v>0</v>
      </c>
      <c r="S95">
        <f t="shared" si="13"/>
        <v>0</v>
      </c>
      <c r="U95" s="3">
        <v>6.8322999999999996E-7</v>
      </c>
      <c r="V95" s="3">
        <v>16670.074024550999</v>
      </c>
      <c r="W95" s="16">
        <v>0</v>
      </c>
      <c r="X95">
        <f t="shared" si="14"/>
        <v>0</v>
      </c>
      <c r="Z95" s="3">
        <v>6.8322999999999996E-7</v>
      </c>
      <c r="AA95" s="3">
        <v>16670.074024550999</v>
      </c>
      <c r="AB95" s="16">
        <v>0</v>
      </c>
      <c r="AC95">
        <f t="shared" si="15"/>
        <v>0</v>
      </c>
      <c r="AE95" s="3">
        <v>6.8322999999999996E-7</v>
      </c>
      <c r="AF95" s="3">
        <v>16670.074024550999</v>
      </c>
      <c r="AG95" s="16">
        <v>0</v>
      </c>
      <c r="AH95">
        <f t="shared" si="16"/>
        <v>0</v>
      </c>
      <c r="AJ95" s="3">
        <v>6.8322999999999996E-7</v>
      </c>
      <c r="AK95" s="3">
        <v>16670.074024550999</v>
      </c>
      <c r="AL95" s="16">
        <v>5.1337213933245703E-4</v>
      </c>
      <c r="AM95">
        <f t="shared" si="17"/>
        <v>8.557951564814168</v>
      </c>
      <c r="AO95" s="3">
        <v>6.8322999999999996E-7</v>
      </c>
      <c r="AP95" s="3">
        <v>16670.074024550999</v>
      </c>
      <c r="AQ95" s="17">
        <v>6.8232644913238804E-6</v>
      </c>
      <c r="AR95">
        <f t="shared" si="18"/>
        <v>0.1137443241594594</v>
      </c>
      <c r="AT95" s="3">
        <v>6.8322999999999996E-7</v>
      </c>
      <c r="AU95" s="3">
        <v>16670.074024550999</v>
      </c>
      <c r="AV95" s="16">
        <v>0</v>
      </c>
      <c r="AW95">
        <f t="shared" si="19"/>
        <v>0</v>
      </c>
    </row>
    <row r="96" spans="1:49" x14ac:dyDescent="0.3">
      <c r="A96" s="3">
        <v>7.7110999999999997E-7</v>
      </c>
      <c r="B96" s="16">
        <v>16532.793591733302</v>
      </c>
      <c r="C96" s="16">
        <v>4.3894849754662199E-3</v>
      </c>
      <c r="D96">
        <f t="shared" si="10"/>
        <v>72.570449073397526</v>
      </c>
      <c r="F96" s="3">
        <v>7.7110999999999997E-7</v>
      </c>
      <c r="G96" s="3">
        <v>16532.793591733302</v>
      </c>
      <c r="H96" s="16">
        <v>0</v>
      </c>
      <c r="I96">
        <f t="shared" si="11"/>
        <v>0</v>
      </c>
      <c r="K96" s="3">
        <v>7.7110999999999997E-7</v>
      </c>
      <c r="L96" s="3">
        <v>16532.793591733302</v>
      </c>
      <c r="M96" s="16">
        <v>0</v>
      </c>
      <c r="N96">
        <f t="shared" si="12"/>
        <v>0</v>
      </c>
      <c r="P96" s="3">
        <v>7.7110999999999997E-7</v>
      </c>
      <c r="Q96" s="3">
        <v>16532.793591733302</v>
      </c>
      <c r="R96" s="16">
        <v>0</v>
      </c>
      <c r="S96">
        <f t="shared" si="13"/>
        <v>0</v>
      </c>
      <c r="U96" s="3">
        <v>7.7110999999999997E-7</v>
      </c>
      <c r="V96" s="3">
        <v>16532.793591733302</v>
      </c>
      <c r="W96" s="16">
        <v>0</v>
      </c>
      <c r="X96">
        <f t="shared" si="14"/>
        <v>0</v>
      </c>
      <c r="Z96" s="3">
        <v>7.7110999999999997E-7</v>
      </c>
      <c r="AA96" s="3">
        <v>16532.793591733302</v>
      </c>
      <c r="AB96" s="16">
        <v>0</v>
      </c>
      <c r="AC96">
        <f t="shared" si="15"/>
        <v>0</v>
      </c>
      <c r="AE96" s="3">
        <v>7.7110999999999997E-7</v>
      </c>
      <c r="AF96" s="3">
        <v>16532.793591733302</v>
      </c>
      <c r="AG96" s="16">
        <v>0</v>
      </c>
      <c r="AH96">
        <f t="shared" si="16"/>
        <v>0</v>
      </c>
      <c r="AJ96" s="3">
        <v>7.7110999999999997E-7</v>
      </c>
      <c r="AK96" s="3">
        <v>16532.793591733302</v>
      </c>
      <c r="AL96" s="16">
        <v>4.87174472208305E-4</v>
      </c>
      <c r="AM96">
        <f t="shared" si="17"/>
        <v>8.0543549921815192</v>
      </c>
      <c r="AO96" s="3">
        <v>7.7110999999999997E-7</v>
      </c>
      <c r="AP96" s="3">
        <v>16532.793591733302</v>
      </c>
      <c r="AQ96" s="17">
        <v>6.50183972146765E-6</v>
      </c>
      <c r="AR96">
        <f t="shared" si="18"/>
        <v>0.10749357408155739</v>
      </c>
      <c r="AT96" s="3">
        <v>7.7110999999999997E-7</v>
      </c>
      <c r="AU96" s="3">
        <v>16532.793591733302</v>
      </c>
      <c r="AV96" s="16">
        <v>0</v>
      </c>
      <c r="AW96">
        <f t="shared" si="19"/>
        <v>0</v>
      </c>
    </row>
    <row r="97" spans="1:49" x14ac:dyDescent="0.3">
      <c r="A97" s="3">
        <v>8.7028999999999999E-7</v>
      </c>
      <c r="B97" s="16">
        <v>17977.4672812393</v>
      </c>
      <c r="C97" s="16">
        <v>4.3093387547042897E-3</v>
      </c>
      <c r="D97">
        <f t="shared" si="10"/>
        <v>77.470996466472883</v>
      </c>
      <c r="F97" s="3">
        <v>8.7028999999999999E-7</v>
      </c>
      <c r="G97" s="3">
        <v>17977.4672812393</v>
      </c>
      <c r="H97" s="16">
        <v>0</v>
      </c>
      <c r="I97">
        <f t="shared" si="11"/>
        <v>0</v>
      </c>
      <c r="K97" s="3">
        <v>8.7028999999999999E-7</v>
      </c>
      <c r="L97" s="3">
        <v>17977.4672812393</v>
      </c>
      <c r="M97" s="16">
        <v>0</v>
      </c>
      <c r="N97">
        <f t="shared" si="12"/>
        <v>0</v>
      </c>
      <c r="P97" s="3">
        <v>8.7028999999999999E-7</v>
      </c>
      <c r="Q97" s="3">
        <v>17977.4672812393</v>
      </c>
      <c r="R97" s="16">
        <v>0</v>
      </c>
      <c r="S97">
        <f t="shared" si="13"/>
        <v>0</v>
      </c>
      <c r="U97" s="3">
        <v>8.7028999999999999E-7</v>
      </c>
      <c r="V97" s="3">
        <v>17977.4672812393</v>
      </c>
      <c r="W97" s="16">
        <v>0</v>
      </c>
      <c r="X97">
        <f t="shared" si="14"/>
        <v>0</v>
      </c>
      <c r="Z97" s="3">
        <v>8.7028999999999999E-7</v>
      </c>
      <c r="AA97" s="3">
        <v>17977.4672812393</v>
      </c>
      <c r="AB97" s="16">
        <v>0</v>
      </c>
      <c r="AC97">
        <f t="shared" si="15"/>
        <v>0</v>
      </c>
      <c r="AE97" s="3">
        <v>8.7028999999999999E-7</v>
      </c>
      <c r="AF97" s="3">
        <v>17977.4672812393</v>
      </c>
      <c r="AG97" s="16">
        <v>0</v>
      </c>
      <c r="AH97">
        <f t="shared" si="16"/>
        <v>0</v>
      </c>
      <c r="AJ97" s="3">
        <v>8.7028999999999999E-7</v>
      </c>
      <c r="AK97" s="3">
        <v>17977.4672812393</v>
      </c>
      <c r="AL97" s="16">
        <v>4.5268778753503199E-4</v>
      </c>
      <c r="AM97">
        <f t="shared" si="17"/>
        <v>8.1381798890276453</v>
      </c>
      <c r="AO97" s="3">
        <v>8.7028999999999999E-7</v>
      </c>
      <c r="AP97" s="3">
        <v>17977.4672812393</v>
      </c>
      <c r="AQ97" s="17">
        <v>6.0506310623074801E-6</v>
      </c>
      <c r="AR97">
        <f t="shared" si="18"/>
        <v>0.10877502195348292</v>
      </c>
      <c r="AT97" s="3">
        <v>8.7028999999999999E-7</v>
      </c>
      <c r="AU97" s="3">
        <v>17977.4672812393</v>
      </c>
      <c r="AV97" s="16">
        <v>0</v>
      </c>
      <c r="AW97">
        <f t="shared" si="19"/>
        <v>0</v>
      </c>
    </row>
    <row r="98" spans="1:49" x14ac:dyDescent="0.3">
      <c r="A98" s="3">
        <v>9.8223000000000008E-7</v>
      </c>
      <c r="B98" s="16">
        <v>17875.895587479001</v>
      </c>
      <c r="C98" s="16">
        <v>4.2540963228161798E-3</v>
      </c>
      <c r="D98">
        <f t="shared" si="10"/>
        <v>76.045781685740394</v>
      </c>
      <c r="F98" s="3">
        <v>9.8223000000000008E-7</v>
      </c>
      <c r="G98" s="3">
        <v>17875.895587479001</v>
      </c>
      <c r="H98" s="16">
        <v>0</v>
      </c>
      <c r="I98">
        <f t="shared" si="11"/>
        <v>0</v>
      </c>
      <c r="K98" s="3">
        <v>9.8223000000000008E-7</v>
      </c>
      <c r="L98" s="3">
        <v>17875.895587479001</v>
      </c>
      <c r="M98" s="16">
        <v>0</v>
      </c>
      <c r="N98">
        <f t="shared" si="12"/>
        <v>0</v>
      </c>
      <c r="P98" s="3">
        <v>9.8223000000000008E-7</v>
      </c>
      <c r="Q98" s="3">
        <v>17875.895587479001</v>
      </c>
      <c r="R98" s="16">
        <v>0</v>
      </c>
      <c r="S98">
        <f t="shared" si="13"/>
        <v>0</v>
      </c>
      <c r="U98" s="3">
        <v>9.8223000000000008E-7</v>
      </c>
      <c r="V98" s="3">
        <v>17875.895587479001</v>
      </c>
      <c r="W98" s="16">
        <v>0</v>
      </c>
      <c r="X98">
        <f t="shared" si="14"/>
        <v>0</v>
      </c>
      <c r="Z98" s="3">
        <v>9.8223000000000008E-7</v>
      </c>
      <c r="AA98" s="3">
        <v>17875.895587479001</v>
      </c>
      <c r="AB98" s="16">
        <v>0</v>
      </c>
      <c r="AC98">
        <f t="shared" si="15"/>
        <v>0</v>
      </c>
      <c r="AE98" s="3">
        <v>9.8223000000000008E-7</v>
      </c>
      <c r="AF98" s="3">
        <v>17875.895587479001</v>
      </c>
      <c r="AG98" s="16">
        <v>0</v>
      </c>
      <c r="AH98">
        <f t="shared" si="16"/>
        <v>0</v>
      </c>
      <c r="AJ98" s="3">
        <v>9.8223000000000008E-7</v>
      </c>
      <c r="AK98" s="3">
        <v>17875.895587479001</v>
      </c>
      <c r="AL98" s="16">
        <v>4.2050063992440202E-4</v>
      </c>
      <c r="AM98">
        <f t="shared" si="17"/>
        <v>7.5168255337567143</v>
      </c>
      <c r="AO98" s="3">
        <v>9.8223000000000008E-7</v>
      </c>
      <c r="AP98" s="3">
        <v>17875.895587479001</v>
      </c>
      <c r="AQ98" s="17">
        <v>5.628545090009E-6</v>
      </c>
      <c r="AR98">
        <f t="shared" si="18"/>
        <v>0.10061528433841847</v>
      </c>
      <c r="AT98" s="3">
        <v>9.8223000000000008E-7</v>
      </c>
      <c r="AU98" s="3">
        <v>17875.895587479001</v>
      </c>
      <c r="AV98" s="16">
        <v>0</v>
      </c>
      <c r="AW98">
        <f t="shared" si="19"/>
        <v>0</v>
      </c>
    </row>
    <row r="99" spans="1:49" x14ac:dyDescent="0.3">
      <c r="A99" s="3">
        <v>1.1086000000000001E-6</v>
      </c>
      <c r="B99" s="16">
        <v>18611.785727984399</v>
      </c>
      <c r="C99" s="16">
        <v>4.2259745282012999E-3</v>
      </c>
      <c r="D99">
        <f t="shared" si="10"/>
        <v>78.652932410802563</v>
      </c>
      <c r="F99" s="3">
        <v>1.1086000000000001E-6</v>
      </c>
      <c r="G99" s="3">
        <v>18611.785727984399</v>
      </c>
      <c r="H99" s="16">
        <v>0</v>
      </c>
      <c r="I99">
        <f t="shared" si="11"/>
        <v>0</v>
      </c>
      <c r="K99" s="3">
        <v>1.1086000000000001E-6</v>
      </c>
      <c r="L99" s="3">
        <v>18611.785727984399</v>
      </c>
      <c r="M99" s="16">
        <v>0</v>
      </c>
      <c r="N99">
        <f t="shared" si="12"/>
        <v>0</v>
      </c>
      <c r="P99" s="3">
        <v>1.1086000000000001E-6</v>
      </c>
      <c r="Q99" s="3">
        <v>18611.785727984399</v>
      </c>
      <c r="R99" s="16">
        <v>0</v>
      </c>
      <c r="S99">
        <f t="shared" si="13"/>
        <v>0</v>
      </c>
      <c r="U99" s="3">
        <v>1.1086000000000001E-6</v>
      </c>
      <c r="V99" s="3">
        <v>18611.785727984399</v>
      </c>
      <c r="W99" s="16">
        <v>0</v>
      </c>
      <c r="X99">
        <f t="shared" si="14"/>
        <v>0</v>
      </c>
      <c r="Z99" s="3">
        <v>1.1086000000000001E-6</v>
      </c>
      <c r="AA99" s="3">
        <v>18611.785727984399</v>
      </c>
      <c r="AB99" s="16">
        <v>0</v>
      </c>
      <c r="AC99">
        <f t="shared" si="15"/>
        <v>0</v>
      </c>
      <c r="AE99" s="3">
        <v>1.1086000000000001E-6</v>
      </c>
      <c r="AF99" s="3">
        <v>18611.785727984399</v>
      </c>
      <c r="AG99" s="16">
        <v>0</v>
      </c>
      <c r="AH99">
        <f t="shared" si="16"/>
        <v>0</v>
      </c>
      <c r="AJ99" s="3">
        <v>1.1086000000000001E-6</v>
      </c>
      <c r="AK99" s="3">
        <v>18611.785727984399</v>
      </c>
      <c r="AL99" s="16">
        <v>4.0043654192620497E-4</v>
      </c>
      <c r="AM99">
        <f t="shared" si="17"/>
        <v>7.4528391159855687</v>
      </c>
      <c r="AO99" s="3">
        <v>1.1086000000000001E-6</v>
      </c>
      <c r="AP99" s="3">
        <v>18611.785727984399</v>
      </c>
      <c r="AQ99" s="17">
        <v>5.3654392128079498E-6</v>
      </c>
      <c r="AR99">
        <f t="shared" si="18"/>
        <v>9.9860404965306848E-2</v>
      </c>
      <c r="AT99" s="3">
        <v>1.1086000000000001E-6</v>
      </c>
      <c r="AU99" s="3">
        <v>18611.785727984399</v>
      </c>
      <c r="AV99" s="16">
        <v>0</v>
      </c>
      <c r="AW99">
        <f t="shared" si="19"/>
        <v>0</v>
      </c>
    </row>
    <row r="100" spans="1:49" x14ac:dyDescent="0.3">
      <c r="A100" s="3">
        <v>1.2512E-6</v>
      </c>
      <c r="B100" s="16">
        <v>18550.834079451201</v>
      </c>
      <c r="C100" s="16">
        <v>4.2412958110906599E-3</v>
      </c>
      <c r="D100">
        <f t="shared" si="10"/>
        <v>78.679574873414239</v>
      </c>
      <c r="F100" s="3">
        <v>1.2512E-6</v>
      </c>
      <c r="G100" s="3">
        <v>18550.834079451201</v>
      </c>
      <c r="H100" s="16">
        <v>0</v>
      </c>
      <c r="I100">
        <f t="shared" si="11"/>
        <v>0</v>
      </c>
      <c r="K100" s="3">
        <v>1.2512E-6</v>
      </c>
      <c r="L100" s="3">
        <v>18550.834079451201</v>
      </c>
      <c r="M100" s="16">
        <v>0</v>
      </c>
      <c r="N100">
        <f t="shared" si="12"/>
        <v>0</v>
      </c>
      <c r="P100" s="3">
        <v>1.2512E-6</v>
      </c>
      <c r="Q100" s="3">
        <v>18550.834079451201</v>
      </c>
      <c r="R100" s="16">
        <v>0</v>
      </c>
      <c r="S100">
        <f t="shared" si="13"/>
        <v>0</v>
      </c>
      <c r="U100" s="3">
        <v>1.2512E-6</v>
      </c>
      <c r="V100" s="3">
        <v>18550.834079451201</v>
      </c>
      <c r="W100" s="16">
        <v>0</v>
      </c>
      <c r="X100">
        <f t="shared" si="14"/>
        <v>0</v>
      </c>
      <c r="Z100" s="3">
        <v>1.2512E-6</v>
      </c>
      <c r="AA100" s="3">
        <v>18550.834079451201</v>
      </c>
      <c r="AB100" s="16">
        <v>0</v>
      </c>
      <c r="AC100">
        <f t="shared" si="15"/>
        <v>0</v>
      </c>
      <c r="AE100" s="3">
        <v>1.2512E-6</v>
      </c>
      <c r="AF100" s="3">
        <v>18550.834079451201</v>
      </c>
      <c r="AG100" s="16">
        <v>0</v>
      </c>
      <c r="AH100">
        <f t="shared" si="16"/>
        <v>0</v>
      </c>
      <c r="AJ100" s="3">
        <v>1.2512E-6</v>
      </c>
      <c r="AK100" s="3">
        <v>18550.834079451201</v>
      </c>
      <c r="AL100" s="16">
        <v>3.8134185661127897E-4</v>
      </c>
      <c r="AM100">
        <f t="shared" si="17"/>
        <v>7.0742095095457067</v>
      </c>
      <c r="AO100" s="3">
        <v>1.2512E-6</v>
      </c>
      <c r="AP100" s="3">
        <v>18550.834079451201</v>
      </c>
      <c r="AQ100" s="17">
        <v>5.1152542878718204E-6</v>
      </c>
      <c r="AR100">
        <f t="shared" si="18"/>
        <v>9.4892233568511453E-2</v>
      </c>
      <c r="AT100" s="3">
        <v>1.2512E-6</v>
      </c>
      <c r="AU100" s="3">
        <v>18550.834079451201</v>
      </c>
      <c r="AV100" s="16">
        <v>0</v>
      </c>
      <c r="AW100">
        <f t="shared" si="19"/>
        <v>0</v>
      </c>
    </row>
    <row r="101" spans="1:49" x14ac:dyDescent="0.3">
      <c r="A101" s="3">
        <v>1.4121E-6</v>
      </c>
      <c r="B101" s="16">
        <v>19090.739162556401</v>
      </c>
      <c r="C101" s="16">
        <v>4.3295317407294103E-3</v>
      </c>
      <c r="D101">
        <f t="shared" si="10"/>
        <v>82.653961158273944</v>
      </c>
      <c r="F101" s="3">
        <v>1.4121E-6</v>
      </c>
      <c r="G101" s="3">
        <v>19090.739162556401</v>
      </c>
      <c r="H101" s="16">
        <v>0</v>
      </c>
      <c r="I101">
        <f t="shared" si="11"/>
        <v>0</v>
      </c>
      <c r="K101" s="3">
        <v>1.4121E-6</v>
      </c>
      <c r="L101" s="3">
        <v>19090.739162556401</v>
      </c>
      <c r="M101" s="16">
        <v>0</v>
      </c>
      <c r="N101">
        <f t="shared" si="12"/>
        <v>0</v>
      </c>
      <c r="P101" s="3">
        <v>1.4121E-6</v>
      </c>
      <c r="Q101" s="3">
        <v>19090.739162556401</v>
      </c>
      <c r="R101" s="16">
        <v>0</v>
      </c>
      <c r="S101">
        <f t="shared" si="13"/>
        <v>0</v>
      </c>
      <c r="U101" s="3">
        <v>1.4121E-6</v>
      </c>
      <c r="V101" s="3">
        <v>19090.739162556401</v>
      </c>
      <c r="W101" s="16">
        <v>0</v>
      </c>
      <c r="X101">
        <f t="shared" si="14"/>
        <v>0</v>
      </c>
      <c r="Z101" s="3">
        <v>1.4121E-6</v>
      </c>
      <c r="AA101" s="3">
        <v>19090.739162556401</v>
      </c>
      <c r="AB101" s="16">
        <v>0</v>
      </c>
      <c r="AC101">
        <f t="shared" si="15"/>
        <v>0</v>
      </c>
      <c r="AE101" s="3">
        <v>1.4121E-6</v>
      </c>
      <c r="AF101" s="3">
        <v>19090.739162556401</v>
      </c>
      <c r="AG101" s="16">
        <v>0</v>
      </c>
      <c r="AH101">
        <f t="shared" si="16"/>
        <v>0</v>
      </c>
      <c r="AJ101" s="3">
        <v>1.4121E-6</v>
      </c>
      <c r="AK101" s="3">
        <v>19090.739162556401</v>
      </c>
      <c r="AL101" s="16">
        <v>3.6319256920637802E-4</v>
      </c>
      <c r="AM101">
        <f t="shared" si="17"/>
        <v>6.9336146044976772</v>
      </c>
      <c r="AO101" s="3">
        <v>1.4121E-6</v>
      </c>
      <c r="AP101" s="3">
        <v>19090.739162556401</v>
      </c>
      <c r="AQ101" s="17">
        <v>4.7643300466284004E-6</v>
      </c>
      <c r="AR101">
        <f t="shared" si="18"/>
        <v>9.0954582204512968E-2</v>
      </c>
      <c r="AT101" s="3">
        <v>1.4121E-6</v>
      </c>
      <c r="AU101" s="3">
        <v>19090.739162556401</v>
      </c>
      <c r="AV101" s="16">
        <v>0</v>
      </c>
      <c r="AW101">
        <f t="shared" si="19"/>
        <v>0</v>
      </c>
    </row>
    <row r="102" spans="1:49" x14ac:dyDescent="0.3">
      <c r="A102" s="3">
        <v>1.5937000000000001E-6</v>
      </c>
      <c r="B102" s="16">
        <v>19504.687154966501</v>
      </c>
      <c r="C102" s="16">
        <v>4.4905124779256698E-3</v>
      </c>
      <c r="D102">
        <f t="shared" si="10"/>
        <v>87.586041047413602</v>
      </c>
      <c r="F102" s="3">
        <v>1.5937000000000001E-6</v>
      </c>
      <c r="G102" s="3">
        <v>19504.687154966501</v>
      </c>
      <c r="H102" s="16">
        <v>0</v>
      </c>
      <c r="I102">
        <f t="shared" si="11"/>
        <v>0</v>
      </c>
      <c r="K102" s="3">
        <v>1.5937000000000001E-6</v>
      </c>
      <c r="L102" s="3">
        <v>19504.687154966501</v>
      </c>
      <c r="M102" s="16">
        <v>0</v>
      </c>
      <c r="N102">
        <f t="shared" si="12"/>
        <v>0</v>
      </c>
      <c r="P102" s="3">
        <v>1.5937000000000001E-6</v>
      </c>
      <c r="Q102" s="3">
        <v>19504.687154966501</v>
      </c>
      <c r="R102" s="16">
        <v>0</v>
      </c>
      <c r="S102">
        <f t="shared" si="13"/>
        <v>0</v>
      </c>
      <c r="U102" s="3">
        <v>1.5937000000000001E-6</v>
      </c>
      <c r="V102" s="3">
        <v>19504.687154966501</v>
      </c>
      <c r="W102" s="16">
        <v>0</v>
      </c>
      <c r="X102">
        <f t="shared" si="14"/>
        <v>0</v>
      </c>
      <c r="Z102" s="3">
        <v>1.5937000000000001E-6</v>
      </c>
      <c r="AA102" s="3">
        <v>19504.687154966501</v>
      </c>
      <c r="AB102" s="16">
        <v>0</v>
      </c>
      <c r="AC102">
        <f t="shared" si="15"/>
        <v>0</v>
      </c>
      <c r="AE102" s="3">
        <v>1.5937000000000001E-6</v>
      </c>
      <c r="AF102" s="3">
        <v>19504.687154966501</v>
      </c>
      <c r="AG102" s="16">
        <v>0</v>
      </c>
      <c r="AH102">
        <f t="shared" si="16"/>
        <v>0</v>
      </c>
      <c r="AJ102" s="3">
        <v>1.5937000000000001E-6</v>
      </c>
      <c r="AK102" s="3">
        <v>19504.687154966501</v>
      </c>
      <c r="AL102" s="16">
        <v>3.3657292820947802E-4</v>
      </c>
      <c r="AM102">
        <f t="shared" si="17"/>
        <v>6.5647496695568686</v>
      </c>
      <c r="AO102" s="3">
        <v>1.5937000000000001E-6</v>
      </c>
      <c r="AP102" s="3">
        <v>19504.687154966501</v>
      </c>
      <c r="AQ102" s="17">
        <v>4.4363712817079001E-6</v>
      </c>
      <c r="AR102">
        <f t="shared" si="18"/>
        <v>8.6530033952990346E-2</v>
      </c>
      <c r="AT102" s="3">
        <v>1.5937000000000001E-6</v>
      </c>
      <c r="AU102" s="3">
        <v>19504.687154966501</v>
      </c>
      <c r="AV102" s="16">
        <v>0</v>
      </c>
      <c r="AW102">
        <f t="shared" si="19"/>
        <v>0</v>
      </c>
    </row>
    <row r="103" spans="1:49" x14ac:dyDescent="0.3">
      <c r="A103" s="3">
        <v>1.7987E-6</v>
      </c>
      <c r="B103" s="16">
        <v>20177.1380026441</v>
      </c>
      <c r="C103" s="16">
        <v>4.7292348704828999E-3</v>
      </c>
      <c r="D103">
        <f t="shared" si="10"/>
        <v>95.422424628650163</v>
      </c>
      <c r="F103" s="3">
        <v>1.7987E-6</v>
      </c>
      <c r="G103" s="3">
        <v>20177.1380026441</v>
      </c>
      <c r="H103" s="16">
        <v>0</v>
      </c>
      <c r="I103">
        <f t="shared" si="11"/>
        <v>0</v>
      </c>
      <c r="K103" s="3">
        <v>1.7987E-6</v>
      </c>
      <c r="L103" s="3">
        <v>20177.1380026441</v>
      </c>
      <c r="M103" s="16">
        <v>0</v>
      </c>
      <c r="N103">
        <f t="shared" si="12"/>
        <v>0</v>
      </c>
      <c r="P103" s="3">
        <v>1.7987E-6</v>
      </c>
      <c r="Q103" s="3">
        <v>20177.1380026441</v>
      </c>
      <c r="R103" s="16">
        <v>0</v>
      </c>
      <c r="S103">
        <f t="shared" si="13"/>
        <v>0</v>
      </c>
      <c r="U103" s="3">
        <v>1.7987E-6</v>
      </c>
      <c r="V103" s="3">
        <v>20177.1380026441</v>
      </c>
      <c r="W103" s="16">
        <v>0</v>
      </c>
      <c r="X103">
        <f t="shared" si="14"/>
        <v>0</v>
      </c>
      <c r="Z103" s="3">
        <v>1.7987E-6</v>
      </c>
      <c r="AA103" s="3">
        <v>20177.1380026441</v>
      </c>
      <c r="AB103" s="16">
        <v>0</v>
      </c>
      <c r="AC103">
        <f t="shared" si="15"/>
        <v>0</v>
      </c>
      <c r="AE103" s="3">
        <v>1.7987E-6</v>
      </c>
      <c r="AF103" s="3">
        <v>20177.1380026441</v>
      </c>
      <c r="AG103" s="16">
        <v>0</v>
      </c>
      <c r="AH103">
        <f t="shared" si="16"/>
        <v>0</v>
      </c>
      <c r="AJ103" s="3">
        <v>1.7987E-6</v>
      </c>
      <c r="AK103" s="3">
        <v>20177.1380026441</v>
      </c>
      <c r="AL103" s="16">
        <v>3.1274586227288099E-4</v>
      </c>
      <c r="AM103">
        <f t="shared" si="17"/>
        <v>6.3103164228358448</v>
      </c>
      <c r="AO103" s="3">
        <v>1.7987E-6</v>
      </c>
      <c r="AP103" s="3">
        <v>20177.1380026441</v>
      </c>
      <c r="AQ103" s="17">
        <v>4.2321632587500098E-6</v>
      </c>
      <c r="AR103">
        <f t="shared" si="18"/>
        <v>8.5392942121518919E-2</v>
      </c>
      <c r="AT103" s="3">
        <v>1.7987E-6</v>
      </c>
      <c r="AU103" s="3">
        <v>20177.1380026441</v>
      </c>
      <c r="AV103" s="16">
        <v>0</v>
      </c>
      <c r="AW103">
        <f t="shared" si="19"/>
        <v>0</v>
      </c>
    </row>
    <row r="104" spans="1:49" x14ac:dyDescent="0.3">
      <c r="A104" s="3">
        <v>2.0300999999999998E-6</v>
      </c>
      <c r="B104" s="16">
        <v>19099.4810087734</v>
      </c>
      <c r="C104" s="16">
        <v>5.1494527868356198E-3</v>
      </c>
      <c r="D104">
        <f t="shared" si="10"/>
        <v>98.351875707742181</v>
      </c>
      <c r="F104" s="3">
        <v>2.0300999999999998E-6</v>
      </c>
      <c r="G104" s="3">
        <v>19099.4810087734</v>
      </c>
      <c r="H104" s="16">
        <v>0</v>
      </c>
      <c r="I104">
        <f t="shared" si="11"/>
        <v>0</v>
      </c>
      <c r="K104" s="3">
        <v>2.0300999999999998E-6</v>
      </c>
      <c r="L104" s="3">
        <v>19099.4810087734</v>
      </c>
      <c r="M104" s="16">
        <v>0</v>
      </c>
      <c r="N104">
        <f t="shared" si="12"/>
        <v>0</v>
      </c>
      <c r="P104" s="3">
        <v>2.0300999999999998E-6</v>
      </c>
      <c r="Q104" s="3">
        <v>19099.4810087734</v>
      </c>
      <c r="R104" s="16">
        <v>0</v>
      </c>
      <c r="S104">
        <f t="shared" si="13"/>
        <v>0</v>
      </c>
      <c r="U104" s="3">
        <v>2.0300999999999998E-6</v>
      </c>
      <c r="V104" s="3">
        <v>19099.4810087734</v>
      </c>
      <c r="W104" s="16">
        <v>0</v>
      </c>
      <c r="X104">
        <f t="shared" si="14"/>
        <v>0</v>
      </c>
      <c r="Z104" s="3">
        <v>2.0300999999999998E-6</v>
      </c>
      <c r="AA104" s="3">
        <v>19099.4810087734</v>
      </c>
      <c r="AB104" s="16">
        <v>0</v>
      </c>
      <c r="AC104">
        <f t="shared" si="15"/>
        <v>0</v>
      </c>
      <c r="AE104" s="3">
        <v>2.0300999999999998E-6</v>
      </c>
      <c r="AF104" s="3">
        <v>19099.4810087734</v>
      </c>
      <c r="AG104" s="16">
        <v>0</v>
      </c>
      <c r="AH104">
        <f t="shared" si="16"/>
        <v>0</v>
      </c>
      <c r="AJ104" s="3">
        <v>2.0300999999999998E-6</v>
      </c>
      <c r="AK104" s="3">
        <v>19099.4810087734</v>
      </c>
      <c r="AL104" s="16">
        <v>2.9788169782852901E-4</v>
      </c>
      <c r="AM104">
        <f t="shared" si="17"/>
        <v>5.6893858305371667</v>
      </c>
      <c r="AO104" s="3">
        <v>2.0300999999999998E-6</v>
      </c>
      <c r="AP104" s="3">
        <v>19099.4810087734</v>
      </c>
      <c r="AQ104" s="17">
        <v>4.0381651774466802E-6</v>
      </c>
      <c r="AR104">
        <f t="shared" si="18"/>
        <v>7.7126859116932941E-2</v>
      </c>
      <c r="AT104" s="3">
        <v>2.0300999999999998E-6</v>
      </c>
      <c r="AU104" s="3">
        <v>19099.4810087734</v>
      </c>
      <c r="AV104" s="16">
        <v>0</v>
      </c>
      <c r="AW104">
        <f t="shared" si="19"/>
        <v>0</v>
      </c>
    </row>
    <row r="105" spans="1:49" x14ac:dyDescent="0.3">
      <c r="A105" s="3">
        <v>2.2912000000000002E-6</v>
      </c>
      <c r="B105" s="16">
        <v>20241.800941449499</v>
      </c>
      <c r="C105" s="16">
        <v>5.6982747270676497E-3</v>
      </c>
      <c r="D105">
        <f t="shared" si="10"/>
        <v>115.34334273499584</v>
      </c>
      <c r="F105" s="3">
        <v>2.2912000000000002E-6</v>
      </c>
      <c r="G105" s="3">
        <v>20241.800941449499</v>
      </c>
      <c r="H105" s="16">
        <v>0</v>
      </c>
      <c r="I105">
        <f t="shared" si="11"/>
        <v>0</v>
      </c>
      <c r="K105" s="3">
        <v>2.2912000000000002E-6</v>
      </c>
      <c r="L105" s="3">
        <v>20241.800941449499</v>
      </c>
      <c r="M105" s="16">
        <v>0</v>
      </c>
      <c r="N105">
        <f t="shared" si="12"/>
        <v>0</v>
      </c>
      <c r="P105" s="3">
        <v>2.2912000000000002E-6</v>
      </c>
      <c r="Q105" s="3">
        <v>20241.800941449499</v>
      </c>
      <c r="R105" s="16">
        <v>0</v>
      </c>
      <c r="S105">
        <f t="shared" si="13"/>
        <v>0</v>
      </c>
      <c r="U105" s="3">
        <v>2.2912000000000002E-6</v>
      </c>
      <c r="V105" s="3">
        <v>20241.800941449499</v>
      </c>
      <c r="W105" s="16">
        <v>0</v>
      </c>
      <c r="X105">
        <f t="shared" si="14"/>
        <v>0</v>
      </c>
      <c r="Z105" s="3">
        <v>2.2912000000000002E-6</v>
      </c>
      <c r="AA105" s="3">
        <v>20241.800941449499</v>
      </c>
      <c r="AB105" s="16">
        <v>0</v>
      </c>
      <c r="AC105">
        <f t="shared" si="15"/>
        <v>0</v>
      </c>
      <c r="AE105" s="3">
        <v>2.2912000000000002E-6</v>
      </c>
      <c r="AF105" s="3">
        <v>20241.800941449499</v>
      </c>
      <c r="AG105" s="16">
        <v>0</v>
      </c>
      <c r="AH105">
        <f t="shared" si="16"/>
        <v>0</v>
      </c>
      <c r="AJ105" s="3">
        <v>2.2912000000000002E-6</v>
      </c>
      <c r="AK105" s="3">
        <v>20241.800941449499</v>
      </c>
      <c r="AL105" s="16">
        <v>2.8371053112641499E-4</v>
      </c>
      <c r="AM105">
        <f t="shared" si="17"/>
        <v>5.7428120960538047</v>
      </c>
      <c r="AO105" s="3">
        <v>2.2912000000000002E-6</v>
      </c>
      <c r="AP105" s="3">
        <v>20241.800941449499</v>
      </c>
      <c r="AQ105" s="17">
        <v>3.8539267343406202E-6</v>
      </c>
      <c r="AR105">
        <f t="shared" si="18"/>
        <v>7.8010417799453363E-2</v>
      </c>
      <c r="AT105" s="3">
        <v>2.2912000000000002E-6</v>
      </c>
      <c r="AU105" s="3">
        <v>20241.800941449499</v>
      </c>
      <c r="AV105" s="16">
        <v>0</v>
      </c>
      <c r="AW105">
        <f t="shared" si="19"/>
        <v>0</v>
      </c>
    </row>
    <row r="106" spans="1:49" x14ac:dyDescent="0.3">
      <c r="A106" s="3">
        <v>2.5859000000000001E-6</v>
      </c>
      <c r="B106" s="16">
        <v>19427.578696141099</v>
      </c>
      <c r="C106" s="16">
        <v>6.4987387569802602E-3</v>
      </c>
      <c r="D106">
        <f t="shared" si="10"/>
        <v>126.25475862689619</v>
      </c>
      <c r="F106" s="3">
        <v>2.5859000000000001E-6</v>
      </c>
      <c r="G106" s="3">
        <v>19427.578696141099</v>
      </c>
      <c r="H106" s="16">
        <v>0</v>
      </c>
      <c r="I106">
        <f t="shared" si="11"/>
        <v>0</v>
      </c>
      <c r="K106" s="3">
        <v>2.5859000000000001E-6</v>
      </c>
      <c r="L106" s="3">
        <v>19427.578696141099</v>
      </c>
      <c r="M106" s="16">
        <v>0</v>
      </c>
      <c r="N106">
        <f t="shared" si="12"/>
        <v>0</v>
      </c>
      <c r="P106" s="3">
        <v>2.5859000000000001E-6</v>
      </c>
      <c r="Q106" s="3">
        <v>19427.578696141099</v>
      </c>
      <c r="R106" s="16">
        <v>0</v>
      </c>
      <c r="S106">
        <f t="shared" si="13"/>
        <v>0</v>
      </c>
      <c r="U106" s="3">
        <v>2.5859000000000001E-6</v>
      </c>
      <c r="V106" s="3">
        <v>19427.578696141099</v>
      </c>
      <c r="W106" s="16">
        <v>0</v>
      </c>
      <c r="X106">
        <f t="shared" si="14"/>
        <v>0</v>
      </c>
      <c r="Z106" s="3">
        <v>2.5859000000000001E-6</v>
      </c>
      <c r="AA106" s="3">
        <v>19427.578696141099</v>
      </c>
      <c r="AB106" s="16">
        <v>0</v>
      </c>
      <c r="AC106">
        <f t="shared" si="15"/>
        <v>0</v>
      </c>
      <c r="AE106" s="3">
        <v>2.5859000000000001E-6</v>
      </c>
      <c r="AF106" s="3">
        <v>19427.578696141099</v>
      </c>
      <c r="AG106" s="16">
        <v>0</v>
      </c>
      <c r="AH106">
        <f t="shared" si="16"/>
        <v>0</v>
      </c>
      <c r="AJ106" s="3">
        <v>2.5859000000000001E-6</v>
      </c>
      <c r="AK106" s="3">
        <v>19427.578696141099</v>
      </c>
      <c r="AL106" s="16">
        <v>2.6374200212378799E-4</v>
      </c>
      <c r="AM106">
        <f t="shared" si="17"/>
        <v>5.1238685017377037</v>
      </c>
      <c r="AO106" s="3">
        <v>2.5859000000000001E-6</v>
      </c>
      <c r="AP106" s="3">
        <v>19427.578696141099</v>
      </c>
      <c r="AQ106" s="17">
        <v>3.5959717772992402E-6</v>
      </c>
      <c r="AR106">
        <f t="shared" si="18"/>
        <v>6.9861024692583359E-2</v>
      </c>
      <c r="AT106" s="3">
        <v>2.5859000000000001E-6</v>
      </c>
      <c r="AU106" s="3">
        <v>19427.578696141099</v>
      </c>
      <c r="AV106" s="16">
        <v>0</v>
      </c>
      <c r="AW106">
        <f t="shared" si="19"/>
        <v>0</v>
      </c>
    </row>
    <row r="107" spans="1:49" x14ac:dyDescent="0.3">
      <c r="A107" s="3">
        <v>2.9185000000000001E-6</v>
      </c>
      <c r="B107" s="16">
        <v>19634.907395380498</v>
      </c>
      <c r="C107" s="16">
        <v>8.1872537819531292E-3</v>
      </c>
      <c r="D107">
        <f t="shared" si="10"/>
        <v>160.75596983112845</v>
      </c>
      <c r="F107" s="3">
        <v>2.9185000000000001E-6</v>
      </c>
      <c r="G107" s="3">
        <v>19634.907395380498</v>
      </c>
      <c r="H107" s="16">
        <v>0</v>
      </c>
      <c r="I107">
        <f t="shared" si="11"/>
        <v>0</v>
      </c>
      <c r="K107" s="3">
        <v>2.9185000000000001E-6</v>
      </c>
      <c r="L107" s="3">
        <v>19634.907395380498</v>
      </c>
      <c r="M107" s="16">
        <v>0</v>
      </c>
      <c r="N107">
        <f t="shared" si="12"/>
        <v>0</v>
      </c>
      <c r="P107" s="3">
        <v>2.9185000000000001E-6</v>
      </c>
      <c r="Q107" s="3">
        <v>19634.907395380498</v>
      </c>
      <c r="R107" s="16">
        <v>0</v>
      </c>
      <c r="S107">
        <f t="shared" si="13"/>
        <v>0</v>
      </c>
      <c r="U107" s="3">
        <v>2.9185000000000001E-6</v>
      </c>
      <c r="V107" s="3">
        <v>19634.907395380498</v>
      </c>
      <c r="W107" s="16">
        <v>0</v>
      </c>
      <c r="X107">
        <f t="shared" si="14"/>
        <v>0</v>
      </c>
      <c r="Z107" s="3">
        <v>2.9185000000000001E-6</v>
      </c>
      <c r="AA107" s="3">
        <v>19634.907395380498</v>
      </c>
      <c r="AB107" s="16">
        <v>0</v>
      </c>
      <c r="AC107">
        <f t="shared" si="15"/>
        <v>0</v>
      </c>
      <c r="AE107" s="3">
        <v>2.9185000000000001E-6</v>
      </c>
      <c r="AF107" s="3">
        <v>19634.907395380498</v>
      </c>
      <c r="AG107" s="16">
        <v>0</v>
      </c>
      <c r="AH107">
        <f t="shared" si="16"/>
        <v>0</v>
      </c>
      <c r="AJ107" s="3">
        <v>2.9185000000000001E-6</v>
      </c>
      <c r="AK107" s="3">
        <v>19634.907395380498</v>
      </c>
      <c r="AL107" s="16">
        <v>2.4431061988600702E-4</v>
      </c>
      <c r="AM107">
        <f t="shared" si="17"/>
        <v>4.7970163971697533</v>
      </c>
      <c r="AO107" s="3">
        <v>2.9185000000000001E-6</v>
      </c>
      <c r="AP107" s="3">
        <v>19634.907395380498</v>
      </c>
      <c r="AQ107" s="17">
        <v>3.3444313470579299E-6</v>
      </c>
      <c r="AR107">
        <f t="shared" si="18"/>
        <v>6.5667599789690112E-2</v>
      </c>
      <c r="AT107" s="3">
        <v>2.9185000000000001E-6</v>
      </c>
      <c r="AU107" s="3">
        <v>19634.907395380498</v>
      </c>
      <c r="AV107" s="16">
        <v>0</v>
      </c>
      <c r="AW107">
        <f t="shared" si="19"/>
        <v>0</v>
      </c>
    </row>
    <row r="108" spans="1:49" x14ac:dyDescent="0.3">
      <c r="A108" s="3">
        <v>3.2938999999999999E-6</v>
      </c>
      <c r="B108" s="16">
        <v>18941.5051876158</v>
      </c>
      <c r="C108" s="16">
        <v>1.118228390521E-2</v>
      </c>
      <c r="D108">
        <f t="shared" si="10"/>
        <v>211.80928859992787</v>
      </c>
      <c r="F108" s="3">
        <v>3.2938999999999999E-6</v>
      </c>
      <c r="G108" s="3">
        <v>18941.5051876158</v>
      </c>
      <c r="H108" s="16">
        <v>0</v>
      </c>
      <c r="I108">
        <f t="shared" si="11"/>
        <v>0</v>
      </c>
      <c r="K108" s="3">
        <v>3.2938999999999999E-6</v>
      </c>
      <c r="L108" s="3">
        <v>18941.5051876158</v>
      </c>
      <c r="M108" s="16">
        <v>0</v>
      </c>
      <c r="N108">
        <f t="shared" si="12"/>
        <v>0</v>
      </c>
      <c r="P108" s="3">
        <v>3.2938999999999999E-6</v>
      </c>
      <c r="Q108" s="3">
        <v>18941.5051876158</v>
      </c>
      <c r="R108" s="16">
        <v>0</v>
      </c>
      <c r="S108">
        <f t="shared" si="13"/>
        <v>0</v>
      </c>
      <c r="U108" s="3">
        <v>3.2938999999999999E-6</v>
      </c>
      <c r="V108" s="3">
        <v>18941.5051876158</v>
      </c>
      <c r="W108" s="16">
        <v>0</v>
      </c>
      <c r="X108">
        <f t="shared" si="14"/>
        <v>0</v>
      </c>
      <c r="Z108" s="3">
        <v>3.2938999999999999E-6</v>
      </c>
      <c r="AA108" s="3">
        <v>18941.5051876158</v>
      </c>
      <c r="AB108" s="16">
        <v>0</v>
      </c>
      <c r="AC108">
        <f t="shared" si="15"/>
        <v>0</v>
      </c>
      <c r="AE108" s="3">
        <v>3.2938999999999999E-6</v>
      </c>
      <c r="AF108" s="3">
        <v>18941.5051876158</v>
      </c>
      <c r="AG108" s="16">
        <v>0</v>
      </c>
      <c r="AH108">
        <f t="shared" si="16"/>
        <v>0</v>
      </c>
      <c r="AJ108" s="3">
        <v>3.2938999999999999E-6</v>
      </c>
      <c r="AK108" s="3">
        <v>18941.5051876158</v>
      </c>
      <c r="AL108" s="16">
        <v>2.32608563951496E-4</v>
      </c>
      <c r="AM108">
        <f t="shared" si="17"/>
        <v>4.4059563207711232</v>
      </c>
      <c r="AO108" s="3">
        <v>3.2938999999999999E-6</v>
      </c>
      <c r="AP108" s="3">
        <v>18941.5051876158</v>
      </c>
      <c r="AQ108" s="17">
        <v>3.1853179988966001E-6</v>
      </c>
      <c r="AR108">
        <f t="shared" si="18"/>
        <v>6.033471740030593E-2</v>
      </c>
      <c r="AT108" s="3">
        <v>3.2938999999999999E-6</v>
      </c>
      <c r="AU108" s="3">
        <v>18941.5051876158</v>
      </c>
      <c r="AV108" s="16">
        <v>0</v>
      </c>
      <c r="AW108">
        <f t="shared" si="19"/>
        <v>0</v>
      </c>
    </row>
    <row r="109" spans="1:49" x14ac:dyDescent="0.3">
      <c r="A109" s="3">
        <v>3.7176000000000002E-6</v>
      </c>
      <c r="B109" s="16">
        <v>18668.753842555601</v>
      </c>
      <c r="C109" s="16">
        <v>1.73555531642554E-2</v>
      </c>
      <c r="D109">
        <f t="shared" si="10"/>
        <v>324.006549824871</v>
      </c>
      <c r="F109" s="3">
        <v>3.7176000000000002E-6</v>
      </c>
      <c r="G109" s="3">
        <v>18668.753842555601</v>
      </c>
      <c r="H109" s="16">
        <v>0</v>
      </c>
      <c r="I109">
        <f t="shared" si="11"/>
        <v>0</v>
      </c>
      <c r="K109" s="3">
        <v>3.7176000000000002E-6</v>
      </c>
      <c r="L109" s="3">
        <v>18668.753842555601</v>
      </c>
      <c r="M109" s="16">
        <v>0</v>
      </c>
      <c r="N109">
        <f t="shared" si="12"/>
        <v>0</v>
      </c>
      <c r="P109" s="3">
        <v>3.7176000000000002E-6</v>
      </c>
      <c r="Q109" s="3">
        <v>18668.753842555601</v>
      </c>
      <c r="R109" s="16">
        <v>0</v>
      </c>
      <c r="S109">
        <f t="shared" si="13"/>
        <v>0</v>
      </c>
      <c r="U109" s="3">
        <v>3.7176000000000002E-6</v>
      </c>
      <c r="V109" s="3">
        <v>18668.753842555601</v>
      </c>
      <c r="W109" s="16">
        <v>0</v>
      </c>
      <c r="X109">
        <f t="shared" si="14"/>
        <v>0</v>
      </c>
      <c r="Z109" s="3">
        <v>3.7176000000000002E-6</v>
      </c>
      <c r="AA109" s="3">
        <v>18668.753842555601</v>
      </c>
      <c r="AB109" s="16">
        <v>0</v>
      </c>
      <c r="AC109">
        <f t="shared" si="15"/>
        <v>0</v>
      </c>
      <c r="AE109" s="3">
        <v>3.7176000000000002E-6</v>
      </c>
      <c r="AF109" s="3">
        <v>18668.753842555601</v>
      </c>
      <c r="AG109" s="16">
        <v>0</v>
      </c>
      <c r="AH109">
        <f t="shared" si="16"/>
        <v>0</v>
      </c>
      <c r="AJ109" s="3">
        <v>3.7176000000000002E-6</v>
      </c>
      <c r="AK109" s="3">
        <v>18668.753842555601</v>
      </c>
      <c r="AL109" s="16">
        <v>2.2235278548328E-4</v>
      </c>
      <c r="AM109">
        <f t="shared" si="17"/>
        <v>4.1510494183939244</v>
      </c>
      <c r="AO109" s="3">
        <v>3.7176000000000002E-6</v>
      </c>
      <c r="AP109" s="3">
        <v>18668.753842555601</v>
      </c>
      <c r="AQ109" s="17">
        <v>3.0350636820179001E-6</v>
      </c>
      <c r="AR109">
        <f t="shared" si="18"/>
        <v>5.6660856776072625E-2</v>
      </c>
      <c r="AT109" s="3">
        <v>3.7176000000000002E-6</v>
      </c>
      <c r="AU109" s="3">
        <v>18668.753842555601</v>
      </c>
      <c r="AV109" s="16">
        <v>0</v>
      </c>
      <c r="AW109">
        <f t="shared" si="19"/>
        <v>0</v>
      </c>
    </row>
    <row r="110" spans="1:49" x14ac:dyDescent="0.3">
      <c r="A110" s="3">
        <v>4.1957999999999997E-6</v>
      </c>
      <c r="B110" s="16">
        <v>17138.022653043201</v>
      </c>
      <c r="C110" s="16">
        <v>3.8585218497339403E-2</v>
      </c>
      <c r="D110">
        <f t="shared" si="10"/>
        <v>661.27434868002422</v>
      </c>
      <c r="F110" s="3">
        <v>4.1957999999999997E-6</v>
      </c>
      <c r="G110" s="3">
        <v>17138.022653043201</v>
      </c>
      <c r="H110" s="16">
        <v>0</v>
      </c>
      <c r="I110">
        <f t="shared" si="11"/>
        <v>0</v>
      </c>
      <c r="K110" s="3">
        <v>4.1957999999999997E-6</v>
      </c>
      <c r="L110" s="3">
        <v>17138.022653043201</v>
      </c>
      <c r="M110" s="16">
        <v>0</v>
      </c>
      <c r="N110">
        <f t="shared" si="12"/>
        <v>0</v>
      </c>
      <c r="P110" s="3">
        <v>4.1957999999999997E-6</v>
      </c>
      <c r="Q110" s="3">
        <v>17138.022653043201</v>
      </c>
      <c r="R110" s="16">
        <v>0</v>
      </c>
      <c r="S110">
        <f t="shared" si="13"/>
        <v>0</v>
      </c>
      <c r="U110" s="3">
        <v>4.1957999999999997E-6</v>
      </c>
      <c r="V110" s="3">
        <v>17138.022653043201</v>
      </c>
      <c r="W110" s="16">
        <v>0</v>
      </c>
      <c r="X110">
        <f t="shared" si="14"/>
        <v>0</v>
      </c>
      <c r="Z110" s="3">
        <v>4.1957999999999997E-6</v>
      </c>
      <c r="AA110" s="3">
        <v>17138.022653043201</v>
      </c>
      <c r="AB110" s="16">
        <v>0</v>
      </c>
      <c r="AC110">
        <f t="shared" si="15"/>
        <v>0</v>
      </c>
      <c r="AE110" s="3">
        <v>4.1957999999999997E-6</v>
      </c>
      <c r="AF110" s="3">
        <v>17138.022653043201</v>
      </c>
      <c r="AG110" s="16">
        <v>0</v>
      </c>
      <c r="AH110">
        <f t="shared" si="16"/>
        <v>0</v>
      </c>
      <c r="AJ110" s="3">
        <v>4.1957999999999997E-6</v>
      </c>
      <c r="AK110" s="3">
        <v>17138.022653043201</v>
      </c>
      <c r="AL110" s="16">
        <v>2.0710511981311501E-4</v>
      </c>
      <c r="AM110">
        <f t="shared" si="17"/>
        <v>3.5493722349183914</v>
      </c>
      <c r="AO110" s="3">
        <v>4.1957999999999997E-6</v>
      </c>
      <c r="AP110" s="3">
        <v>17138.022653043201</v>
      </c>
      <c r="AQ110" s="17">
        <v>2.8933743206946099E-6</v>
      </c>
      <c r="AR110">
        <f t="shared" si="18"/>
        <v>4.958671465179771E-2</v>
      </c>
      <c r="AT110" s="3">
        <v>4.1957999999999997E-6</v>
      </c>
      <c r="AU110" s="3">
        <v>17138.022653043201</v>
      </c>
      <c r="AV110" s="16">
        <v>0</v>
      </c>
      <c r="AW110">
        <f t="shared" si="19"/>
        <v>0</v>
      </c>
    </row>
    <row r="111" spans="1:49" x14ac:dyDescent="0.3">
      <c r="A111" s="3">
        <v>4.7353999999999996E-6</v>
      </c>
      <c r="B111" s="16">
        <v>16396.205235996698</v>
      </c>
      <c r="C111" s="16">
        <v>0.33686742795325098</v>
      </c>
      <c r="D111">
        <f t="shared" si="10"/>
        <v>5523.3474860438346</v>
      </c>
      <c r="F111" s="3">
        <v>4.7353999999999996E-6</v>
      </c>
      <c r="G111" s="3">
        <v>16396.205235996698</v>
      </c>
      <c r="H111" s="16">
        <v>0</v>
      </c>
      <c r="I111">
        <f t="shared" si="11"/>
        <v>0</v>
      </c>
      <c r="K111" s="3">
        <v>4.7353999999999996E-6</v>
      </c>
      <c r="L111" s="3">
        <v>16396.205235996698</v>
      </c>
      <c r="M111" s="16">
        <v>0</v>
      </c>
      <c r="N111">
        <f t="shared" si="12"/>
        <v>0</v>
      </c>
      <c r="P111" s="3">
        <v>4.7353999999999996E-6</v>
      </c>
      <c r="Q111" s="3">
        <v>16396.205235996698</v>
      </c>
      <c r="R111" s="16">
        <v>0</v>
      </c>
      <c r="S111">
        <f t="shared" si="13"/>
        <v>0</v>
      </c>
      <c r="U111" s="3">
        <v>4.7353999999999996E-6</v>
      </c>
      <c r="V111" s="3">
        <v>16396.205235996698</v>
      </c>
      <c r="W111" s="16">
        <v>0</v>
      </c>
      <c r="X111">
        <f t="shared" si="14"/>
        <v>0</v>
      </c>
      <c r="Z111" s="3">
        <v>4.7353999999999996E-6</v>
      </c>
      <c r="AA111" s="3">
        <v>16396.205235996698</v>
      </c>
      <c r="AB111" s="16">
        <v>0</v>
      </c>
      <c r="AC111">
        <f t="shared" si="15"/>
        <v>0</v>
      </c>
      <c r="AE111" s="3">
        <v>4.7353999999999996E-6</v>
      </c>
      <c r="AF111" s="3">
        <v>16396.205235996698</v>
      </c>
      <c r="AG111" s="16">
        <v>0</v>
      </c>
      <c r="AH111">
        <f t="shared" si="16"/>
        <v>0</v>
      </c>
      <c r="AJ111" s="3">
        <v>4.7353999999999996E-6</v>
      </c>
      <c r="AK111" s="3">
        <v>16396.205235996698</v>
      </c>
      <c r="AL111" s="16">
        <v>1.9275825318837501E-4</v>
      </c>
      <c r="AM111">
        <f t="shared" si="17"/>
        <v>3.1605038802088115</v>
      </c>
      <c r="AO111" s="3">
        <v>4.7353999999999996E-6</v>
      </c>
      <c r="AP111" s="3">
        <v>16396.205235996698</v>
      </c>
      <c r="AQ111" s="17">
        <v>2.7597077128046602E-6</v>
      </c>
      <c r="AR111">
        <f t="shared" si="18"/>
        <v>4.5248734050508242E-2</v>
      </c>
      <c r="AT111" s="3">
        <v>4.7353999999999996E-6</v>
      </c>
      <c r="AU111" s="3">
        <v>16396.205235996698</v>
      </c>
      <c r="AV111" s="16">
        <v>0</v>
      </c>
      <c r="AW111">
        <f t="shared" si="19"/>
        <v>0</v>
      </c>
    </row>
    <row r="112" spans="1:49" x14ac:dyDescent="0.3">
      <c r="A112" s="3">
        <v>5.3445000000000002E-6</v>
      </c>
      <c r="B112" s="16">
        <v>10641.108139837899</v>
      </c>
      <c r="C112" s="16">
        <v>1.85617493075802</v>
      </c>
      <c r="D112">
        <f t="shared" si="10"/>
        <v>19751.758164652216</v>
      </c>
      <c r="F112" s="3">
        <v>5.3445000000000002E-6</v>
      </c>
      <c r="G112" s="3">
        <v>10641.108139837899</v>
      </c>
      <c r="H112" s="16">
        <v>0</v>
      </c>
      <c r="I112">
        <f t="shared" si="11"/>
        <v>0</v>
      </c>
      <c r="K112" s="3">
        <v>5.3445000000000002E-6</v>
      </c>
      <c r="L112" s="3">
        <v>10641.108139837899</v>
      </c>
      <c r="M112" s="16">
        <v>0</v>
      </c>
      <c r="N112">
        <f t="shared" si="12"/>
        <v>0</v>
      </c>
      <c r="P112" s="3">
        <v>5.3445000000000002E-6</v>
      </c>
      <c r="Q112" s="3">
        <v>10641.108139837899</v>
      </c>
      <c r="R112" s="16">
        <v>0</v>
      </c>
      <c r="S112">
        <f t="shared" si="13"/>
        <v>0</v>
      </c>
      <c r="U112" s="3">
        <v>5.3445000000000002E-6</v>
      </c>
      <c r="V112" s="3">
        <v>10641.108139837899</v>
      </c>
      <c r="W112" s="16">
        <v>0</v>
      </c>
      <c r="X112">
        <f t="shared" si="14"/>
        <v>0</v>
      </c>
      <c r="Z112" s="3">
        <v>5.3445000000000002E-6</v>
      </c>
      <c r="AA112" s="3">
        <v>10641.108139837899</v>
      </c>
      <c r="AB112" s="16">
        <v>0</v>
      </c>
      <c r="AC112">
        <f t="shared" si="15"/>
        <v>0</v>
      </c>
      <c r="AE112" s="3">
        <v>5.3445000000000002E-6</v>
      </c>
      <c r="AF112" s="3">
        <v>10641.108139837899</v>
      </c>
      <c r="AG112" s="16">
        <v>0</v>
      </c>
      <c r="AH112">
        <f t="shared" si="16"/>
        <v>0</v>
      </c>
      <c r="AJ112" s="3">
        <v>5.3445000000000002E-6</v>
      </c>
      <c r="AK112" s="3">
        <v>10641.108139837899</v>
      </c>
      <c r="AL112" s="16">
        <v>1.83564515814522E-4</v>
      </c>
      <c r="AM112">
        <f t="shared" si="17"/>
        <v>1.9533298634193128</v>
      </c>
      <c r="AO112" s="3">
        <v>5.3445000000000002E-6</v>
      </c>
      <c r="AP112" s="3">
        <v>10641.108139837899</v>
      </c>
      <c r="AQ112" s="17">
        <v>2.5747019158478702E-6</v>
      </c>
      <c r="AR112">
        <f t="shared" si="18"/>
        <v>2.7397681514385007E-2</v>
      </c>
      <c r="AT112" s="3">
        <v>5.3445000000000002E-6</v>
      </c>
      <c r="AU112" s="3">
        <v>10641.108139837899</v>
      </c>
      <c r="AV112" s="16">
        <v>0</v>
      </c>
      <c r="AW112">
        <f t="shared" si="19"/>
        <v>0</v>
      </c>
    </row>
    <row r="113" spans="1:49" x14ac:dyDescent="0.3">
      <c r="A113" s="3">
        <v>6.032E-6</v>
      </c>
      <c r="B113" s="16">
        <v>15981.1716436058</v>
      </c>
      <c r="C113" s="16">
        <v>5.9295965714757697E-2</v>
      </c>
      <c r="D113">
        <f t="shared" si="10"/>
        <v>947.61900586090735</v>
      </c>
      <c r="F113" s="3">
        <v>6.032E-6</v>
      </c>
      <c r="G113" s="3">
        <v>15981.1716436058</v>
      </c>
      <c r="H113" s="16">
        <v>0</v>
      </c>
      <c r="I113">
        <f t="shared" si="11"/>
        <v>0</v>
      </c>
      <c r="K113" s="3">
        <v>6.032E-6</v>
      </c>
      <c r="L113" s="3">
        <v>15981.1716436058</v>
      </c>
      <c r="M113" s="16">
        <v>0</v>
      </c>
      <c r="N113">
        <f t="shared" si="12"/>
        <v>0</v>
      </c>
      <c r="P113" s="3">
        <v>6.032E-6</v>
      </c>
      <c r="Q113" s="3">
        <v>15981.1716436058</v>
      </c>
      <c r="R113" s="16">
        <v>0</v>
      </c>
      <c r="S113">
        <f t="shared" si="13"/>
        <v>0</v>
      </c>
      <c r="U113" s="3">
        <v>6.032E-6</v>
      </c>
      <c r="V113" s="3">
        <v>15981.1716436058</v>
      </c>
      <c r="W113" s="16">
        <v>0</v>
      </c>
      <c r="X113">
        <f t="shared" si="14"/>
        <v>0</v>
      </c>
      <c r="Z113" s="3">
        <v>6.032E-6</v>
      </c>
      <c r="AA113" s="3">
        <v>15981.1716436058</v>
      </c>
      <c r="AB113" s="16">
        <v>0</v>
      </c>
      <c r="AC113">
        <f t="shared" si="15"/>
        <v>0</v>
      </c>
      <c r="AE113" s="3">
        <v>6.032E-6</v>
      </c>
      <c r="AF113" s="3">
        <v>15981.1716436058</v>
      </c>
      <c r="AG113" s="16">
        <v>0</v>
      </c>
      <c r="AH113">
        <f t="shared" si="16"/>
        <v>0</v>
      </c>
      <c r="AJ113" s="3">
        <v>6.032E-6</v>
      </c>
      <c r="AK113" s="3">
        <v>15981.1716436058</v>
      </c>
      <c r="AL113" s="16">
        <v>1.75546032037475E-4</v>
      </c>
      <c r="AM113">
        <f t="shared" si="17"/>
        <v>2.8054312693448105</v>
      </c>
      <c r="AO113" s="3">
        <v>6.032E-6</v>
      </c>
      <c r="AP113" s="3">
        <v>15981.1716436058</v>
      </c>
      <c r="AQ113" s="17">
        <v>2.4044458545846801E-6</v>
      </c>
      <c r="AR113">
        <f t="shared" si="18"/>
        <v>3.8425861909874202E-2</v>
      </c>
      <c r="AT113" s="3">
        <v>6.032E-6</v>
      </c>
      <c r="AU113" s="3">
        <v>15981.1716436058</v>
      </c>
      <c r="AV113" s="16">
        <v>0</v>
      </c>
      <c r="AW113">
        <f t="shared" si="19"/>
        <v>0</v>
      </c>
    </row>
    <row r="114" spans="1:49" x14ac:dyDescent="0.3">
      <c r="A114" s="3">
        <v>6.8078000000000003E-6</v>
      </c>
      <c r="B114" s="16">
        <v>14922.3623390799</v>
      </c>
      <c r="C114" s="16">
        <v>1.1365565223549499E-2</v>
      </c>
      <c r="D114">
        <f t="shared" si="10"/>
        <v>169.60108245425127</v>
      </c>
      <c r="F114" s="3">
        <v>6.8078000000000003E-6</v>
      </c>
      <c r="G114" s="3">
        <v>14922.3623390799</v>
      </c>
      <c r="H114" s="16">
        <v>0</v>
      </c>
      <c r="I114">
        <f t="shared" si="11"/>
        <v>0</v>
      </c>
      <c r="K114" s="3">
        <v>6.8078000000000003E-6</v>
      </c>
      <c r="L114" s="3">
        <v>14922.3623390799</v>
      </c>
      <c r="M114" s="16">
        <v>0</v>
      </c>
      <c r="N114">
        <f t="shared" si="12"/>
        <v>0</v>
      </c>
      <c r="P114" s="3">
        <v>6.8078000000000003E-6</v>
      </c>
      <c r="Q114" s="3">
        <v>14922.3623390799</v>
      </c>
      <c r="R114" s="16">
        <v>0</v>
      </c>
      <c r="S114">
        <f t="shared" si="13"/>
        <v>0</v>
      </c>
      <c r="U114" s="3">
        <v>6.8078000000000003E-6</v>
      </c>
      <c r="V114" s="3">
        <v>14922.3623390799</v>
      </c>
      <c r="W114" s="16">
        <v>0</v>
      </c>
      <c r="X114">
        <f t="shared" si="14"/>
        <v>0</v>
      </c>
      <c r="Z114" s="3">
        <v>6.8078000000000003E-6</v>
      </c>
      <c r="AA114" s="3">
        <v>14922.3623390799</v>
      </c>
      <c r="AB114" s="16">
        <v>0</v>
      </c>
      <c r="AC114">
        <f t="shared" si="15"/>
        <v>0</v>
      </c>
      <c r="AE114" s="3">
        <v>6.8078000000000003E-6</v>
      </c>
      <c r="AF114" s="3">
        <v>14922.3623390799</v>
      </c>
      <c r="AG114" s="16">
        <v>0</v>
      </c>
      <c r="AH114">
        <f t="shared" si="16"/>
        <v>0</v>
      </c>
      <c r="AJ114" s="3">
        <v>6.8078000000000003E-6</v>
      </c>
      <c r="AK114" s="3">
        <v>14922.3623390799</v>
      </c>
      <c r="AL114" s="16">
        <v>1.6398928998597199E-4</v>
      </c>
      <c r="AM114">
        <f t="shared" si="17"/>
        <v>2.4471076048991209</v>
      </c>
      <c r="AO114" s="3">
        <v>6.8078000000000003E-6</v>
      </c>
      <c r="AP114" s="3">
        <v>14922.3623390799</v>
      </c>
      <c r="AQ114" s="17">
        <v>2.3001960092836398E-6</v>
      </c>
      <c r="AR114">
        <f t="shared" si="18"/>
        <v>3.432435830143607E-2</v>
      </c>
      <c r="AT114" s="3">
        <v>6.8078000000000003E-6</v>
      </c>
      <c r="AU114" s="3">
        <v>14922.3623390799</v>
      </c>
      <c r="AV114" s="16">
        <v>0</v>
      </c>
      <c r="AW114">
        <f t="shared" si="19"/>
        <v>0</v>
      </c>
    </row>
    <row r="115" spans="1:49" x14ac:dyDescent="0.3">
      <c r="A115" s="3">
        <v>7.6835000000000002E-6</v>
      </c>
      <c r="B115" s="16">
        <v>14253.2262914232</v>
      </c>
      <c r="C115" s="16">
        <v>4.2890474407259703E-3</v>
      </c>
      <c r="D115">
        <f t="shared" si="10"/>
        <v>61.132763747316787</v>
      </c>
      <c r="F115" s="3">
        <v>7.6835000000000002E-6</v>
      </c>
      <c r="G115" s="3">
        <v>14253.2262914232</v>
      </c>
      <c r="H115" s="16">
        <v>0</v>
      </c>
      <c r="I115">
        <f t="shared" si="11"/>
        <v>0</v>
      </c>
      <c r="K115" s="3">
        <v>7.6835000000000002E-6</v>
      </c>
      <c r="L115" s="3">
        <v>14253.2262914232</v>
      </c>
      <c r="M115" s="16">
        <v>0</v>
      </c>
      <c r="N115">
        <f t="shared" si="12"/>
        <v>0</v>
      </c>
      <c r="P115" s="3">
        <v>7.6835000000000002E-6</v>
      </c>
      <c r="Q115" s="3">
        <v>14253.2262914232</v>
      </c>
      <c r="R115" s="16">
        <v>0</v>
      </c>
      <c r="S115">
        <f t="shared" si="13"/>
        <v>0</v>
      </c>
      <c r="U115" s="3">
        <v>7.6835000000000002E-6</v>
      </c>
      <c r="V115" s="3">
        <v>14253.2262914232</v>
      </c>
      <c r="W115" s="16">
        <v>0</v>
      </c>
      <c r="X115">
        <f t="shared" si="14"/>
        <v>0</v>
      </c>
      <c r="Z115" s="3">
        <v>7.6835000000000002E-6</v>
      </c>
      <c r="AA115" s="3">
        <v>14253.2262914232</v>
      </c>
      <c r="AB115" s="16">
        <v>0</v>
      </c>
      <c r="AC115">
        <f t="shared" si="15"/>
        <v>0</v>
      </c>
      <c r="AE115" s="3">
        <v>7.6835000000000002E-6</v>
      </c>
      <c r="AF115" s="3">
        <v>14253.2262914232</v>
      </c>
      <c r="AG115" s="16">
        <v>0</v>
      </c>
      <c r="AH115">
        <f t="shared" si="16"/>
        <v>0</v>
      </c>
      <c r="AJ115" s="3">
        <v>7.6835000000000002E-6</v>
      </c>
      <c r="AK115" s="3">
        <v>14253.2262914232</v>
      </c>
      <c r="AL115" s="16">
        <v>1.5161065457256501E-4</v>
      </c>
      <c r="AM115">
        <f t="shared" si="17"/>
        <v>2.1609409678135645</v>
      </c>
      <c r="AO115" s="3">
        <v>7.6835000000000002E-6</v>
      </c>
      <c r="AP115" s="3">
        <v>14253.2262914232</v>
      </c>
      <c r="AQ115" s="17">
        <v>2.2026088171775301E-6</v>
      </c>
      <c r="AR115">
        <f t="shared" si="18"/>
        <v>3.1394281902715329E-2</v>
      </c>
      <c r="AT115" s="3">
        <v>7.6835000000000002E-6</v>
      </c>
      <c r="AU115" s="3">
        <v>14253.2262914232</v>
      </c>
      <c r="AV115" s="16">
        <v>0</v>
      </c>
      <c r="AW115">
        <f t="shared" si="19"/>
        <v>0</v>
      </c>
    </row>
    <row r="116" spans="1:49" x14ac:dyDescent="0.3">
      <c r="A116">
        <v>8.6718000000000006E-6</v>
      </c>
      <c r="B116" s="16">
        <v>13508.469638517599</v>
      </c>
      <c r="C116" s="16">
        <v>2.1093085472043299E-3</v>
      </c>
      <c r="D116">
        <f t="shared" si="10"/>
        <v>28.493530468175358</v>
      </c>
      <c r="F116">
        <v>8.6718000000000006E-6</v>
      </c>
      <c r="G116">
        <v>13508.469638517599</v>
      </c>
      <c r="H116" s="16">
        <v>0</v>
      </c>
      <c r="I116">
        <f t="shared" si="11"/>
        <v>0</v>
      </c>
      <c r="K116">
        <v>8.6718000000000006E-6</v>
      </c>
      <c r="L116">
        <v>13508.469638517599</v>
      </c>
      <c r="M116" s="16">
        <v>0</v>
      </c>
      <c r="N116">
        <f t="shared" si="12"/>
        <v>0</v>
      </c>
      <c r="P116">
        <v>8.6718000000000006E-6</v>
      </c>
      <c r="Q116">
        <v>13508.469638517599</v>
      </c>
      <c r="R116" s="16">
        <v>0</v>
      </c>
      <c r="S116">
        <f t="shared" si="13"/>
        <v>0</v>
      </c>
      <c r="U116">
        <v>8.6718000000000006E-6</v>
      </c>
      <c r="V116">
        <v>13508.469638517599</v>
      </c>
      <c r="W116" s="16">
        <v>0</v>
      </c>
      <c r="X116">
        <f t="shared" si="14"/>
        <v>0</v>
      </c>
      <c r="Z116">
        <v>8.6718000000000006E-6</v>
      </c>
      <c r="AA116">
        <v>13508.469638517599</v>
      </c>
      <c r="AB116" s="16">
        <v>0</v>
      </c>
      <c r="AC116">
        <f t="shared" si="15"/>
        <v>0</v>
      </c>
      <c r="AE116">
        <v>8.6718000000000006E-6</v>
      </c>
      <c r="AF116">
        <v>13508.469638517599</v>
      </c>
      <c r="AG116" s="16">
        <v>0</v>
      </c>
      <c r="AH116">
        <f t="shared" si="16"/>
        <v>0</v>
      </c>
      <c r="AJ116">
        <v>8.6718000000000006E-6</v>
      </c>
      <c r="AK116">
        <v>13508.469638517599</v>
      </c>
      <c r="AL116" s="16">
        <v>1.4437044548765E-4</v>
      </c>
      <c r="AM116">
        <f t="shared" si="17"/>
        <v>1.9502237795691801</v>
      </c>
      <c r="AO116">
        <v>8.6718000000000006E-6</v>
      </c>
      <c r="AP116">
        <v>13508.469638517599</v>
      </c>
      <c r="AQ116" s="17">
        <v>2.1113993924056002E-6</v>
      </c>
      <c r="AR116">
        <f t="shared" si="18"/>
        <v>2.8521774587095556E-2</v>
      </c>
      <c r="AT116">
        <v>8.6718000000000006E-6</v>
      </c>
      <c r="AU116">
        <v>13508.469638517599</v>
      </c>
      <c r="AV116" s="16">
        <v>0</v>
      </c>
      <c r="AW116">
        <f t="shared" si="19"/>
        <v>0</v>
      </c>
    </row>
    <row r="117" spans="1:49" x14ac:dyDescent="0.3">
      <c r="A117">
        <v>9.7872000000000001E-6</v>
      </c>
      <c r="B117" s="16">
        <v>12479.2601964029</v>
      </c>
      <c r="C117" s="16">
        <v>1.13921952142684E-3</v>
      </c>
      <c r="D117">
        <f t="shared" si="10"/>
        <v>14.216616828707124</v>
      </c>
      <c r="F117">
        <v>9.7872000000000001E-6</v>
      </c>
      <c r="G117">
        <v>12479.2601964029</v>
      </c>
      <c r="H117" s="16">
        <v>0</v>
      </c>
      <c r="I117">
        <f t="shared" si="11"/>
        <v>0</v>
      </c>
      <c r="K117">
        <v>9.7872000000000001E-6</v>
      </c>
      <c r="L117">
        <v>12479.2601964029</v>
      </c>
      <c r="M117" s="16">
        <v>0</v>
      </c>
      <c r="N117">
        <f t="shared" si="12"/>
        <v>0</v>
      </c>
      <c r="P117">
        <v>9.7872000000000001E-6</v>
      </c>
      <c r="Q117">
        <v>12479.2601964029</v>
      </c>
      <c r="R117" s="16">
        <v>0</v>
      </c>
      <c r="S117">
        <f t="shared" si="13"/>
        <v>0</v>
      </c>
      <c r="U117">
        <v>9.7872000000000001E-6</v>
      </c>
      <c r="V117">
        <v>12479.2601964029</v>
      </c>
      <c r="W117" s="16">
        <v>0</v>
      </c>
      <c r="X117">
        <f t="shared" si="14"/>
        <v>0</v>
      </c>
      <c r="Z117">
        <v>9.7872000000000001E-6</v>
      </c>
      <c r="AA117">
        <v>12479.2601964029</v>
      </c>
      <c r="AB117" s="16">
        <v>0</v>
      </c>
      <c r="AC117">
        <f t="shared" si="15"/>
        <v>0</v>
      </c>
      <c r="AE117">
        <v>9.7872000000000001E-6</v>
      </c>
      <c r="AF117">
        <v>12479.2601964029</v>
      </c>
      <c r="AG117" s="16">
        <v>0</v>
      </c>
      <c r="AH117">
        <f t="shared" si="16"/>
        <v>0</v>
      </c>
      <c r="AJ117">
        <v>9.7872000000000001E-6</v>
      </c>
      <c r="AK117">
        <v>12479.2601964029</v>
      </c>
      <c r="AL117" s="16">
        <v>1.3655976301379201E-4</v>
      </c>
      <c r="AM117">
        <f t="shared" si="17"/>
        <v>1.7041648150082276</v>
      </c>
      <c r="AO117">
        <v>9.7872000000000001E-6</v>
      </c>
      <c r="AP117">
        <v>12479.2601964029</v>
      </c>
      <c r="AQ117" s="17">
        <v>2.0267239626979398E-6</v>
      </c>
      <c r="AR117">
        <f t="shared" si="18"/>
        <v>2.5292015676792356E-2</v>
      </c>
      <c r="AT117">
        <v>9.7872000000000001E-6</v>
      </c>
      <c r="AU117">
        <v>12479.2601964029</v>
      </c>
      <c r="AV117" s="16">
        <v>0</v>
      </c>
      <c r="AW117">
        <f t="shared" si="19"/>
        <v>0</v>
      </c>
    </row>
    <row r="118" spans="1:49" x14ac:dyDescent="0.3">
      <c r="A118">
        <v>1.1046000000000001E-5</v>
      </c>
      <c r="B118" s="16">
        <v>12315.6870115781</v>
      </c>
      <c r="C118" s="16">
        <v>6.8733474012234205E-4</v>
      </c>
      <c r="D118">
        <f t="shared" si="10"/>
        <v>8.4649995315311362</v>
      </c>
      <c r="F118">
        <v>1.1046000000000001E-5</v>
      </c>
      <c r="G118">
        <v>12315.6870115781</v>
      </c>
      <c r="H118" s="16">
        <v>0</v>
      </c>
      <c r="I118">
        <f t="shared" si="11"/>
        <v>0</v>
      </c>
      <c r="K118">
        <v>1.1046000000000001E-5</v>
      </c>
      <c r="L118">
        <v>12315.6870115781</v>
      </c>
      <c r="M118" s="16">
        <v>0</v>
      </c>
      <c r="N118">
        <f t="shared" si="12"/>
        <v>0</v>
      </c>
      <c r="P118">
        <v>1.1046000000000001E-5</v>
      </c>
      <c r="Q118">
        <v>12315.6870115781</v>
      </c>
      <c r="R118" s="16">
        <v>0</v>
      </c>
      <c r="S118">
        <f t="shared" si="13"/>
        <v>0</v>
      </c>
      <c r="U118">
        <v>1.1046000000000001E-5</v>
      </c>
      <c r="V118">
        <v>12315.6870115781</v>
      </c>
      <c r="W118" s="16">
        <v>0</v>
      </c>
      <c r="X118">
        <f t="shared" si="14"/>
        <v>0</v>
      </c>
      <c r="Z118">
        <v>1.1046000000000001E-5</v>
      </c>
      <c r="AA118">
        <v>12315.6870115781</v>
      </c>
      <c r="AB118" s="16">
        <v>0</v>
      </c>
      <c r="AC118">
        <f t="shared" si="15"/>
        <v>0</v>
      </c>
      <c r="AE118">
        <v>1.1046000000000001E-5</v>
      </c>
      <c r="AF118">
        <v>12315.6870115781</v>
      </c>
      <c r="AG118" s="16">
        <v>0</v>
      </c>
      <c r="AH118">
        <f t="shared" si="16"/>
        <v>0</v>
      </c>
      <c r="AJ118">
        <v>1.1046000000000001E-5</v>
      </c>
      <c r="AK118">
        <v>12315.6870115781</v>
      </c>
      <c r="AL118" s="16">
        <v>1.3010959095892299E-4</v>
      </c>
      <c r="AM118">
        <f t="shared" si="17"/>
        <v>1.6023889994545473</v>
      </c>
      <c r="AO118">
        <v>1.1046000000000001E-5</v>
      </c>
      <c r="AP118">
        <v>12315.6870115781</v>
      </c>
      <c r="AQ118" s="17">
        <v>1.9482149333955099E-6</v>
      </c>
      <c r="AR118">
        <f t="shared" si="18"/>
        <v>2.3993605350981575E-2</v>
      </c>
      <c r="AT118">
        <v>1.1046000000000001E-5</v>
      </c>
      <c r="AU118">
        <v>12315.6870115781</v>
      </c>
      <c r="AV118" s="16">
        <v>0</v>
      </c>
      <c r="AW118">
        <f t="shared" si="19"/>
        <v>0</v>
      </c>
    </row>
    <row r="119" spans="1:49" x14ac:dyDescent="0.3">
      <c r="A119">
        <v>1.2466999999999999E-5</v>
      </c>
      <c r="B119" s="16">
        <v>10741.8107103811</v>
      </c>
      <c r="C119" s="16">
        <v>4.48766394691784E-4</v>
      </c>
      <c r="D119">
        <f t="shared" si="10"/>
        <v>4.8205636649593169</v>
      </c>
      <c r="F119">
        <v>1.2466999999999999E-5</v>
      </c>
      <c r="G119">
        <v>10741.8107103811</v>
      </c>
      <c r="H119" s="16">
        <v>0</v>
      </c>
      <c r="I119">
        <f t="shared" si="11"/>
        <v>0</v>
      </c>
      <c r="K119">
        <v>1.2466999999999999E-5</v>
      </c>
      <c r="L119">
        <v>10741.8107103811</v>
      </c>
      <c r="M119" s="16">
        <v>0</v>
      </c>
      <c r="N119">
        <f t="shared" si="12"/>
        <v>0</v>
      </c>
      <c r="P119">
        <v>1.2466999999999999E-5</v>
      </c>
      <c r="Q119">
        <v>10741.8107103811</v>
      </c>
      <c r="R119" s="16">
        <v>0</v>
      </c>
      <c r="S119">
        <f t="shared" si="13"/>
        <v>0</v>
      </c>
      <c r="U119">
        <v>1.2466999999999999E-5</v>
      </c>
      <c r="V119">
        <v>10741.8107103811</v>
      </c>
      <c r="W119" s="16">
        <v>0</v>
      </c>
      <c r="X119">
        <f t="shared" si="14"/>
        <v>0</v>
      </c>
      <c r="Z119">
        <v>1.2466999999999999E-5</v>
      </c>
      <c r="AA119">
        <v>10741.8107103811</v>
      </c>
      <c r="AB119" s="16">
        <v>0</v>
      </c>
      <c r="AC119">
        <f t="shared" si="15"/>
        <v>0</v>
      </c>
      <c r="AE119">
        <v>1.2466999999999999E-5</v>
      </c>
      <c r="AF119">
        <v>10741.8107103811</v>
      </c>
      <c r="AG119" s="16">
        <v>0</v>
      </c>
      <c r="AH119">
        <f t="shared" si="16"/>
        <v>0</v>
      </c>
      <c r="AJ119">
        <v>1.2466999999999999E-5</v>
      </c>
      <c r="AK119">
        <v>10741.8107103811</v>
      </c>
      <c r="AL119" s="16">
        <v>1.21216038250643E-4</v>
      </c>
      <c r="AM119">
        <f t="shared" si="17"/>
        <v>1.3020797379507221</v>
      </c>
      <c r="AO119">
        <v>1.2466999999999999E-5</v>
      </c>
      <c r="AP119">
        <v>10741.8107103811</v>
      </c>
      <c r="AQ119" s="17">
        <v>1.8380468140840801E-6</v>
      </c>
      <c r="AR119">
        <f t="shared" si="18"/>
        <v>1.9743950953710229E-2</v>
      </c>
      <c r="AT119">
        <v>1.2466999999999999E-5</v>
      </c>
      <c r="AU119">
        <v>10741.8107103811</v>
      </c>
      <c r="AV119" s="16">
        <v>0</v>
      </c>
      <c r="AW119">
        <f t="shared" si="19"/>
        <v>0</v>
      </c>
    </row>
    <row r="120" spans="1:49" x14ac:dyDescent="0.3">
      <c r="A120">
        <v>1.4070000000000001E-5</v>
      </c>
      <c r="B120" s="16">
        <v>10235.417174365901</v>
      </c>
      <c r="C120" s="16">
        <v>2.9650436730932299E-4</v>
      </c>
      <c r="D120">
        <f t="shared" si="10"/>
        <v>3.0348458934323399</v>
      </c>
      <c r="F120">
        <v>1.4070000000000001E-5</v>
      </c>
      <c r="G120">
        <v>10235.417174365901</v>
      </c>
      <c r="H120" s="16">
        <v>0</v>
      </c>
      <c r="I120">
        <f t="shared" si="11"/>
        <v>0</v>
      </c>
      <c r="K120">
        <v>1.4070000000000001E-5</v>
      </c>
      <c r="L120">
        <v>10235.417174365901</v>
      </c>
      <c r="M120" s="16">
        <v>0</v>
      </c>
      <c r="N120">
        <f t="shared" si="12"/>
        <v>0</v>
      </c>
      <c r="P120">
        <v>1.4070000000000001E-5</v>
      </c>
      <c r="Q120">
        <v>10235.417174365901</v>
      </c>
      <c r="R120" s="16">
        <v>0</v>
      </c>
      <c r="S120">
        <f t="shared" si="13"/>
        <v>0</v>
      </c>
      <c r="U120">
        <v>1.4070000000000001E-5</v>
      </c>
      <c r="V120">
        <v>10235.417174365901</v>
      </c>
      <c r="W120" s="16">
        <v>0</v>
      </c>
      <c r="X120">
        <f t="shared" si="14"/>
        <v>0</v>
      </c>
      <c r="Z120">
        <v>1.4070000000000001E-5</v>
      </c>
      <c r="AA120">
        <v>10235.417174365901</v>
      </c>
      <c r="AB120" s="16">
        <v>0</v>
      </c>
      <c r="AC120">
        <f t="shared" si="15"/>
        <v>0</v>
      </c>
      <c r="AE120">
        <v>1.4070000000000001E-5</v>
      </c>
      <c r="AF120">
        <v>10235.417174365901</v>
      </c>
      <c r="AG120" s="16">
        <v>0</v>
      </c>
      <c r="AH120">
        <f t="shared" si="16"/>
        <v>0</v>
      </c>
      <c r="AJ120">
        <v>1.4070000000000001E-5</v>
      </c>
      <c r="AK120">
        <v>10235.417174365901</v>
      </c>
      <c r="AL120" s="16">
        <v>1.1327229432910601E-4</v>
      </c>
      <c r="AM120">
        <f t="shared" si="17"/>
        <v>1.1593891867559609</v>
      </c>
      <c r="AO120">
        <v>1.4070000000000001E-5</v>
      </c>
      <c r="AP120">
        <v>10235.417174365901</v>
      </c>
      <c r="AQ120" s="17">
        <v>1.7450361754828999E-6</v>
      </c>
      <c r="AR120">
        <f t="shared" si="18"/>
        <v>1.786117324042746E-2</v>
      </c>
      <c r="AT120">
        <v>1.4070000000000001E-5</v>
      </c>
      <c r="AU120">
        <v>10235.417174365901</v>
      </c>
      <c r="AV120" s="16">
        <v>0</v>
      </c>
      <c r="AW120">
        <f t="shared" si="19"/>
        <v>0</v>
      </c>
    </row>
    <row r="121" spans="1:49" x14ac:dyDescent="0.3">
      <c r="A121">
        <v>1.588E-5</v>
      </c>
      <c r="B121" s="16">
        <v>9834.7619862258598</v>
      </c>
      <c r="C121" s="16">
        <v>2.0551108349207899E-4</v>
      </c>
      <c r="D121">
        <f t="shared" si="10"/>
        <v>2.0211525916759872</v>
      </c>
      <c r="F121">
        <v>1.588E-5</v>
      </c>
      <c r="G121">
        <v>9834.7619862258598</v>
      </c>
      <c r="H121" s="16">
        <v>0</v>
      </c>
      <c r="I121">
        <f t="shared" si="11"/>
        <v>0</v>
      </c>
      <c r="K121">
        <v>1.588E-5</v>
      </c>
      <c r="L121">
        <v>9834.7619862258598</v>
      </c>
      <c r="M121" s="16">
        <v>0</v>
      </c>
      <c r="N121">
        <f t="shared" si="12"/>
        <v>0</v>
      </c>
      <c r="P121">
        <v>1.588E-5</v>
      </c>
      <c r="Q121">
        <v>9834.7619862258598</v>
      </c>
      <c r="R121" s="16">
        <v>0</v>
      </c>
      <c r="S121">
        <f t="shared" si="13"/>
        <v>0</v>
      </c>
      <c r="U121">
        <v>1.588E-5</v>
      </c>
      <c r="V121">
        <v>9834.7619862258598</v>
      </c>
      <c r="W121" s="16">
        <v>0</v>
      </c>
      <c r="X121">
        <f t="shared" si="14"/>
        <v>0</v>
      </c>
      <c r="Z121">
        <v>1.588E-5</v>
      </c>
      <c r="AA121">
        <v>9834.7619862258598</v>
      </c>
      <c r="AB121" s="16">
        <v>0</v>
      </c>
      <c r="AC121">
        <f t="shared" si="15"/>
        <v>0</v>
      </c>
      <c r="AE121">
        <v>1.588E-5</v>
      </c>
      <c r="AF121">
        <v>9834.7619862258598</v>
      </c>
      <c r="AG121" s="16">
        <v>0</v>
      </c>
      <c r="AH121">
        <f t="shared" si="16"/>
        <v>0</v>
      </c>
      <c r="AJ121">
        <v>1.588E-5</v>
      </c>
      <c r="AK121">
        <v>9834.7619862258598</v>
      </c>
      <c r="AL121" s="16">
        <v>1.0765920865595E-4</v>
      </c>
      <c r="AM121">
        <f t="shared" si="17"/>
        <v>1.0588026927566951</v>
      </c>
      <c r="AO121">
        <v>1.588E-5</v>
      </c>
      <c r="AP121">
        <v>9834.7619862258598</v>
      </c>
      <c r="AQ121" s="17">
        <v>1.6879303452025199E-6</v>
      </c>
      <c r="AR121">
        <f t="shared" si="18"/>
        <v>1.6600393194394835E-2</v>
      </c>
      <c r="AT121">
        <v>1.588E-5</v>
      </c>
      <c r="AU121">
        <v>9834.7619862258598</v>
      </c>
      <c r="AV121" s="16">
        <v>0</v>
      </c>
      <c r="AW121">
        <f t="shared" si="19"/>
        <v>0</v>
      </c>
    </row>
    <row r="122" spans="1:49" x14ac:dyDescent="0.3">
      <c r="A122">
        <v>1.7923000000000001E-5</v>
      </c>
      <c r="B122" s="16">
        <v>8745.8805268845299</v>
      </c>
      <c r="C122" s="16">
        <v>1.5226122884029599E-4</v>
      </c>
      <c r="D122">
        <f t="shared" si="10"/>
        <v>1.3316585163138539</v>
      </c>
      <c r="F122">
        <v>1.7923000000000001E-5</v>
      </c>
      <c r="G122">
        <v>8745.8805268845299</v>
      </c>
      <c r="H122" s="16">
        <v>0</v>
      </c>
      <c r="I122">
        <f t="shared" si="11"/>
        <v>0</v>
      </c>
      <c r="K122">
        <v>1.7923000000000001E-5</v>
      </c>
      <c r="L122">
        <v>8745.8805268845299</v>
      </c>
      <c r="M122" s="16">
        <v>0</v>
      </c>
      <c r="N122">
        <f t="shared" si="12"/>
        <v>0</v>
      </c>
      <c r="P122">
        <v>1.7923000000000001E-5</v>
      </c>
      <c r="Q122">
        <v>8745.8805268845299</v>
      </c>
      <c r="R122" s="16">
        <v>0</v>
      </c>
      <c r="S122">
        <f t="shared" si="13"/>
        <v>0</v>
      </c>
      <c r="U122">
        <v>1.7923000000000001E-5</v>
      </c>
      <c r="V122">
        <v>8745.8805268845299</v>
      </c>
      <c r="W122" s="16">
        <v>0</v>
      </c>
      <c r="X122">
        <f t="shared" si="14"/>
        <v>0</v>
      </c>
      <c r="Z122">
        <v>1.7923000000000001E-5</v>
      </c>
      <c r="AA122">
        <v>8745.8805268845299</v>
      </c>
      <c r="AB122" s="16">
        <v>0</v>
      </c>
      <c r="AC122">
        <f t="shared" si="15"/>
        <v>0</v>
      </c>
      <c r="AE122">
        <v>1.7923000000000001E-5</v>
      </c>
      <c r="AF122">
        <v>8745.8805268845299</v>
      </c>
      <c r="AG122" s="16">
        <v>0</v>
      </c>
      <c r="AH122">
        <f t="shared" si="16"/>
        <v>0</v>
      </c>
      <c r="AJ122">
        <v>1.7923000000000001E-5</v>
      </c>
      <c r="AK122">
        <v>8745.8805268845299</v>
      </c>
      <c r="AL122" s="16">
        <v>1.02664625918227E-4</v>
      </c>
      <c r="AM122">
        <f t="shared" si="17"/>
        <v>0.8978925526181063</v>
      </c>
      <c r="AO122">
        <v>1.7923000000000001E-5</v>
      </c>
      <c r="AP122">
        <v>8745.8805268845299</v>
      </c>
      <c r="AQ122" s="17">
        <v>1.63776286411133E-6</v>
      </c>
      <c r="AR122">
        <f t="shared" si="18"/>
        <v>1.4323678340885916E-2</v>
      </c>
      <c r="AT122">
        <v>1.7923000000000001E-5</v>
      </c>
      <c r="AU122">
        <v>8745.8805268845299</v>
      </c>
      <c r="AV122" s="16">
        <v>0</v>
      </c>
      <c r="AW122">
        <f t="shared" si="19"/>
        <v>0</v>
      </c>
    </row>
    <row r="123" spans="1:49" x14ac:dyDescent="0.3">
      <c r="A123">
        <v>2.0228E-5</v>
      </c>
      <c r="B123" s="16">
        <v>8153.6336478085204</v>
      </c>
      <c r="C123" s="16">
        <v>1.17857538401586E-4</v>
      </c>
      <c r="D123">
        <f t="shared" si="10"/>
        <v>0.96096719075905646</v>
      </c>
      <c r="F123">
        <v>2.0228E-5</v>
      </c>
      <c r="G123">
        <v>8153.6336478085204</v>
      </c>
      <c r="H123" s="16">
        <v>0</v>
      </c>
      <c r="I123">
        <f t="shared" si="11"/>
        <v>0</v>
      </c>
      <c r="K123">
        <v>2.0228E-5</v>
      </c>
      <c r="L123">
        <v>8153.6336478085204</v>
      </c>
      <c r="M123" s="16">
        <v>0</v>
      </c>
      <c r="N123">
        <f t="shared" si="12"/>
        <v>0</v>
      </c>
      <c r="P123">
        <v>2.0228E-5</v>
      </c>
      <c r="Q123">
        <v>8153.6336478085204</v>
      </c>
      <c r="R123" s="16">
        <v>0</v>
      </c>
      <c r="S123">
        <f t="shared" si="13"/>
        <v>0</v>
      </c>
      <c r="U123">
        <v>2.0228E-5</v>
      </c>
      <c r="V123">
        <v>8153.6336478085204</v>
      </c>
      <c r="W123" s="16">
        <v>0</v>
      </c>
      <c r="X123">
        <f t="shared" si="14"/>
        <v>0</v>
      </c>
      <c r="Z123">
        <v>2.0228E-5</v>
      </c>
      <c r="AA123">
        <v>8153.6336478085204</v>
      </c>
      <c r="AB123" s="16">
        <v>0</v>
      </c>
      <c r="AC123">
        <f t="shared" si="15"/>
        <v>0</v>
      </c>
      <c r="AE123">
        <v>2.0228E-5</v>
      </c>
      <c r="AF123">
        <v>8153.6336478085204</v>
      </c>
      <c r="AG123" s="16">
        <v>0</v>
      </c>
      <c r="AH123">
        <f t="shared" si="16"/>
        <v>0</v>
      </c>
      <c r="AJ123">
        <v>2.0228E-5</v>
      </c>
      <c r="AK123">
        <v>8153.6336478085204</v>
      </c>
      <c r="AL123" s="17">
        <v>9.7268163301697093E-5</v>
      </c>
      <c r="AM123">
        <f t="shared" si="17"/>
        <v>0.79308896915725136</v>
      </c>
      <c r="AO123">
        <v>2.0228E-5</v>
      </c>
      <c r="AP123">
        <v>8153.6336478085204</v>
      </c>
      <c r="AQ123" s="17">
        <v>1.5951862127291299E-6</v>
      </c>
      <c r="AR123">
        <f t="shared" si="18"/>
        <v>1.3006563978628474E-2</v>
      </c>
      <c r="AT123">
        <v>2.0228E-5</v>
      </c>
      <c r="AU123">
        <v>8153.6336478085204</v>
      </c>
      <c r="AV123" s="16">
        <v>0</v>
      </c>
      <c r="AW123">
        <f t="shared" si="19"/>
        <v>0</v>
      </c>
    </row>
    <row r="124" spans="1:49" ht="15.5" x14ac:dyDescent="0.35">
      <c r="A124" s="21">
        <v>2.283E-5</v>
      </c>
      <c r="B124" s="16">
        <v>7313.5424561802402</v>
      </c>
      <c r="C124" s="17">
        <v>9.1818606941505498E-5</v>
      </c>
      <c r="D124">
        <f t="shared" si="10"/>
        <v>0.67151928013402618</v>
      </c>
      <c r="F124" s="23">
        <v>2.283E-5</v>
      </c>
      <c r="G124">
        <v>7313.5424561802402</v>
      </c>
      <c r="H124" s="16">
        <v>0</v>
      </c>
      <c r="I124">
        <f t="shared" si="11"/>
        <v>0</v>
      </c>
      <c r="K124" s="23">
        <v>2.283E-5</v>
      </c>
      <c r="L124">
        <v>7313.5424561802402</v>
      </c>
      <c r="M124" s="16">
        <v>0</v>
      </c>
      <c r="N124">
        <f t="shared" si="12"/>
        <v>0</v>
      </c>
      <c r="P124" s="23">
        <v>2.283E-5</v>
      </c>
      <c r="Q124">
        <v>7313.5424561802402</v>
      </c>
      <c r="R124" s="16">
        <v>0</v>
      </c>
      <c r="S124">
        <f t="shared" si="13"/>
        <v>0</v>
      </c>
      <c r="U124" s="23">
        <v>2.283E-5</v>
      </c>
      <c r="V124">
        <v>7313.5424561802402</v>
      </c>
      <c r="W124" s="16">
        <v>0</v>
      </c>
      <c r="X124">
        <f t="shared" si="14"/>
        <v>0</v>
      </c>
      <c r="Z124" s="23">
        <v>2.283E-5</v>
      </c>
      <c r="AA124">
        <v>7313.5424561802402</v>
      </c>
      <c r="AB124" s="16">
        <v>0</v>
      </c>
      <c r="AC124">
        <f t="shared" si="15"/>
        <v>0</v>
      </c>
      <c r="AE124" s="23">
        <v>2.283E-5</v>
      </c>
      <c r="AF124">
        <v>7313.5424561802402</v>
      </c>
      <c r="AG124" s="16">
        <v>0</v>
      </c>
      <c r="AH124">
        <f t="shared" si="16"/>
        <v>0</v>
      </c>
      <c r="AJ124" s="23">
        <v>2.283E-5</v>
      </c>
      <c r="AK124">
        <v>7313.5424561802402</v>
      </c>
      <c r="AL124" s="17">
        <v>9.0789810645570501E-5</v>
      </c>
      <c r="AM124">
        <f t="shared" si="17"/>
        <v>0.66399513474494465</v>
      </c>
      <c r="AO124" s="23">
        <v>2.283E-5</v>
      </c>
      <c r="AP124">
        <v>7313.5424561802402</v>
      </c>
      <c r="AQ124" s="17">
        <v>1.5606966438455999E-6</v>
      </c>
      <c r="AR124">
        <f t="shared" si="18"/>
        <v>1.1414221165982806E-2</v>
      </c>
      <c r="AT124" s="23">
        <v>2.283E-5</v>
      </c>
      <c r="AU124">
        <v>7313.5424561802402</v>
      </c>
      <c r="AV124" s="16">
        <v>0</v>
      </c>
      <c r="AW124">
        <f t="shared" si="19"/>
        <v>0</v>
      </c>
    </row>
    <row r="125" spans="1:49" x14ac:dyDescent="0.3">
      <c r="A125">
        <v>2.5766999999999999E-5</v>
      </c>
      <c r="B125" s="16">
        <v>7560.3956636398298</v>
      </c>
      <c r="C125" s="17">
        <v>7.4079654216706301E-5</v>
      </c>
      <c r="D125">
        <f t="shared" si="10"/>
        <v>0.56007149650392429</v>
      </c>
      <c r="F125">
        <v>2.5766999999999999E-5</v>
      </c>
      <c r="G125">
        <v>7560.3956636398298</v>
      </c>
      <c r="H125" s="16">
        <v>0</v>
      </c>
      <c r="I125">
        <f t="shared" si="11"/>
        <v>0</v>
      </c>
      <c r="K125">
        <v>2.5766999999999999E-5</v>
      </c>
      <c r="L125">
        <v>7560.3956636398298</v>
      </c>
      <c r="M125" s="16">
        <v>0</v>
      </c>
      <c r="N125">
        <f t="shared" si="12"/>
        <v>0</v>
      </c>
      <c r="P125">
        <v>2.5766999999999999E-5</v>
      </c>
      <c r="Q125">
        <v>7560.3956636398298</v>
      </c>
      <c r="R125" s="16">
        <v>0</v>
      </c>
      <c r="S125">
        <f t="shared" si="13"/>
        <v>0</v>
      </c>
      <c r="U125">
        <v>2.5766999999999999E-5</v>
      </c>
      <c r="V125">
        <v>7560.3956636398298</v>
      </c>
      <c r="W125" s="16">
        <v>0</v>
      </c>
      <c r="X125">
        <f t="shared" si="14"/>
        <v>0</v>
      </c>
      <c r="Z125">
        <v>2.5766999999999999E-5</v>
      </c>
      <c r="AA125">
        <v>7560.3956636398298</v>
      </c>
      <c r="AB125" s="16">
        <v>0</v>
      </c>
      <c r="AC125">
        <f t="shared" si="15"/>
        <v>0</v>
      </c>
      <c r="AE125">
        <v>2.5766999999999999E-5</v>
      </c>
      <c r="AF125">
        <v>7560.3956636398298</v>
      </c>
      <c r="AG125" s="16">
        <v>0</v>
      </c>
      <c r="AH125">
        <f t="shared" si="16"/>
        <v>0</v>
      </c>
      <c r="AJ125">
        <v>2.5766999999999999E-5</v>
      </c>
      <c r="AK125">
        <v>7560.3956636398298</v>
      </c>
      <c r="AL125" s="17">
        <v>8.4963777646387097E-5</v>
      </c>
      <c r="AM125">
        <f t="shared" si="17"/>
        <v>0.64235977608420369</v>
      </c>
      <c r="AO125">
        <v>2.5766999999999999E-5</v>
      </c>
      <c r="AP125">
        <v>7560.3956636398298</v>
      </c>
      <c r="AQ125" s="17">
        <v>1.5347260811850999E-6</v>
      </c>
      <c r="AR125">
        <f t="shared" si="18"/>
        <v>1.1603136409066779E-2</v>
      </c>
      <c r="AT125">
        <v>2.5766999999999999E-5</v>
      </c>
      <c r="AU125">
        <v>7560.3956636398298</v>
      </c>
      <c r="AV125" s="16">
        <v>0</v>
      </c>
      <c r="AW125">
        <f t="shared" si="19"/>
        <v>0</v>
      </c>
    </row>
    <row r="126" spans="1:49" x14ac:dyDescent="0.3">
      <c r="A126">
        <v>2.9081000000000002E-5</v>
      </c>
      <c r="B126" s="16">
        <v>7026.0116113478298</v>
      </c>
      <c r="C126" s="17">
        <v>6.3373557690663796E-5</v>
      </c>
      <c r="D126">
        <f t="shared" si="10"/>
        <v>0.4452633521870254</v>
      </c>
      <c r="F126">
        <v>2.9081000000000002E-5</v>
      </c>
      <c r="G126">
        <v>7026.0116113478298</v>
      </c>
      <c r="H126" s="16">
        <v>0</v>
      </c>
      <c r="I126">
        <f t="shared" si="11"/>
        <v>0</v>
      </c>
      <c r="K126">
        <v>2.9081000000000002E-5</v>
      </c>
      <c r="L126">
        <v>7026.0116113478298</v>
      </c>
      <c r="M126" s="16">
        <v>0</v>
      </c>
      <c r="N126">
        <f t="shared" si="12"/>
        <v>0</v>
      </c>
      <c r="P126">
        <v>2.9081000000000002E-5</v>
      </c>
      <c r="Q126">
        <v>7026.0116113478298</v>
      </c>
      <c r="R126" s="16">
        <v>0</v>
      </c>
      <c r="S126">
        <f t="shared" si="13"/>
        <v>0</v>
      </c>
      <c r="U126">
        <v>2.9081000000000002E-5</v>
      </c>
      <c r="V126">
        <v>7026.0116113478298</v>
      </c>
      <c r="W126" s="16">
        <v>0</v>
      </c>
      <c r="X126">
        <f t="shared" si="14"/>
        <v>0</v>
      </c>
      <c r="Z126">
        <v>2.9081000000000002E-5</v>
      </c>
      <c r="AA126">
        <v>7026.0116113478298</v>
      </c>
      <c r="AB126" s="16">
        <v>0</v>
      </c>
      <c r="AC126">
        <f t="shared" si="15"/>
        <v>0</v>
      </c>
      <c r="AE126">
        <v>2.9081000000000002E-5</v>
      </c>
      <c r="AF126">
        <v>7026.0116113478298</v>
      </c>
      <c r="AG126" s="16">
        <v>0</v>
      </c>
      <c r="AH126">
        <f t="shared" si="16"/>
        <v>0</v>
      </c>
      <c r="AJ126">
        <v>2.9081000000000002E-5</v>
      </c>
      <c r="AK126">
        <v>7026.0116113478298</v>
      </c>
      <c r="AL126" s="17">
        <v>8.1048389412488001E-5</v>
      </c>
      <c r="AM126">
        <f t="shared" si="17"/>
        <v>0.56944692509318118</v>
      </c>
      <c r="AO126">
        <v>2.9081000000000002E-5</v>
      </c>
      <c r="AP126">
        <v>7026.0116113478298</v>
      </c>
      <c r="AQ126" s="17">
        <v>1.5193698143041001E-6</v>
      </c>
      <c r="AR126">
        <f t="shared" si="18"/>
        <v>1.0675109957232002E-2</v>
      </c>
      <c r="AT126">
        <v>2.9081000000000002E-5</v>
      </c>
      <c r="AU126">
        <v>7026.0116113478298</v>
      </c>
      <c r="AV126" s="16">
        <v>0</v>
      </c>
      <c r="AW126">
        <f t="shared" si="19"/>
        <v>0</v>
      </c>
    </row>
    <row r="127" spans="1:49" x14ac:dyDescent="0.3">
      <c r="A127">
        <v>3.2821000000000003E-5</v>
      </c>
      <c r="B127" s="16">
        <v>6203.6133593844197</v>
      </c>
      <c r="C127" s="17">
        <v>5.67930190155268E-5</v>
      </c>
      <c r="D127">
        <f t="shared" si="10"/>
        <v>0.35232193148449542</v>
      </c>
      <c r="F127">
        <v>3.2821000000000003E-5</v>
      </c>
      <c r="G127">
        <v>6203.6133593844197</v>
      </c>
      <c r="H127" s="16">
        <v>0</v>
      </c>
      <c r="I127">
        <f t="shared" si="11"/>
        <v>0</v>
      </c>
      <c r="K127">
        <v>3.2821000000000003E-5</v>
      </c>
      <c r="L127">
        <v>6203.6133593844197</v>
      </c>
      <c r="M127" s="16">
        <v>0</v>
      </c>
      <c r="N127">
        <f t="shared" si="12"/>
        <v>0</v>
      </c>
      <c r="P127">
        <v>3.2821000000000003E-5</v>
      </c>
      <c r="Q127">
        <v>6203.6133593844197</v>
      </c>
      <c r="R127" s="16">
        <v>0</v>
      </c>
      <c r="S127">
        <f t="shared" si="13"/>
        <v>0</v>
      </c>
      <c r="U127">
        <v>3.2821000000000003E-5</v>
      </c>
      <c r="V127">
        <v>6203.6133593844197</v>
      </c>
      <c r="W127" s="16">
        <v>0</v>
      </c>
      <c r="X127">
        <f t="shared" si="14"/>
        <v>0</v>
      </c>
      <c r="Z127">
        <v>3.2821000000000003E-5</v>
      </c>
      <c r="AA127">
        <v>6203.6133593844197</v>
      </c>
      <c r="AB127" s="16">
        <v>0</v>
      </c>
      <c r="AC127">
        <f t="shared" si="15"/>
        <v>0</v>
      </c>
      <c r="AE127">
        <v>3.2821000000000003E-5</v>
      </c>
      <c r="AF127">
        <v>6203.6133593844197</v>
      </c>
      <c r="AG127" s="16">
        <v>0</v>
      </c>
      <c r="AH127">
        <f t="shared" si="16"/>
        <v>0</v>
      </c>
      <c r="AJ127">
        <v>3.2821000000000003E-5</v>
      </c>
      <c r="AK127">
        <v>6203.6133593844197</v>
      </c>
      <c r="AL127" s="17">
        <v>7.7031060916647298E-5</v>
      </c>
      <c r="AM127">
        <f t="shared" si="17"/>
        <v>0.47787091859006819</v>
      </c>
      <c r="AO127">
        <v>3.2821000000000003E-5</v>
      </c>
      <c r="AP127">
        <v>6203.6133593844197</v>
      </c>
      <c r="AQ127" s="17">
        <v>1.51379156535331E-6</v>
      </c>
      <c r="AR127">
        <f t="shared" si="18"/>
        <v>9.3909775781492472E-3</v>
      </c>
      <c r="AT127">
        <v>3.2821000000000003E-5</v>
      </c>
      <c r="AU127">
        <v>6203.6133593844197</v>
      </c>
      <c r="AV127" s="16">
        <v>0</v>
      </c>
      <c r="AW127">
        <f t="shared" si="19"/>
        <v>0</v>
      </c>
    </row>
    <row r="128" spans="1:49" x14ac:dyDescent="0.3">
      <c r="A128">
        <v>3.7042999999999998E-5</v>
      </c>
      <c r="B128" s="16">
        <v>5933.0255908675499</v>
      </c>
      <c r="C128" s="17">
        <v>5.4522358409019298E-5</v>
      </c>
      <c r="D128">
        <f t="shared" si="10"/>
        <v>0.32348254771516405</v>
      </c>
      <c r="F128">
        <v>3.7042999999999998E-5</v>
      </c>
      <c r="G128">
        <v>5933.0255908675499</v>
      </c>
      <c r="H128" s="16">
        <v>0</v>
      </c>
      <c r="I128">
        <f t="shared" si="11"/>
        <v>0</v>
      </c>
      <c r="K128">
        <v>3.7042999999999998E-5</v>
      </c>
      <c r="L128">
        <v>5933.0255908675499</v>
      </c>
      <c r="M128" s="16">
        <v>0</v>
      </c>
      <c r="N128">
        <f t="shared" si="12"/>
        <v>0</v>
      </c>
      <c r="P128">
        <v>3.7042999999999998E-5</v>
      </c>
      <c r="Q128">
        <v>5933.0255908675499</v>
      </c>
      <c r="R128" s="16">
        <v>0</v>
      </c>
      <c r="S128">
        <f t="shared" si="13"/>
        <v>0</v>
      </c>
      <c r="U128">
        <v>3.7042999999999998E-5</v>
      </c>
      <c r="V128">
        <v>5933.0255908675499</v>
      </c>
      <c r="W128" s="16">
        <v>0</v>
      </c>
      <c r="X128">
        <f t="shared" si="14"/>
        <v>0</v>
      </c>
      <c r="Z128">
        <v>3.7042999999999998E-5</v>
      </c>
      <c r="AA128">
        <v>5933.0255908675499</v>
      </c>
      <c r="AB128" s="16">
        <v>0</v>
      </c>
      <c r="AC128">
        <f t="shared" si="15"/>
        <v>0</v>
      </c>
      <c r="AE128">
        <v>3.7042999999999998E-5</v>
      </c>
      <c r="AF128">
        <v>5933.0255908675499</v>
      </c>
      <c r="AG128" s="16">
        <v>0</v>
      </c>
      <c r="AH128">
        <f t="shared" si="16"/>
        <v>0</v>
      </c>
      <c r="AJ128">
        <v>3.7042999999999998E-5</v>
      </c>
      <c r="AK128">
        <v>5933.0255908675499</v>
      </c>
      <c r="AL128" s="17">
        <v>7.3456290384908701E-5</v>
      </c>
      <c r="AM128">
        <f t="shared" si="17"/>
        <v>0.43581805066386126</v>
      </c>
      <c r="AO128">
        <v>3.7042999999999998E-5</v>
      </c>
      <c r="AP128">
        <v>5933.0255908675499</v>
      </c>
      <c r="AQ128" s="17">
        <v>1.52969922422286E-6</v>
      </c>
      <c r="AR128">
        <f t="shared" si="18"/>
        <v>9.075744643644466E-3</v>
      </c>
      <c r="AT128">
        <v>3.7042999999999998E-5</v>
      </c>
      <c r="AU128">
        <v>5933.0255908675499</v>
      </c>
      <c r="AV128" s="16">
        <v>0</v>
      </c>
      <c r="AW128">
        <f t="shared" si="19"/>
        <v>0</v>
      </c>
    </row>
    <row r="129" spans="1:49" x14ac:dyDescent="0.3">
      <c r="A129">
        <v>4.1807000000000001E-5</v>
      </c>
      <c r="B129" s="16">
        <v>5890.18884840601</v>
      </c>
      <c r="C129" s="17">
        <v>5.9316158989134499E-5</v>
      </c>
      <c r="D129">
        <f t="shared" si="10"/>
        <v>0.34938337820807791</v>
      </c>
      <c r="F129">
        <v>4.1807000000000001E-5</v>
      </c>
      <c r="G129">
        <v>5890.18884840601</v>
      </c>
      <c r="H129" s="16">
        <v>0</v>
      </c>
      <c r="I129">
        <f t="shared" si="11"/>
        <v>0</v>
      </c>
      <c r="K129">
        <v>4.1807000000000001E-5</v>
      </c>
      <c r="L129">
        <v>5890.18884840601</v>
      </c>
      <c r="M129" s="16">
        <v>0</v>
      </c>
      <c r="N129">
        <f t="shared" si="12"/>
        <v>0</v>
      </c>
      <c r="P129">
        <v>4.1807000000000001E-5</v>
      </c>
      <c r="Q129">
        <v>5890.18884840601</v>
      </c>
      <c r="R129" s="16">
        <v>0</v>
      </c>
      <c r="S129">
        <f t="shared" si="13"/>
        <v>0</v>
      </c>
      <c r="U129">
        <v>4.1807000000000001E-5</v>
      </c>
      <c r="V129">
        <v>5890.18884840601</v>
      </c>
      <c r="W129" s="16">
        <v>0</v>
      </c>
      <c r="X129">
        <f t="shared" si="14"/>
        <v>0</v>
      </c>
      <c r="Z129">
        <v>4.1807000000000001E-5</v>
      </c>
      <c r="AA129">
        <v>5890.18884840601</v>
      </c>
      <c r="AB129" s="16">
        <v>0</v>
      </c>
      <c r="AC129">
        <f t="shared" si="15"/>
        <v>0</v>
      </c>
      <c r="AE129">
        <v>4.1807000000000001E-5</v>
      </c>
      <c r="AF129">
        <v>5890.18884840601</v>
      </c>
      <c r="AG129" s="16">
        <v>0</v>
      </c>
      <c r="AH129">
        <f t="shared" si="16"/>
        <v>0</v>
      </c>
      <c r="AJ129">
        <v>4.1807000000000001E-5</v>
      </c>
      <c r="AK129">
        <v>5890.18884840601</v>
      </c>
      <c r="AL129" s="17">
        <v>6.7872365507836498E-5</v>
      </c>
      <c r="AM129">
        <f t="shared" si="17"/>
        <v>0.39978105042919526</v>
      </c>
      <c r="AO129">
        <v>4.1807000000000001E-5</v>
      </c>
      <c r="AP129">
        <v>5890.18884840601</v>
      </c>
      <c r="AQ129" s="17">
        <v>1.56727658824224E-6</v>
      </c>
      <c r="AR129">
        <f t="shared" si="18"/>
        <v>9.2315550824322596E-3</v>
      </c>
      <c r="AT129">
        <v>4.1807000000000001E-5</v>
      </c>
      <c r="AU129">
        <v>5890.18884840601</v>
      </c>
      <c r="AV129" s="16">
        <v>0</v>
      </c>
      <c r="AW129">
        <f t="shared" si="19"/>
        <v>0</v>
      </c>
    </row>
    <row r="130" spans="1:49" x14ac:dyDescent="0.3">
      <c r="A130">
        <v>4.7185000000000003E-5</v>
      </c>
      <c r="B130" s="16">
        <v>4890.0910156918799</v>
      </c>
      <c r="C130" s="16">
        <v>8.9235025378633503E-4</v>
      </c>
      <c r="D130">
        <f t="shared" si="10"/>
        <v>4.3636739588909261</v>
      </c>
      <c r="F130">
        <v>4.7185000000000003E-5</v>
      </c>
      <c r="G130">
        <v>4890.0910156918799</v>
      </c>
      <c r="H130" s="16">
        <v>0</v>
      </c>
      <c r="I130">
        <f t="shared" si="11"/>
        <v>0</v>
      </c>
      <c r="K130">
        <v>4.7185000000000003E-5</v>
      </c>
      <c r="L130">
        <v>4890.0910156918799</v>
      </c>
      <c r="M130" s="16">
        <v>0</v>
      </c>
      <c r="N130">
        <f t="shared" si="12"/>
        <v>0</v>
      </c>
      <c r="P130">
        <v>4.7185000000000003E-5</v>
      </c>
      <c r="Q130">
        <v>4890.0910156918799</v>
      </c>
      <c r="R130" s="16">
        <v>0</v>
      </c>
      <c r="S130">
        <f t="shared" si="13"/>
        <v>0</v>
      </c>
      <c r="U130">
        <v>4.7185000000000003E-5</v>
      </c>
      <c r="V130">
        <v>4890.0910156918799</v>
      </c>
      <c r="W130" s="16">
        <v>0</v>
      </c>
      <c r="X130">
        <f t="shared" si="14"/>
        <v>0</v>
      </c>
      <c r="Z130">
        <v>4.7185000000000003E-5</v>
      </c>
      <c r="AA130">
        <v>4890.0910156918799</v>
      </c>
      <c r="AB130" s="16">
        <v>0</v>
      </c>
      <c r="AC130">
        <f t="shared" si="15"/>
        <v>0</v>
      </c>
      <c r="AE130">
        <v>4.7185000000000003E-5</v>
      </c>
      <c r="AF130">
        <v>4890.0910156918799</v>
      </c>
      <c r="AG130" s="16">
        <v>0</v>
      </c>
      <c r="AH130">
        <f t="shared" si="16"/>
        <v>0</v>
      </c>
      <c r="AJ130">
        <v>4.7185000000000003E-5</v>
      </c>
      <c r="AK130">
        <v>4890.0910156918799</v>
      </c>
      <c r="AL130" s="17">
        <v>6.2660914664781496E-5</v>
      </c>
      <c r="AM130">
        <f t="shared" si="17"/>
        <v>0.30641757583728357</v>
      </c>
      <c r="AO130">
        <v>4.7185000000000003E-5</v>
      </c>
      <c r="AP130">
        <v>4890.0910156918799</v>
      </c>
      <c r="AQ130" s="17">
        <v>1.6283018965745399E-6</v>
      </c>
      <c r="AR130">
        <f t="shared" si="18"/>
        <v>7.9625444752732064E-3</v>
      </c>
      <c r="AT130">
        <v>4.7185000000000003E-5</v>
      </c>
      <c r="AU130">
        <v>4890.0910156918799</v>
      </c>
      <c r="AV130" s="16">
        <v>0</v>
      </c>
      <c r="AW130">
        <f t="shared" si="19"/>
        <v>0</v>
      </c>
    </row>
    <row r="131" spans="1:49" x14ac:dyDescent="0.3">
      <c r="A131">
        <v>5.3254000000000002E-5</v>
      </c>
      <c r="B131" s="16">
        <v>4274.2579963267799</v>
      </c>
      <c r="C131" s="16">
        <v>1.5291984452581999E-4</v>
      </c>
      <c r="D131">
        <f t="shared" si="10"/>
        <v>0.65361886826153404</v>
      </c>
      <c r="F131">
        <v>5.3254000000000002E-5</v>
      </c>
      <c r="G131">
        <v>4274.2579963267799</v>
      </c>
      <c r="H131" s="16">
        <v>0</v>
      </c>
      <c r="I131">
        <f t="shared" si="11"/>
        <v>0</v>
      </c>
      <c r="K131">
        <v>5.3254000000000002E-5</v>
      </c>
      <c r="L131">
        <v>4274.2579963267799</v>
      </c>
      <c r="M131" s="16">
        <v>0</v>
      </c>
      <c r="N131">
        <f t="shared" si="12"/>
        <v>0</v>
      </c>
      <c r="P131">
        <v>5.3254000000000002E-5</v>
      </c>
      <c r="Q131">
        <v>4274.2579963267799</v>
      </c>
      <c r="R131" s="16">
        <v>0</v>
      </c>
      <c r="S131">
        <f t="shared" si="13"/>
        <v>0</v>
      </c>
      <c r="U131">
        <v>5.3254000000000002E-5</v>
      </c>
      <c r="V131">
        <v>4274.2579963267799</v>
      </c>
      <c r="W131" s="16">
        <v>0</v>
      </c>
      <c r="X131">
        <f t="shared" si="14"/>
        <v>0</v>
      </c>
      <c r="Z131">
        <v>5.3254000000000002E-5</v>
      </c>
      <c r="AA131">
        <v>4274.2579963267799</v>
      </c>
      <c r="AB131" s="16">
        <v>0</v>
      </c>
      <c r="AC131">
        <f t="shared" si="15"/>
        <v>0</v>
      </c>
      <c r="AE131">
        <v>5.3254000000000002E-5</v>
      </c>
      <c r="AF131">
        <v>4274.2579963267799</v>
      </c>
      <c r="AG131" s="16">
        <v>0</v>
      </c>
      <c r="AH131">
        <f t="shared" si="16"/>
        <v>0</v>
      </c>
      <c r="AJ131">
        <v>5.3254000000000002E-5</v>
      </c>
      <c r="AK131">
        <v>4274.2579963267799</v>
      </c>
      <c r="AL131" s="17">
        <v>5.9996255029318999E-5</v>
      </c>
      <c r="AM131">
        <f t="shared" si="17"/>
        <v>0.25643947280872753</v>
      </c>
      <c r="AO131">
        <v>5.3254000000000002E-5</v>
      </c>
      <c r="AP131">
        <v>4274.2579963267799</v>
      </c>
      <c r="AQ131" s="17">
        <v>1.75275566332254E-6</v>
      </c>
      <c r="AR131">
        <f t="shared" si="18"/>
        <v>7.4917299095634158E-3</v>
      </c>
      <c r="AT131">
        <v>5.3254000000000002E-5</v>
      </c>
      <c r="AU131">
        <v>4274.2579963267799</v>
      </c>
      <c r="AV131" s="16">
        <v>0</v>
      </c>
      <c r="AW131">
        <f t="shared" si="19"/>
        <v>0</v>
      </c>
    </row>
    <row r="132" spans="1:49" x14ac:dyDescent="0.3">
      <c r="A132">
        <v>6.0103999999999999E-5</v>
      </c>
      <c r="B132" s="16">
        <v>4449.7560612875104</v>
      </c>
      <c r="C132" s="16">
        <v>3.0282520538268E-2</v>
      </c>
      <c r="D132">
        <f t="shared" ref="D132:D195" si="20">B132*C132</f>
        <v>134.74982931622156</v>
      </c>
      <c r="F132">
        <v>6.0103999999999999E-5</v>
      </c>
      <c r="G132">
        <v>4449.7560612875104</v>
      </c>
      <c r="H132" s="16">
        <v>0</v>
      </c>
      <c r="I132">
        <f t="shared" ref="I132:I195" si="21">G132*H132</f>
        <v>0</v>
      </c>
      <c r="K132">
        <v>6.0103999999999999E-5</v>
      </c>
      <c r="L132">
        <v>4449.7560612875104</v>
      </c>
      <c r="M132" s="16">
        <v>0</v>
      </c>
      <c r="N132">
        <f t="shared" ref="N132:N195" si="22">L132*M132</f>
        <v>0</v>
      </c>
      <c r="P132">
        <v>6.0103999999999999E-5</v>
      </c>
      <c r="Q132">
        <v>4449.7560612875104</v>
      </c>
      <c r="R132" s="16">
        <v>0</v>
      </c>
      <c r="S132">
        <f t="shared" ref="S132:S195" si="23">Q132*R132</f>
        <v>0</v>
      </c>
      <c r="U132">
        <v>6.0103999999999999E-5</v>
      </c>
      <c r="V132">
        <v>4449.7560612875104</v>
      </c>
      <c r="W132" s="16">
        <v>0</v>
      </c>
      <c r="X132">
        <f t="shared" ref="X132:X195" si="24">V132*W132</f>
        <v>0</v>
      </c>
      <c r="Z132">
        <v>6.0103999999999999E-5</v>
      </c>
      <c r="AA132">
        <v>4449.7560612875104</v>
      </c>
      <c r="AB132" s="16">
        <v>0</v>
      </c>
      <c r="AC132">
        <f t="shared" ref="AC132:AC195" si="25">AA132*AB132</f>
        <v>0</v>
      </c>
      <c r="AE132">
        <v>6.0103999999999999E-5</v>
      </c>
      <c r="AF132">
        <v>4449.7560612875104</v>
      </c>
      <c r="AG132" s="16">
        <v>0</v>
      </c>
      <c r="AH132">
        <f t="shared" ref="AH132:AH195" si="26">AF132*AG132</f>
        <v>0</v>
      </c>
      <c r="AJ132">
        <v>6.0103999999999999E-5</v>
      </c>
      <c r="AK132">
        <v>4449.7560612875104</v>
      </c>
      <c r="AL132" s="17">
        <v>5.7435496045450797E-5</v>
      </c>
      <c r="AM132">
        <f t="shared" ref="AM132:AM195" si="27">AK132*AL132</f>
        <v>0.25557394666129951</v>
      </c>
      <c r="AO132">
        <v>6.0103999999999999E-5</v>
      </c>
      <c r="AP132">
        <v>4449.7560612875104</v>
      </c>
      <c r="AQ132" s="17">
        <v>1.9167304508495498E-6</v>
      </c>
      <c r="AR132">
        <f t="shared" ref="AR132:AR195" si="28">AP132*AQ132</f>
        <v>8.5289829415221268E-3</v>
      </c>
      <c r="AT132">
        <v>6.0103999999999999E-5</v>
      </c>
      <c r="AU132">
        <v>4449.7560612875104</v>
      </c>
      <c r="AV132" s="16">
        <v>0</v>
      </c>
      <c r="AW132">
        <f t="shared" ref="AW132:AW195" si="29">AU132*AV132</f>
        <v>0</v>
      </c>
    </row>
    <row r="133" spans="1:49" x14ac:dyDescent="0.3">
      <c r="A133">
        <v>6.7835000000000004E-5</v>
      </c>
      <c r="B133" s="16">
        <v>3902.8842912987702</v>
      </c>
      <c r="C133" s="16">
        <v>0.123776959872245</v>
      </c>
      <c r="D133">
        <f t="shared" si="20"/>
        <v>483.08715231010325</v>
      </c>
      <c r="F133">
        <v>6.7835000000000004E-5</v>
      </c>
      <c r="G133">
        <v>3902.8842912987702</v>
      </c>
      <c r="H133" s="16">
        <v>0</v>
      </c>
      <c r="I133">
        <f t="shared" si="21"/>
        <v>0</v>
      </c>
      <c r="K133">
        <v>6.7835000000000004E-5</v>
      </c>
      <c r="L133">
        <v>3902.8842912987702</v>
      </c>
      <c r="M133" s="16">
        <v>0</v>
      </c>
      <c r="N133">
        <f t="shared" si="22"/>
        <v>0</v>
      </c>
      <c r="P133">
        <v>6.7835000000000004E-5</v>
      </c>
      <c r="Q133">
        <v>3902.8842912987702</v>
      </c>
      <c r="R133" s="16">
        <v>0</v>
      </c>
      <c r="S133">
        <f t="shared" si="23"/>
        <v>0</v>
      </c>
      <c r="U133">
        <v>6.7835000000000004E-5</v>
      </c>
      <c r="V133">
        <v>3902.8842912987702</v>
      </c>
      <c r="W133" s="16">
        <v>0</v>
      </c>
      <c r="X133">
        <f t="shared" si="24"/>
        <v>0</v>
      </c>
      <c r="Z133">
        <v>6.7835000000000004E-5</v>
      </c>
      <c r="AA133">
        <v>3902.8842912987702</v>
      </c>
      <c r="AB133" s="16">
        <v>0</v>
      </c>
      <c r="AC133">
        <f t="shared" si="25"/>
        <v>0</v>
      </c>
      <c r="AE133">
        <v>6.7835000000000004E-5</v>
      </c>
      <c r="AF133">
        <v>3902.8842912987702</v>
      </c>
      <c r="AG133" s="16">
        <v>0</v>
      </c>
      <c r="AH133">
        <f t="shared" si="26"/>
        <v>0</v>
      </c>
      <c r="AJ133">
        <v>6.7835000000000004E-5</v>
      </c>
      <c r="AK133">
        <v>3902.8842912987702</v>
      </c>
      <c r="AL133" s="17">
        <v>5.4974226836458301E-5</v>
      </c>
      <c r="AM133">
        <f t="shared" si="27"/>
        <v>0.2145580463463084</v>
      </c>
      <c r="AO133">
        <v>6.7835000000000004E-5</v>
      </c>
      <c r="AP133">
        <v>3902.8842912987702</v>
      </c>
      <c r="AQ133" s="17">
        <v>2.1788897718035902E-6</v>
      </c>
      <c r="AR133">
        <f t="shared" si="28"/>
        <v>8.5039546628437948E-3</v>
      </c>
      <c r="AT133">
        <v>6.7835000000000004E-5</v>
      </c>
      <c r="AU133">
        <v>3902.8842912987702</v>
      </c>
      <c r="AV133" s="16">
        <v>0</v>
      </c>
      <c r="AW133">
        <f t="shared" si="29"/>
        <v>0</v>
      </c>
    </row>
    <row r="134" spans="1:49" x14ac:dyDescent="0.3">
      <c r="A134">
        <v>7.6559999999999999E-5</v>
      </c>
      <c r="B134" s="16">
        <v>4026.5271300039499</v>
      </c>
      <c r="C134" s="16">
        <v>1.7778117046521799E-4</v>
      </c>
      <c r="D134">
        <f t="shared" si="20"/>
        <v>0.71584070608205719</v>
      </c>
      <c r="F134">
        <v>7.6559999999999999E-5</v>
      </c>
      <c r="G134">
        <v>4026.5271300039499</v>
      </c>
      <c r="H134" s="16">
        <v>0</v>
      </c>
      <c r="I134">
        <f t="shared" si="21"/>
        <v>0</v>
      </c>
      <c r="K134">
        <v>7.6559999999999999E-5</v>
      </c>
      <c r="L134">
        <v>4026.5271300039499</v>
      </c>
      <c r="M134" s="16">
        <v>0</v>
      </c>
      <c r="N134">
        <f t="shared" si="22"/>
        <v>0</v>
      </c>
      <c r="P134">
        <v>7.6559999999999999E-5</v>
      </c>
      <c r="Q134">
        <v>4026.5271300039499</v>
      </c>
      <c r="R134" s="16">
        <v>0</v>
      </c>
      <c r="S134">
        <f t="shared" si="23"/>
        <v>0</v>
      </c>
      <c r="U134">
        <v>7.6559999999999999E-5</v>
      </c>
      <c r="V134">
        <v>4026.5271300039499</v>
      </c>
      <c r="W134" s="16">
        <v>0</v>
      </c>
      <c r="X134">
        <f t="shared" si="24"/>
        <v>0</v>
      </c>
      <c r="Z134">
        <v>7.6559999999999999E-5</v>
      </c>
      <c r="AA134">
        <v>4026.5271300039499</v>
      </c>
      <c r="AB134" s="16">
        <v>0</v>
      </c>
      <c r="AC134">
        <f t="shared" si="25"/>
        <v>0</v>
      </c>
      <c r="AE134">
        <v>7.6559999999999999E-5</v>
      </c>
      <c r="AF134">
        <v>4026.5271300039499</v>
      </c>
      <c r="AG134" s="16">
        <v>0</v>
      </c>
      <c r="AH134">
        <f t="shared" si="26"/>
        <v>0</v>
      </c>
      <c r="AJ134">
        <v>7.6559999999999999E-5</v>
      </c>
      <c r="AK134">
        <v>4026.5271300039499</v>
      </c>
      <c r="AL134" s="17">
        <v>5.1424941370205001E-5</v>
      </c>
      <c r="AM134">
        <f t="shared" si="27"/>
        <v>0.20706392158599293</v>
      </c>
      <c r="AO134">
        <v>7.6559999999999999E-5</v>
      </c>
      <c r="AP134">
        <v>4026.5271300039499</v>
      </c>
      <c r="AQ134" s="17">
        <v>2.6452134638497701E-6</v>
      </c>
      <c r="AR134">
        <f t="shared" si="28"/>
        <v>1.0651023776842822E-2</v>
      </c>
      <c r="AT134">
        <v>7.6559999999999999E-5</v>
      </c>
      <c r="AU134">
        <v>4026.5271300039499</v>
      </c>
      <c r="AV134" s="16">
        <v>0</v>
      </c>
      <c r="AW134">
        <f t="shared" si="29"/>
        <v>0</v>
      </c>
    </row>
    <row r="135" spans="1:49" x14ac:dyDescent="0.3">
      <c r="A135">
        <v>8.6407000000000001E-5</v>
      </c>
      <c r="B135" s="16">
        <v>3585.0056087850198</v>
      </c>
      <c r="C135" s="16">
        <v>1.51984917028932E-2</v>
      </c>
      <c r="D135">
        <f t="shared" si="20"/>
        <v>54.48667799994471</v>
      </c>
      <c r="F135">
        <v>8.6407000000000001E-5</v>
      </c>
      <c r="G135">
        <v>3585.0056087850198</v>
      </c>
      <c r="H135" s="16">
        <v>0</v>
      </c>
      <c r="I135">
        <f t="shared" si="21"/>
        <v>0</v>
      </c>
      <c r="K135">
        <v>8.6407000000000001E-5</v>
      </c>
      <c r="L135">
        <v>3585.0056087850198</v>
      </c>
      <c r="M135" s="16">
        <v>0</v>
      </c>
      <c r="N135">
        <f t="shared" si="22"/>
        <v>0</v>
      </c>
      <c r="P135">
        <v>8.6407000000000001E-5</v>
      </c>
      <c r="Q135">
        <v>3585.0056087850198</v>
      </c>
      <c r="R135" s="16">
        <v>0</v>
      </c>
      <c r="S135">
        <f t="shared" si="23"/>
        <v>0</v>
      </c>
      <c r="U135">
        <v>8.6407000000000001E-5</v>
      </c>
      <c r="V135">
        <v>3585.0056087850198</v>
      </c>
      <c r="W135" s="16">
        <v>0</v>
      </c>
      <c r="X135">
        <f t="shared" si="24"/>
        <v>0</v>
      </c>
      <c r="Z135">
        <v>8.6407000000000001E-5</v>
      </c>
      <c r="AA135">
        <v>3585.0056087850198</v>
      </c>
      <c r="AB135" s="16">
        <v>0</v>
      </c>
      <c r="AC135">
        <f t="shared" si="25"/>
        <v>0</v>
      </c>
      <c r="AE135">
        <v>8.6407000000000001E-5</v>
      </c>
      <c r="AF135">
        <v>3585.0056087850198</v>
      </c>
      <c r="AG135" s="16">
        <v>0</v>
      </c>
      <c r="AH135">
        <f t="shared" si="26"/>
        <v>0</v>
      </c>
      <c r="AJ135">
        <v>8.6407000000000001E-5</v>
      </c>
      <c r="AK135">
        <v>3585.0056087850198</v>
      </c>
      <c r="AL135" s="17">
        <v>4.80603736189794E-5</v>
      </c>
      <c r="AM135">
        <f t="shared" si="27"/>
        <v>0.17229670898434474</v>
      </c>
      <c r="AO135">
        <v>8.6407000000000001E-5</v>
      </c>
      <c r="AP135">
        <v>3585.0056087850198</v>
      </c>
      <c r="AQ135" s="17">
        <v>3.4057516501041002E-6</v>
      </c>
      <c r="AR135">
        <f t="shared" si="28"/>
        <v>1.2209638767752036E-2</v>
      </c>
      <c r="AT135">
        <v>8.6407000000000001E-5</v>
      </c>
      <c r="AU135">
        <v>3585.0056087850198</v>
      </c>
      <c r="AV135" s="16">
        <v>0</v>
      </c>
      <c r="AW135">
        <f t="shared" si="29"/>
        <v>0</v>
      </c>
    </row>
    <row r="136" spans="1:49" x14ac:dyDescent="0.3">
      <c r="A136">
        <v>9.7522000000000006E-5</v>
      </c>
      <c r="B136" s="16">
        <v>3209.4989476846799</v>
      </c>
      <c r="C136" s="17">
        <v>3.1884993100806101E-5</v>
      </c>
      <c r="D136">
        <f t="shared" si="20"/>
        <v>0.10233485180397046</v>
      </c>
      <c r="F136">
        <v>9.7522000000000006E-5</v>
      </c>
      <c r="G136">
        <v>3209.4989476846799</v>
      </c>
      <c r="H136" s="16">
        <v>0</v>
      </c>
      <c r="I136">
        <f t="shared" si="21"/>
        <v>0</v>
      </c>
      <c r="K136">
        <v>9.7522000000000006E-5</v>
      </c>
      <c r="L136">
        <v>3209.4989476846799</v>
      </c>
      <c r="M136" s="16">
        <v>0</v>
      </c>
      <c r="N136">
        <f t="shared" si="22"/>
        <v>0</v>
      </c>
      <c r="P136">
        <v>9.7522000000000006E-5</v>
      </c>
      <c r="Q136">
        <v>3209.4989476846799</v>
      </c>
      <c r="R136" s="16">
        <v>0</v>
      </c>
      <c r="S136">
        <f t="shared" si="23"/>
        <v>0</v>
      </c>
      <c r="U136">
        <v>9.7522000000000006E-5</v>
      </c>
      <c r="V136">
        <v>3209.4989476846799</v>
      </c>
      <c r="W136" s="16">
        <v>0</v>
      </c>
      <c r="X136">
        <f t="shared" si="24"/>
        <v>0</v>
      </c>
      <c r="Z136">
        <v>9.7522000000000006E-5</v>
      </c>
      <c r="AA136">
        <v>3209.4989476846799</v>
      </c>
      <c r="AB136" s="16">
        <v>0</v>
      </c>
      <c r="AC136">
        <f t="shared" si="25"/>
        <v>0</v>
      </c>
      <c r="AE136">
        <v>9.7522000000000006E-5</v>
      </c>
      <c r="AF136">
        <v>3209.4989476846799</v>
      </c>
      <c r="AG136" s="16">
        <v>0</v>
      </c>
      <c r="AH136">
        <f t="shared" si="26"/>
        <v>0</v>
      </c>
      <c r="AJ136">
        <v>9.7522000000000006E-5</v>
      </c>
      <c r="AK136">
        <v>3209.4989476846799</v>
      </c>
      <c r="AL136" s="17">
        <v>4.5585430692159201E-5</v>
      </c>
      <c r="AM136">
        <f t="shared" si="27"/>
        <v>0.14630639183623786</v>
      </c>
      <c r="AO136">
        <v>9.7522000000000006E-5</v>
      </c>
      <c r="AP136">
        <v>3209.4989476846799</v>
      </c>
      <c r="AQ136" s="17">
        <v>5.0752783687022604E-6</v>
      </c>
      <c r="AR136">
        <f t="shared" si="28"/>
        <v>1.6289100583556725E-2</v>
      </c>
      <c r="AT136">
        <v>9.7522000000000006E-5</v>
      </c>
      <c r="AU136">
        <v>3209.4989476846799</v>
      </c>
      <c r="AV136" s="16">
        <v>0</v>
      </c>
      <c r="AW136">
        <f t="shared" si="29"/>
        <v>0</v>
      </c>
    </row>
    <row r="137" spans="1:49" x14ac:dyDescent="0.3">
      <c r="A137">
        <v>1.1006E-4</v>
      </c>
      <c r="B137" s="16">
        <v>2877.04371307883</v>
      </c>
      <c r="C137" s="16">
        <v>7.9054517661801896E-3</v>
      </c>
      <c r="D137">
        <f t="shared" si="20"/>
        <v>22.744330302936646</v>
      </c>
      <c r="F137">
        <v>1.1006E-4</v>
      </c>
      <c r="G137">
        <v>2877.04371307883</v>
      </c>
      <c r="H137" s="16">
        <v>0</v>
      </c>
      <c r="I137">
        <f t="shared" si="21"/>
        <v>0</v>
      </c>
      <c r="K137">
        <v>1.1006E-4</v>
      </c>
      <c r="L137">
        <v>2877.04371307883</v>
      </c>
      <c r="M137" s="16">
        <v>0</v>
      </c>
      <c r="N137">
        <f t="shared" si="22"/>
        <v>0</v>
      </c>
      <c r="P137">
        <v>1.1006E-4</v>
      </c>
      <c r="Q137">
        <v>2877.04371307883</v>
      </c>
      <c r="R137" s="16">
        <v>0</v>
      </c>
      <c r="S137">
        <f t="shared" si="23"/>
        <v>0</v>
      </c>
      <c r="U137">
        <v>1.1006E-4</v>
      </c>
      <c r="V137">
        <v>2877.04371307883</v>
      </c>
      <c r="W137" s="16">
        <v>0</v>
      </c>
      <c r="X137">
        <f t="shared" si="24"/>
        <v>0</v>
      </c>
      <c r="Z137">
        <v>1.1006E-4</v>
      </c>
      <c r="AA137">
        <v>2877.04371307883</v>
      </c>
      <c r="AB137" s="16">
        <v>0</v>
      </c>
      <c r="AC137">
        <f t="shared" si="25"/>
        <v>0</v>
      </c>
      <c r="AE137">
        <v>1.1006E-4</v>
      </c>
      <c r="AF137">
        <v>2877.04371307883</v>
      </c>
      <c r="AG137" s="16">
        <v>0</v>
      </c>
      <c r="AH137">
        <f t="shared" si="26"/>
        <v>0</v>
      </c>
      <c r="AJ137">
        <v>1.1006E-4</v>
      </c>
      <c r="AK137">
        <v>2877.04371307883</v>
      </c>
      <c r="AL137" s="17">
        <v>4.4059610415704297E-5</v>
      </c>
      <c r="AM137">
        <f t="shared" si="27"/>
        <v>0.12676142514720459</v>
      </c>
      <c r="AO137">
        <v>1.1006E-4</v>
      </c>
      <c r="AP137">
        <v>2877.04371307883</v>
      </c>
      <c r="AQ137" s="17">
        <v>1.02295534860492E-5</v>
      </c>
      <c r="AR137">
        <f t="shared" si="28"/>
        <v>2.9430872544641482E-2</v>
      </c>
      <c r="AT137">
        <v>1.1006E-4</v>
      </c>
      <c r="AU137">
        <v>2877.04371307883</v>
      </c>
      <c r="AV137" s="16">
        <v>0</v>
      </c>
      <c r="AW137">
        <f t="shared" si="29"/>
        <v>0</v>
      </c>
    </row>
    <row r="138" spans="1:49" x14ac:dyDescent="0.3">
      <c r="A138">
        <v>1.2422E-4</v>
      </c>
      <c r="B138" s="16">
        <v>2801.3216795297199</v>
      </c>
      <c r="C138" s="16">
        <v>9.0826460364754297E-4</v>
      </c>
      <c r="D138">
        <f t="shared" si="20"/>
        <v>2.5443413249473306</v>
      </c>
      <c r="F138">
        <v>1.2422E-4</v>
      </c>
      <c r="G138">
        <v>2801.3216795297199</v>
      </c>
      <c r="H138" s="16">
        <v>0</v>
      </c>
      <c r="I138">
        <f t="shared" si="21"/>
        <v>0</v>
      </c>
      <c r="K138">
        <v>1.2422E-4</v>
      </c>
      <c r="L138">
        <v>2801.3216795297199</v>
      </c>
      <c r="M138" s="16">
        <v>0</v>
      </c>
      <c r="N138">
        <f t="shared" si="22"/>
        <v>0</v>
      </c>
      <c r="P138">
        <v>1.2422E-4</v>
      </c>
      <c r="Q138">
        <v>2801.3216795297199</v>
      </c>
      <c r="R138" s="16">
        <v>0</v>
      </c>
      <c r="S138">
        <f t="shared" si="23"/>
        <v>0</v>
      </c>
      <c r="U138">
        <v>1.2422E-4</v>
      </c>
      <c r="V138">
        <v>2801.3216795297199</v>
      </c>
      <c r="W138" s="16">
        <v>0</v>
      </c>
      <c r="X138">
        <f t="shared" si="24"/>
        <v>0</v>
      </c>
      <c r="Z138">
        <v>1.2422E-4</v>
      </c>
      <c r="AA138">
        <v>2801.3216795297199</v>
      </c>
      <c r="AB138" s="16">
        <v>0</v>
      </c>
      <c r="AC138">
        <f t="shared" si="25"/>
        <v>0</v>
      </c>
      <c r="AE138">
        <v>1.2422E-4</v>
      </c>
      <c r="AF138">
        <v>2801.3216795297199</v>
      </c>
      <c r="AG138" s="16">
        <v>0</v>
      </c>
      <c r="AH138">
        <f t="shared" si="26"/>
        <v>0</v>
      </c>
      <c r="AJ138">
        <v>1.2422E-4</v>
      </c>
      <c r="AK138">
        <v>2801.3216795297199</v>
      </c>
      <c r="AL138" s="17">
        <v>4.1383923588445198E-5</v>
      </c>
      <c r="AM138">
        <f t="shared" si="27"/>
        <v>0.11592968233231289</v>
      </c>
      <c r="AO138">
        <v>1.2422E-4</v>
      </c>
      <c r="AP138">
        <v>2801.3216795297199</v>
      </c>
      <c r="AQ138" s="17">
        <v>4.4064003701705003E-5</v>
      </c>
      <c r="AR138">
        <f t="shared" si="28"/>
        <v>0.12343744885646404</v>
      </c>
      <c r="AT138">
        <v>1.2422E-4</v>
      </c>
      <c r="AU138">
        <v>2801.3216795297199</v>
      </c>
      <c r="AV138" s="16">
        <v>0</v>
      </c>
      <c r="AW138">
        <f t="shared" si="29"/>
        <v>0</v>
      </c>
    </row>
    <row r="139" spans="1:49" x14ac:dyDescent="0.3">
      <c r="A139">
        <v>1.4019999999999999E-4</v>
      </c>
      <c r="B139" s="16">
        <v>2735.7957342040399</v>
      </c>
      <c r="C139" s="17">
        <v>2.76148963462145E-5</v>
      </c>
      <c r="D139">
        <f t="shared" si="20"/>
        <v>7.5548715624460361E-2</v>
      </c>
      <c r="F139">
        <v>1.4019999999999999E-4</v>
      </c>
      <c r="G139">
        <v>2735.7957342040399</v>
      </c>
      <c r="H139" s="16">
        <v>0</v>
      </c>
      <c r="I139">
        <f t="shared" si="21"/>
        <v>0</v>
      </c>
      <c r="K139">
        <v>1.4019999999999999E-4</v>
      </c>
      <c r="L139">
        <v>2735.7957342040399</v>
      </c>
      <c r="M139" s="16">
        <v>0</v>
      </c>
      <c r="N139">
        <f t="shared" si="22"/>
        <v>0</v>
      </c>
      <c r="P139">
        <v>1.4019999999999999E-4</v>
      </c>
      <c r="Q139">
        <v>2735.7957342040399</v>
      </c>
      <c r="R139" s="16">
        <v>0</v>
      </c>
      <c r="S139">
        <f t="shared" si="23"/>
        <v>0</v>
      </c>
      <c r="U139">
        <v>1.4019999999999999E-4</v>
      </c>
      <c r="V139">
        <v>2735.7957342040399</v>
      </c>
      <c r="W139" s="16">
        <v>0</v>
      </c>
      <c r="X139">
        <f t="shared" si="24"/>
        <v>0</v>
      </c>
      <c r="Z139">
        <v>1.4019999999999999E-4</v>
      </c>
      <c r="AA139">
        <v>2735.7957342040399</v>
      </c>
      <c r="AB139" s="16">
        <v>0</v>
      </c>
      <c r="AC139">
        <f t="shared" si="25"/>
        <v>0</v>
      </c>
      <c r="AE139">
        <v>1.4019999999999999E-4</v>
      </c>
      <c r="AF139">
        <v>2735.7957342040399</v>
      </c>
      <c r="AG139" s="16">
        <v>0</v>
      </c>
      <c r="AH139">
        <f t="shared" si="26"/>
        <v>0</v>
      </c>
      <c r="AJ139">
        <v>1.4019999999999999E-4</v>
      </c>
      <c r="AK139">
        <v>2735.7957342040399</v>
      </c>
      <c r="AL139" s="17">
        <v>3.90685073696152E-5</v>
      </c>
      <c r="AM139">
        <f t="shared" si="27"/>
        <v>0.10688345580351236</v>
      </c>
      <c r="AO139">
        <v>1.4019999999999999E-4</v>
      </c>
      <c r="AP139">
        <v>2735.7957342040399</v>
      </c>
      <c r="AQ139" s="16">
        <v>3.5368733718930701E-4</v>
      </c>
      <c r="AR139">
        <f t="shared" si="28"/>
        <v>0.96761630832449197</v>
      </c>
      <c r="AT139">
        <v>1.4019999999999999E-4</v>
      </c>
      <c r="AU139">
        <v>2735.7957342040399</v>
      </c>
      <c r="AV139" s="16">
        <v>0</v>
      </c>
      <c r="AW139">
        <f t="shared" si="29"/>
        <v>0</v>
      </c>
    </row>
    <row r="140" spans="1:49" x14ac:dyDescent="0.3">
      <c r="A140">
        <v>1.5823000000000001E-4</v>
      </c>
      <c r="B140" s="16">
        <v>3032.81536328317</v>
      </c>
      <c r="C140" s="16">
        <v>8.5372484541445196E-3</v>
      </c>
      <c r="D140">
        <f t="shared" si="20"/>
        <v>25.891898271894991</v>
      </c>
      <c r="F140">
        <v>1.5823000000000001E-4</v>
      </c>
      <c r="G140">
        <v>3032.81536328317</v>
      </c>
      <c r="H140" s="16">
        <v>0</v>
      </c>
      <c r="I140">
        <f t="shared" si="21"/>
        <v>0</v>
      </c>
      <c r="K140">
        <v>1.5823000000000001E-4</v>
      </c>
      <c r="L140">
        <v>3032.81536328317</v>
      </c>
      <c r="M140" s="16">
        <v>0</v>
      </c>
      <c r="N140">
        <f t="shared" si="22"/>
        <v>0</v>
      </c>
      <c r="P140">
        <v>1.5823000000000001E-4</v>
      </c>
      <c r="Q140">
        <v>3032.81536328317</v>
      </c>
      <c r="R140" s="16">
        <v>0</v>
      </c>
      <c r="S140">
        <f t="shared" si="23"/>
        <v>0</v>
      </c>
      <c r="U140">
        <v>1.5823000000000001E-4</v>
      </c>
      <c r="V140">
        <v>3032.81536328317</v>
      </c>
      <c r="W140" s="16">
        <v>0</v>
      </c>
      <c r="X140">
        <f t="shared" si="24"/>
        <v>0</v>
      </c>
      <c r="Z140">
        <v>1.5823000000000001E-4</v>
      </c>
      <c r="AA140">
        <v>3032.81536328317</v>
      </c>
      <c r="AB140" s="16">
        <v>0</v>
      </c>
      <c r="AC140">
        <f t="shared" si="25"/>
        <v>0</v>
      </c>
      <c r="AE140">
        <v>1.5823000000000001E-4</v>
      </c>
      <c r="AF140">
        <v>3032.81536328317</v>
      </c>
      <c r="AG140" s="16">
        <v>0</v>
      </c>
      <c r="AH140">
        <f t="shared" si="26"/>
        <v>0</v>
      </c>
      <c r="AJ140">
        <v>1.5823000000000001E-4</v>
      </c>
      <c r="AK140">
        <v>3032.81536328317</v>
      </c>
      <c r="AL140" s="17">
        <v>3.7328416504117802E-5</v>
      </c>
      <c r="AM140">
        <f t="shared" si="27"/>
        <v>0.11321019506072151</v>
      </c>
      <c r="AO140">
        <v>1.5823000000000001E-4</v>
      </c>
      <c r="AP140">
        <v>3032.81536328317</v>
      </c>
      <c r="AQ140" s="17">
        <v>3.30531861891806E-5</v>
      </c>
      <c r="AR140">
        <f t="shared" si="28"/>
        <v>0.10024421088000601</v>
      </c>
      <c r="AT140">
        <v>1.5823000000000001E-4</v>
      </c>
      <c r="AU140">
        <v>3032.81536328317</v>
      </c>
      <c r="AV140" s="16">
        <v>0</v>
      </c>
      <c r="AW140">
        <f t="shared" si="29"/>
        <v>0</v>
      </c>
    </row>
    <row r="141" spans="1:49" x14ac:dyDescent="0.3">
      <c r="A141">
        <v>1.7859000000000001E-4</v>
      </c>
      <c r="B141" s="16">
        <v>2491.7980738259298</v>
      </c>
      <c r="C141" s="16">
        <v>1.2482869200025899E-2</v>
      </c>
      <c r="D141">
        <f t="shared" si="20"/>
        <v>31.10478942844556</v>
      </c>
      <c r="F141">
        <v>1.7859000000000001E-4</v>
      </c>
      <c r="G141">
        <v>2491.7980738259298</v>
      </c>
      <c r="H141" s="16">
        <v>0</v>
      </c>
      <c r="I141">
        <f t="shared" si="21"/>
        <v>0</v>
      </c>
      <c r="K141">
        <v>1.7859000000000001E-4</v>
      </c>
      <c r="L141">
        <v>2491.7980738259298</v>
      </c>
      <c r="M141" s="16">
        <v>0</v>
      </c>
      <c r="N141">
        <f t="shared" si="22"/>
        <v>0</v>
      </c>
      <c r="P141">
        <v>1.7859000000000001E-4</v>
      </c>
      <c r="Q141">
        <v>2491.7980738259298</v>
      </c>
      <c r="R141" s="16">
        <v>0</v>
      </c>
      <c r="S141">
        <f t="shared" si="23"/>
        <v>0</v>
      </c>
      <c r="U141">
        <v>1.7859000000000001E-4</v>
      </c>
      <c r="V141">
        <v>2491.7980738259298</v>
      </c>
      <c r="W141" s="16">
        <v>0</v>
      </c>
      <c r="X141">
        <f t="shared" si="24"/>
        <v>0</v>
      </c>
      <c r="Z141">
        <v>1.7859000000000001E-4</v>
      </c>
      <c r="AA141">
        <v>2491.7980738259298</v>
      </c>
      <c r="AB141" s="16">
        <v>0</v>
      </c>
      <c r="AC141">
        <f t="shared" si="25"/>
        <v>0</v>
      </c>
      <c r="AE141">
        <v>1.7859000000000001E-4</v>
      </c>
      <c r="AF141">
        <v>2491.7980738259298</v>
      </c>
      <c r="AG141" s="16">
        <v>0</v>
      </c>
      <c r="AH141">
        <f t="shared" si="26"/>
        <v>0</v>
      </c>
      <c r="AJ141">
        <v>1.7859000000000001E-4</v>
      </c>
      <c r="AK141">
        <v>2491.7980738259298</v>
      </c>
      <c r="AL141" s="17">
        <v>3.6020052449891101E-5</v>
      </c>
      <c r="AM141">
        <f t="shared" si="27"/>
        <v>8.9754697313747606E-2</v>
      </c>
      <c r="AO141">
        <v>1.7859000000000001E-4</v>
      </c>
      <c r="AP141">
        <v>2491.7980738259298</v>
      </c>
      <c r="AQ141" s="17">
        <v>5.08325792976316E-6</v>
      </c>
      <c r="AR141">
        <f t="shared" si="28"/>
        <v>1.2666452318144226E-2</v>
      </c>
      <c r="AT141">
        <v>1.7859000000000001E-4</v>
      </c>
      <c r="AU141">
        <v>2491.7980738259298</v>
      </c>
      <c r="AV141" s="16">
        <v>0</v>
      </c>
      <c r="AW141">
        <f t="shared" si="29"/>
        <v>0</v>
      </c>
    </row>
    <row r="142" spans="1:49" x14ac:dyDescent="0.3">
      <c r="A142">
        <v>2.0155999999999999E-4</v>
      </c>
      <c r="B142" s="16">
        <v>2527.8163980661702</v>
      </c>
      <c r="C142" s="16">
        <v>8.3154676170055196E-3</v>
      </c>
      <c r="D142">
        <f t="shared" si="20"/>
        <v>21.019975399854772</v>
      </c>
      <c r="F142">
        <v>2.0155999999999999E-4</v>
      </c>
      <c r="G142">
        <v>2527.8163980661702</v>
      </c>
      <c r="H142" s="16">
        <v>0</v>
      </c>
      <c r="I142">
        <f t="shared" si="21"/>
        <v>0</v>
      </c>
      <c r="K142">
        <v>2.0155999999999999E-4</v>
      </c>
      <c r="L142">
        <v>2527.8163980661702</v>
      </c>
      <c r="M142" s="16">
        <v>0</v>
      </c>
      <c r="N142">
        <f t="shared" si="22"/>
        <v>0</v>
      </c>
      <c r="P142">
        <v>2.0155999999999999E-4</v>
      </c>
      <c r="Q142">
        <v>2527.8163980661702</v>
      </c>
      <c r="R142" s="16">
        <v>0</v>
      </c>
      <c r="S142">
        <f t="shared" si="23"/>
        <v>0</v>
      </c>
      <c r="U142">
        <v>2.0155999999999999E-4</v>
      </c>
      <c r="V142">
        <v>2527.8163980661702</v>
      </c>
      <c r="W142" s="16">
        <v>0</v>
      </c>
      <c r="X142">
        <f t="shared" si="24"/>
        <v>0</v>
      </c>
      <c r="Z142">
        <v>2.0155999999999999E-4</v>
      </c>
      <c r="AA142">
        <v>2527.8163980661702</v>
      </c>
      <c r="AB142" s="16">
        <v>0</v>
      </c>
      <c r="AC142">
        <f t="shared" si="25"/>
        <v>0</v>
      </c>
      <c r="AE142">
        <v>2.0155999999999999E-4</v>
      </c>
      <c r="AF142">
        <v>2527.8163980661702</v>
      </c>
      <c r="AG142" s="16">
        <v>0</v>
      </c>
      <c r="AH142">
        <f t="shared" si="26"/>
        <v>0</v>
      </c>
      <c r="AJ142">
        <v>2.0155999999999999E-4</v>
      </c>
      <c r="AK142">
        <v>2527.8163980661702</v>
      </c>
      <c r="AL142" s="17">
        <v>3.4247223077193198E-5</v>
      </c>
      <c r="AM142">
        <f t="shared" si="27"/>
        <v>8.6570692082759138E-2</v>
      </c>
      <c r="AO142">
        <v>2.0155999999999999E-4</v>
      </c>
      <c r="AP142">
        <v>2527.8163980661702</v>
      </c>
      <c r="AQ142" s="17">
        <v>1.8303349844664999E-6</v>
      </c>
      <c r="AR142">
        <f t="shared" si="28"/>
        <v>4.6267507876886077E-3</v>
      </c>
      <c r="AT142">
        <v>2.0155999999999999E-4</v>
      </c>
      <c r="AU142">
        <v>2527.8163980661702</v>
      </c>
      <c r="AV142" s="16">
        <v>0</v>
      </c>
      <c r="AW142">
        <f t="shared" si="29"/>
        <v>0</v>
      </c>
    </row>
    <row r="143" spans="1:49" x14ac:dyDescent="0.3">
      <c r="A143">
        <v>2.2748000000000001E-4</v>
      </c>
      <c r="B143" s="16">
        <v>2292.2609806515802</v>
      </c>
      <c r="C143" s="16">
        <v>2.86451102840552E-4</v>
      </c>
      <c r="D143">
        <f t="shared" si="20"/>
        <v>0.65662068590601042</v>
      </c>
      <c r="F143">
        <v>2.2748000000000001E-4</v>
      </c>
      <c r="G143">
        <v>2292.2609806515802</v>
      </c>
      <c r="H143" s="16">
        <v>0</v>
      </c>
      <c r="I143">
        <f t="shared" si="21"/>
        <v>0</v>
      </c>
      <c r="K143">
        <v>2.2748000000000001E-4</v>
      </c>
      <c r="L143">
        <v>2292.2609806515802</v>
      </c>
      <c r="M143" s="16">
        <v>0</v>
      </c>
      <c r="N143">
        <f t="shared" si="22"/>
        <v>0</v>
      </c>
      <c r="P143">
        <v>2.2748000000000001E-4</v>
      </c>
      <c r="Q143">
        <v>2292.2609806515802</v>
      </c>
      <c r="R143" s="16">
        <v>0</v>
      </c>
      <c r="S143">
        <f t="shared" si="23"/>
        <v>0</v>
      </c>
      <c r="U143">
        <v>2.2748000000000001E-4</v>
      </c>
      <c r="V143">
        <v>2292.2609806515802</v>
      </c>
      <c r="W143" s="16">
        <v>0</v>
      </c>
      <c r="X143">
        <f t="shared" si="24"/>
        <v>0</v>
      </c>
      <c r="Z143">
        <v>2.2748000000000001E-4</v>
      </c>
      <c r="AA143">
        <v>2292.2609806515802</v>
      </c>
      <c r="AB143" s="16">
        <v>0</v>
      </c>
      <c r="AC143">
        <f t="shared" si="25"/>
        <v>0</v>
      </c>
      <c r="AE143">
        <v>2.2748000000000001E-4</v>
      </c>
      <c r="AF143">
        <v>2292.2609806515802</v>
      </c>
      <c r="AG143" s="16">
        <v>0</v>
      </c>
      <c r="AH143">
        <f t="shared" si="26"/>
        <v>0</v>
      </c>
      <c r="AJ143">
        <v>2.2748000000000001E-4</v>
      </c>
      <c r="AK143">
        <v>2292.2609806515802</v>
      </c>
      <c r="AL143" s="17">
        <v>3.3032249612947802E-5</v>
      </c>
      <c r="AM143">
        <f t="shared" si="27"/>
        <v>7.5718536890903507E-2</v>
      </c>
      <c r="AO143">
        <v>2.2748000000000001E-4</v>
      </c>
      <c r="AP143">
        <v>2292.2609806515802</v>
      </c>
      <c r="AQ143" s="17">
        <v>8.6974542148147304E-7</v>
      </c>
      <c r="AR143">
        <f t="shared" si="28"/>
        <v>1.9936834927623435E-3</v>
      </c>
      <c r="AT143">
        <v>2.2748000000000001E-4</v>
      </c>
      <c r="AU143">
        <v>2292.2609806515802</v>
      </c>
      <c r="AV143" s="16">
        <v>0</v>
      </c>
      <c r="AW143">
        <f t="shared" si="29"/>
        <v>0</v>
      </c>
    </row>
    <row r="144" spans="1:49" x14ac:dyDescent="0.3">
      <c r="A144">
        <v>2.5673999999999998E-4</v>
      </c>
      <c r="B144" s="16">
        <v>2294.4200847899501</v>
      </c>
      <c r="C144" s="16">
        <v>9.6745269018915295E-3</v>
      </c>
      <c r="D144">
        <f t="shared" si="20"/>
        <v>22.197428834540617</v>
      </c>
      <c r="F144">
        <v>2.5673999999999998E-4</v>
      </c>
      <c r="G144">
        <v>2294.4200847899501</v>
      </c>
      <c r="H144" s="16">
        <v>0</v>
      </c>
      <c r="I144">
        <f t="shared" si="21"/>
        <v>0</v>
      </c>
      <c r="K144">
        <v>2.5673999999999998E-4</v>
      </c>
      <c r="L144">
        <v>2294.4200847899501</v>
      </c>
      <c r="M144" s="16">
        <v>0</v>
      </c>
      <c r="N144">
        <f t="shared" si="22"/>
        <v>0</v>
      </c>
      <c r="P144">
        <v>2.5673999999999998E-4</v>
      </c>
      <c r="Q144">
        <v>2294.4200847899501</v>
      </c>
      <c r="R144" s="16">
        <v>0</v>
      </c>
      <c r="S144">
        <f t="shared" si="23"/>
        <v>0</v>
      </c>
      <c r="U144">
        <v>2.5673999999999998E-4</v>
      </c>
      <c r="V144">
        <v>2294.4200847899501</v>
      </c>
      <c r="W144" s="16">
        <v>0</v>
      </c>
      <c r="X144">
        <f t="shared" si="24"/>
        <v>0</v>
      </c>
      <c r="Z144">
        <v>2.5673999999999998E-4</v>
      </c>
      <c r="AA144">
        <v>2294.4200847899501</v>
      </c>
      <c r="AB144" s="16">
        <v>0</v>
      </c>
      <c r="AC144">
        <f t="shared" si="25"/>
        <v>0</v>
      </c>
      <c r="AE144">
        <v>2.5673999999999998E-4</v>
      </c>
      <c r="AF144">
        <v>2294.4200847899501</v>
      </c>
      <c r="AG144" s="16">
        <v>0</v>
      </c>
      <c r="AH144">
        <f t="shared" si="26"/>
        <v>0</v>
      </c>
      <c r="AJ144">
        <v>2.5673999999999998E-4</v>
      </c>
      <c r="AK144">
        <v>2294.4200847899501</v>
      </c>
      <c r="AL144" s="17">
        <v>3.23207481654633E-5</v>
      </c>
      <c r="AM144">
        <f t="shared" si="27"/>
        <v>7.4157373746276928E-2</v>
      </c>
      <c r="AO144">
        <v>2.5673999999999998E-4</v>
      </c>
      <c r="AP144">
        <v>2294.4200847899501</v>
      </c>
      <c r="AQ144" s="17">
        <v>4.7229400367548799E-7</v>
      </c>
      <c r="AR144">
        <f t="shared" si="28"/>
        <v>1.0836408479588981E-3</v>
      </c>
      <c r="AT144">
        <v>2.5673999999999998E-4</v>
      </c>
      <c r="AU144">
        <v>2294.4200847899501</v>
      </c>
      <c r="AV144" s="16">
        <v>0</v>
      </c>
      <c r="AW144">
        <f t="shared" si="29"/>
        <v>0</v>
      </c>
    </row>
    <row r="145" spans="1:49" x14ac:dyDescent="0.3">
      <c r="A145">
        <v>2.8977000000000001E-4</v>
      </c>
      <c r="B145" s="16">
        <v>2002.10944792596</v>
      </c>
      <c r="C145" s="16">
        <v>6.4467155815619102E-3</v>
      </c>
      <c r="D145">
        <f t="shared" si="20"/>
        <v>12.907030173936601</v>
      </c>
      <c r="F145">
        <v>2.8977000000000001E-4</v>
      </c>
      <c r="G145">
        <v>2002.10944792596</v>
      </c>
      <c r="H145" s="16">
        <v>0</v>
      </c>
      <c r="I145">
        <f t="shared" si="21"/>
        <v>0</v>
      </c>
      <c r="K145">
        <v>2.8977000000000001E-4</v>
      </c>
      <c r="L145">
        <v>2002.10944792596</v>
      </c>
      <c r="M145" s="16">
        <v>0</v>
      </c>
      <c r="N145">
        <f t="shared" si="22"/>
        <v>0</v>
      </c>
      <c r="P145">
        <v>2.8977000000000001E-4</v>
      </c>
      <c r="Q145">
        <v>2002.10944792596</v>
      </c>
      <c r="R145" s="16">
        <v>0</v>
      </c>
      <c r="S145">
        <f t="shared" si="23"/>
        <v>0</v>
      </c>
      <c r="U145">
        <v>2.8977000000000001E-4</v>
      </c>
      <c r="V145">
        <v>2002.10944792596</v>
      </c>
      <c r="W145" s="16">
        <v>0</v>
      </c>
      <c r="X145">
        <f t="shared" si="24"/>
        <v>0</v>
      </c>
      <c r="Z145">
        <v>2.8977000000000001E-4</v>
      </c>
      <c r="AA145">
        <v>2002.10944792596</v>
      </c>
      <c r="AB145" s="16">
        <v>0</v>
      </c>
      <c r="AC145">
        <f t="shared" si="25"/>
        <v>0</v>
      </c>
      <c r="AE145">
        <v>2.8977000000000001E-4</v>
      </c>
      <c r="AF145">
        <v>2002.10944792596</v>
      </c>
      <c r="AG145" s="16">
        <v>0</v>
      </c>
      <c r="AH145">
        <f t="shared" si="26"/>
        <v>0</v>
      </c>
      <c r="AJ145">
        <v>2.8977000000000001E-4</v>
      </c>
      <c r="AK145">
        <v>2002.10944792596</v>
      </c>
      <c r="AL145" s="17">
        <v>3.1092073950619703E-5</v>
      </c>
      <c r="AM145">
        <f t="shared" si="27"/>
        <v>6.2249735012148338E-2</v>
      </c>
      <c r="AO145">
        <v>2.8977000000000001E-4</v>
      </c>
      <c r="AP145">
        <v>2002.10944792596</v>
      </c>
      <c r="AQ145" s="17">
        <v>2.9920631480445002E-7</v>
      </c>
      <c r="AR145">
        <f t="shared" si="28"/>
        <v>5.9904378974909842E-4</v>
      </c>
      <c r="AT145">
        <v>2.8977000000000001E-4</v>
      </c>
      <c r="AU145">
        <v>2002.10944792596</v>
      </c>
      <c r="AV145" s="16">
        <v>0</v>
      </c>
      <c r="AW145">
        <f t="shared" si="29"/>
        <v>0</v>
      </c>
    </row>
    <row r="146" spans="1:49" x14ac:dyDescent="0.3">
      <c r="A146">
        <v>3.2704000000000001E-4</v>
      </c>
      <c r="B146" s="16">
        <v>2312.4055465807901</v>
      </c>
      <c r="C146" s="16">
        <v>1.5600973418374801E-2</v>
      </c>
      <c r="D146">
        <f t="shared" si="20"/>
        <v>36.075777464709361</v>
      </c>
      <c r="F146">
        <v>3.2704000000000001E-4</v>
      </c>
      <c r="G146">
        <v>2312.4055465807901</v>
      </c>
      <c r="H146" s="16">
        <v>0</v>
      </c>
      <c r="I146">
        <f t="shared" si="21"/>
        <v>0</v>
      </c>
      <c r="K146">
        <v>3.2704000000000001E-4</v>
      </c>
      <c r="L146">
        <v>2312.4055465807901</v>
      </c>
      <c r="M146" s="16">
        <v>0</v>
      </c>
      <c r="N146">
        <f t="shared" si="22"/>
        <v>0</v>
      </c>
      <c r="P146">
        <v>3.2704000000000001E-4</v>
      </c>
      <c r="Q146">
        <v>2312.4055465807901</v>
      </c>
      <c r="R146" s="16">
        <v>0</v>
      </c>
      <c r="S146">
        <f t="shared" si="23"/>
        <v>0</v>
      </c>
      <c r="U146">
        <v>3.2704000000000001E-4</v>
      </c>
      <c r="V146">
        <v>2312.4055465807901</v>
      </c>
      <c r="W146" s="16">
        <v>0</v>
      </c>
      <c r="X146">
        <f t="shared" si="24"/>
        <v>0</v>
      </c>
      <c r="Z146">
        <v>3.2704000000000001E-4</v>
      </c>
      <c r="AA146">
        <v>2312.4055465807901</v>
      </c>
      <c r="AB146" s="16">
        <v>0</v>
      </c>
      <c r="AC146">
        <f t="shared" si="25"/>
        <v>0</v>
      </c>
      <c r="AE146">
        <v>3.2704000000000001E-4</v>
      </c>
      <c r="AF146">
        <v>2312.4055465807901</v>
      </c>
      <c r="AG146" s="16">
        <v>0</v>
      </c>
      <c r="AH146">
        <f t="shared" si="26"/>
        <v>0</v>
      </c>
      <c r="AJ146">
        <v>3.2704000000000001E-4</v>
      </c>
      <c r="AK146">
        <v>2312.4055465807901</v>
      </c>
      <c r="AL146" s="17">
        <v>2.9763762931676601E-5</v>
      </c>
      <c r="AM146">
        <f t="shared" si="27"/>
        <v>6.8825890490324684E-2</v>
      </c>
      <c r="AO146">
        <v>3.2704000000000001E-4</v>
      </c>
      <c r="AP146">
        <v>2312.4055465807901</v>
      </c>
      <c r="AQ146" s="17">
        <v>1.9289667580620201E-7</v>
      </c>
      <c r="AR146">
        <f t="shared" si="28"/>
        <v>4.4605534305125803E-4</v>
      </c>
      <c r="AT146">
        <v>3.2704000000000001E-4</v>
      </c>
      <c r="AU146">
        <v>2312.4055465807901</v>
      </c>
      <c r="AV146" s="16">
        <v>0</v>
      </c>
      <c r="AW146">
        <f t="shared" si="29"/>
        <v>0</v>
      </c>
    </row>
    <row r="147" spans="1:49" x14ac:dyDescent="0.3">
      <c r="A147">
        <v>3.6910000000000003E-4</v>
      </c>
      <c r="B147" s="16">
        <v>1900.8503128183399</v>
      </c>
      <c r="C147" s="16">
        <v>7.9652795946978106E-3</v>
      </c>
      <c r="D147">
        <f t="shared" si="20"/>
        <v>15.140804209266873</v>
      </c>
      <c r="F147">
        <v>3.6910000000000003E-4</v>
      </c>
      <c r="G147">
        <v>1900.8503128183399</v>
      </c>
      <c r="H147" s="16">
        <v>0</v>
      </c>
      <c r="I147">
        <f t="shared" si="21"/>
        <v>0</v>
      </c>
      <c r="K147">
        <v>3.6910000000000003E-4</v>
      </c>
      <c r="L147">
        <v>1900.8503128183399</v>
      </c>
      <c r="M147" s="16">
        <v>0</v>
      </c>
      <c r="N147">
        <f t="shared" si="22"/>
        <v>0</v>
      </c>
      <c r="P147">
        <v>3.6910000000000003E-4</v>
      </c>
      <c r="Q147">
        <v>1900.8503128183399</v>
      </c>
      <c r="R147" s="16">
        <v>0</v>
      </c>
      <c r="S147">
        <f t="shared" si="23"/>
        <v>0</v>
      </c>
      <c r="U147">
        <v>3.6910000000000003E-4</v>
      </c>
      <c r="V147">
        <v>1900.8503128183399</v>
      </c>
      <c r="W147" s="16">
        <v>0</v>
      </c>
      <c r="X147">
        <f t="shared" si="24"/>
        <v>0</v>
      </c>
      <c r="Z147">
        <v>3.6910000000000003E-4</v>
      </c>
      <c r="AA147">
        <v>1900.8503128183399</v>
      </c>
      <c r="AB147" s="16">
        <v>0</v>
      </c>
      <c r="AC147">
        <f t="shared" si="25"/>
        <v>0</v>
      </c>
      <c r="AE147">
        <v>3.6910000000000003E-4</v>
      </c>
      <c r="AF147">
        <v>1900.8503128183399</v>
      </c>
      <c r="AG147" s="16">
        <v>0</v>
      </c>
      <c r="AH147">
        <f t="shared" si="26"/>
        <v>0</v>
      </c>
      <c r="AJ147">
        <v>3.6910000000000003E-4</v>
      </c>
      <c r="AK147">
        <v>1900.8503128183399</v>
      </c>
      <c r="AL147" s="17">
        <v>2.8652418037548401E-5</v>
      </c>
      <c r="AM147">
        <f t="shared" si="27"/>
        <v>5.4463957789675721E-2</v>
      </c>
      <c r="AO147">
        <v>3.6910000000000003E-4</v>
      </c>
      <c r="AP147">
        <v>1900.8503128183399</v>
      </c>
      <c r="AQ147" s="17">
        <v>1.3751210751673101E-7</v>
      </c>
      <c r="AR147">
        <f t="shared" si="28"/>
        <v>2.6138993258948735E-4</v>
      </c>
      <c r="AT147">
        <v>3.6910000000000003E-4</v>
      </c>
      <c r="AU147">
        <v>1900.8503128183399</v>
      </c>
      <c r="AV147" s="16">
        <v>0</v>
      </c>
      <c r="AW147">
        <f t="shared" si="29"/>
        <v>0</v>
      </c>
    </row>
    <row r="148" spans="1:49" x14ac:dyDescent="0.3">
      <c r="A148">
        <v>4.1658E-4</v>
      </c>
      <c r="B148" s="16">
        <v>2180.3518203191402</v>
      </c>
      <c r="C148" s="16">
        <v>6.1231741354656199E-3</v>
      </c>
      <c r="D148">
        <f t="shared" si="20"/>
        <v>13.350673872393543</v>
      </c>
      <c r="F148">
        <v>4.1658E-4</v>
      </c>
      <c r="G148">
        <v>2180.3518203191402</v>
      </c>
      <c r="H148" s="16">
        <v>0</v>
      </c>
      <c r="I148">
        <f t="shared" si="21"/>
        <v>0</v>
      </c>
      <c r="K148">
        <v>4.1658E-4</v>
      </c>
      <c r="L148">
        <v>2180.3518203191402</v>
      </c>
      <c r="M148" s="16">
        <v>0</v>
      </c>
      <c r="N148">
        <f t="shared" si="22"/>
        <v>0</v>
      </c>
      <c r="P148">
        <v>4.1658E-4</v>
      </c>
      <c r="Q148">
        <v>2180.3518203191402</v>
      </c>
      <c r="R148" s="16">
        <v>0</v>
      </c>
      <c r="S148">
        <f t="shared" si="23"/>
        <v>0</v>
      </c>
      <c r="U148">
        <v>4.1658E-4</v>
      </c>
      <c r="V148">
        <v>2180.3518203191402</v>
      </c>
      <c r="W148" s="16">
        <v>0</v>
      </c>
      <c r="X148">
        <f t="shared" si="24"/>
        <v>0</v>
      </c>
      <c r="Z148">
        <v>4.1658E-4</v>
      </c>
      <c r="AA148">
        <v>2180.3518203191402</v>
      </c>
      <c r="AB148" s="16">
        <v>0</v>
      </c>
      <c r="AC148">
        <f t="shared" si="25"/>
        <v>0</v>
      </c>
      <c r="AE148">
        <v>4.1658E-4</v>
      </c>
      <c r="AF148">
        <v>2180.3518203191402</v>
      </c>
      <c r="AG148" s="16">
        <v>0</v>
      </c>
      <c r="AH148">
        <f t="shared" si="26"/>
        <v>0</v>
      </c>
      <c r="AJ148">
        <v>4.1658E-4</v>
      </c>
      <c r="AK148">
        <v>2180.3518203191402</v>
      </c>
      <c r="AL148" s="17">
        <v>2.7920163492515401E-5</v>
      </c>
      <c r="AM148">
        <f t="shared" si="27"/>
        <v>6.087577929451396E-2</v>
      </c>
      <c r="AO148">
        <v>4.1658E-4</v>
      </c>
      <c r="AP148">
        <v>2180.3518203191402</v>
      </c>
      <c r="AQ148" s="17">
        <v>1.02009300715047E-7</v>
      </c>
      <c r="AR148">
        <f t="shared" si="28"/>
        <v>2.224161645035353E-4</v>
      </c>
      <c r="AT148">
        <v>4.1658E-4</v>
      </c>
      <c r="AU148">
        <v>2180.3518203191402</v>
      </c>
      <c r="AV148" s="16">
        <v>0</v>
      </c>
      <c r="AW148">
        <f t="shared" si="29"/>
        <v>0</v>
      </c>
    </row>
    <row r="149" spans="1:49" x14ac:dyDescent="0.3">
      <c r="A149">
        <v>4.7016000000000001E-4</v>
      </c>
      <c r="B149" s="16">
        <v>2218.1275123467799</v>
      </c>
      <c r="C149" s="16">
        <v>6.3916397890329997E-3</v>
      </c>
      <c r="D149">
        <f t="shared" si="20"/>
        <v>14.177472065064464</v>
      </c>
      <c r="F149">
        <v>4.7016000000000001E-4</v>
      </c>
      <c r="G149">
        <v>2218.1275123467799</v>
      </c>
      <c r="H149" s="16">
        <v>0</v>
      </c>
      <c r="I149">
        <f t="shared" si="21"/>
        <v>0</v>
      </c>
      <c r="K149">
        <v>4.7016000000000001E-4</v>
      </c>
      <c r="L149">
        <v>2218.1275123467799</v>
      </c>
      <c r="M149" s="16">
        <v>0</v>
      </c>
      <c r="N149">
        <f t="shared" si="22"/>
        <v>0</v>
      </c>
      <c r="P149">
        <v>4.7016000000000001E-4</v>
      </c>
      <c r="Q149">
        <v>2218.1275123467799</v>
      </c>
      <c r="R149" s="16">
        <v>0</v>
      </c>
      <c r="S149">
        <f t="shared" si="23"/>
        <v>0</v>
      </c>
      <c r="U149">
        <v>4.7016000000000001E-4</v>
      </c>
      <c r="V149">
        <v>2218.1275123467799</v>
      </c>
      <c r="W149" s="16">
        <v>0</v>
      </c>
      <c r="X149">
        <f t="shared" si="24"/>
        <v>0</v>
      </c>
      <c r="Z149">
        <v>4.7016000000000001E-4</v>
      </c>
      <c r="AA149">
        <v>2218.1275123467799</v>
      </c>
      <c r="AB149" s="16">
        <v>0</v>
      </c>
      <c r="AC149">
        <f t="shared" si="25"/>
        <v>0</v>
      </c>
      <c r="AE149">
        <v>4.7016000000000001E-4</v>
      </c>
      <c r="AF149">
        <v>2218.1275123467799</v>
      </c>
      <c r="AG149" s="16">
        <v>0</v>
      </c>
      <c r="AH149">
        <f t="shared" si="26"/>
        <v>0</v>
      </c>
      <c r="AJ149">
        <v>4.7016000000000001E-4</v>
      </c>
      <c r="AK149">
        <v>2218.1275123467799</v>
      </c>
      <c r="AL149" s="17">
        <v>2.76249328622176E-5</v>
      </c>
      <c r="AM149">
        <f t="shared" si="27"/>
        <v>6.1275623608417533E-2</v>
      </c>
      <c r="AO149">
        <v>4.7016000000000001E-4</v>
      </c>
      <c r="AP149">
        <v>2218.1275123467799</v>
      </c>
      <c r="AQ149" s="17">
        <v>7.98600545476973E-8</v>
      </c>
      <c r="AR149">
        <f t="shared" si="28"/>
        <v>1.7713978412976195E-4</v>
      </c>
      <c r="AT149">
        <v>4.7016000000000001E-4</v>
      </c>
      <c r="AU149">
        <v>2218.1275123467799</v>
      </c>
      <c r="AV149" s="16">
        <v>0</v>
      </c>
      <c r="AW149">
        <f t="shared" si="29"/>
        <v>0</v>
      </c>
    </row>
    <row r="150" spans="1:49" x14ac:dyDescent="0.3">
      <c r="A150">
        <v>5.3063999999999997E-4</v>
      </c>
      <c r="B150" s="16">
        <v>1999.5816382756</v>
      </c>
      <c r="C150" s="16">
        <v>6.1793432605601302E-3</v>
      </c>
      <c r="D150">
        <f t="shared" si="20"/>
        <v>12.356101320418112</v>
      </c>
      <c r="F150">
        <v>5.3063999999999997E-4</v>
      </c>
      <c r="G150">
        <v>1999.5816382756</v>
      </c>
      <c r="H150" s="16">
        <v>0</v>
      </c>
      <c r="I150">
        <f t="shared" si="21"/>
        <v>0</v>
      </c>
      <c r="K150">
        <v>5.3063999999999997E-4</v>
      </c>
      <c r="L150">
        <v>1999.5816382756</v>
      </c>
      <c r="M150" s="16">
        <v>0</v>
      </c>
      <c r="N150">
        <f t="shared" si="22"/>
        <v>0</v>
      </c>
      <c r="P150">
        <v>5.3063999999999997E-4</v>
      </c>
      <c r="Q150">
        <v>1999.5816382756</v>
      </c>
      <c r="R150" s="16">
        <v>0</v>
      </c>
      <c r="S150">
        <f t="shared" si="23"/>
        <v>0</v>
      </c>
      <c r="U150">
        <v>5.3063999999999997E-4</v>
      </c>
      <c r="V150">
        <v>1999.5816382756</v>
      </c>
      <c r="W150" s="16">
        <v>0</v>
      </c>
      <c r="X150">
        <f t="shared" si="24"/>
        <v>0</v>
      </c>
      <c r="Z150">
        <v>5.3063999999999997E-4</v>
      </c>
      <c r="AA150">
        <v>1999.5816382756</v>
      </c>
      <c r="AB150" s="16">
        <v>0</v>
      </c>
      <c r="AC150">
        <f t="shared" si="25"/>
        <v>0</v>
      </c>
      <c r="AE150">
        <v>5.3063999999999997E-4</v>
      </c>
      <c r="AF150">
        <v>1999.5816382756</v>
      </c>
      <c r="AG150" s="16">
        <v>0</v>
      </c>
      <c r="AH150">
        <f t="shared" si="26"/>
        <v>0</v>
      </c>
      <c r="AJ150">
        <v>5.3063999999999997E-4</v>
      </c>
      <c r="AK150">
        <v>1999.5816382756</v>
      </c>
      <c r="AL150" s="17">
        <v>2.7197367827556801E-5</v>
      </c>
      <c r="AM150">
        <f t="shared" si="27"/>
        <v>5.4383357317410126E-2</v>
      </c>
      <c r="AO150">
        <v>5.3063999999999997E-4</v>
      </c>
      <c r="AP150">
        <v>1999.5816382756</v>
      </c>
      <c r="AQ150" s="17">
        <v>6.3934967096383094E-8</v>
      </c>
      <c r="AR150">
        <f t="shared" si="28"/>
        <v>1.2784318624968228E-4</v>
      </c>
      <c r="AT150">
        <v>5.3063999999999997E-4</v>
      </c>
      <c r="AU150">
        <v>1999.5816382756</v>
      </c>
      <c r="AV150" s="16">
        <v>0</v>
      </c>
      <c r="AW150">
        <f t="shared" si="29"/>
        <v>0</v>
      </c>
    </row>
    <row r="151" spans="1:49" x14ac:dyDescent="0.3">
      <c r="A151">
        <v>5.9889000000000003E-4</v>
      </c>
      <c r="B151" s="16">
        <v>2004.9881773091699</v>
      </c>
      <c r="C151" s="16">
        <v>4.6518890224115103E-3</v>
      </c>
      <c r="D151">
        <f t="shared" si="20"/>
        <v>9.3269824920893907</v>
      </c>
      <c r="F151">
        <v>5.9889000000000003E-4</v>
      </c>
      <c r="G151">
        <v>2004.9881773091699</v>
      </c>
      <c r="H151" s="16">
        <v>0</v>
      </c>
      <c r="I151">
        <f t="shared" si="21"/>
        <v>0</v>
      </c>
      <c r="K151">
        <v>5.9889000000000003E-4</v>
      </c>
      <c r="L151">
        <v>2004.9881773091699</v>
      </c>
      <c r="M151" s="16">
        <v>0</v>
      </c>
      <c r="N151">
        <f t="shared" si="22"/>
        <v>0</v>
      </c>
      <c r="P151">
        <v>5.9889000000000003E-4</v>
      </c>
      <c r="Q151">
        <v>2004.9881773091699</v>
      </c>
      <c r="R151" s="16">
        <v>0</v>
      </c>
      <c r="S151">
        <f t="shared" si="23"/>
        <v>0</v>
      </c>
      <c r="U151">
        <v>5.9889000000000003E-4</v>
      </c>
      <c r="V151">
        <v>2004.9881773091699</v>
      </c>
      <c r="W151" s="16">
        <v>0</v>
      </c>
      <c r="X151">
        <f t="shared" si="24"/>
        <v>0</v>
      </c>
      <c r="Z151">
        <v>5.9889000000000003E-4</v>
      </c>
      <c r="AA151">
        <v>2004.9881773091699</v>
      </c>
      <c r="AB151" s="16">
        <v>0</v>
      </c>
      <c r="AC151">
        <f t="shared" si="25"/>
        <v>0</v>
      </c>
      <c r="AE151">
        <v>5.9889000000000003E-4</v>
      </c>
      <c r="AF151">
        <v>2004.9881773091699</v>
      </c>
      <c r="AG151" s="16">
        <v>0</v>
      </c>
      <c r="AH151">
        <f t="shared" si="26"/>
        <v>0</v>
      </c>
      <c r="AJ151">
        <v>5.9889000000000003E-4</v>
      </c>
      <c r="AK151">
        <v>2004.9881773091699</v>
      </c>
      <c r="AL151" s="17">
        <v>2.7117359424855101E-5</v>
      </c>
      <c r="AM151">
        <f t="shared" si="27"/>
        <v>5.4369985046677873E-2</v>
      </c>
      <c r="AO151">
        <v>5.9889000000000003E-4</v>
      </c>
      <c r="AP151">
        <v>2004.9881773091699</v>
      </c>
      <c r="AQ151" s="17">
        <v>5.2937490644305402E-8</v>
      </c>
      <c r="AR151">
        <f t="shared" si="28"/>
        <v>1.0613904287824713E-4</v>
      </c>
      <c r="AT151">
        <v>5.9889000000000003E-4</v>
      </c>
      <c r="AU151">
        <v>2004.9881773091699</v>
      </c>
      <c r="AV151" s="16">
        <v>0</v>
      </c>
      <c r="AW151">
        <f t="shared" si="29"/>
        <v>0</v>
      </c>
    </row>
    <row r="152" spans="1:49" x14ac:dyDescent="0.3">
      <c r="A152">
        <v>6.7591999999999999E-4</v>
      </c>
      <c r="B152" s="16">
        <v>1983.13070742334</v>
      </c>
      <c r="C152" s="16">
        <v>4.6814794818998704E-3</v>
      </c>
      <c r="D152">
        <f t="shared" si="20"/>
        <v>9.2839857167279405</v>
      </c>
      <c r="F152">
        <v>6.7591999999999999E-4</v>
      </c>
      <c r="G152">
        <v>1983.13070742334</v>
      </c>
      <c r="H152" s="16">
        <v>0</v>
      </c>
      <c r="I152">
        <f t="shared" si="21"/>
        <v>0</v>
      </c>
      <c r="K152">
        <v>6.7591999999999999E-4</v>
      </c>
      <c r="L152">
        <v>1983.13070742334</v>
      </c>
      <c r="M152" s="16">
        <v>0</v>
      </c>
      <c r="N152">
        <f t="shared" si="22"/>
        <v>0</v>
      </c>
      <c r="P152">
        <v>6.7591999999999999E-4</v>
      </c>
      <c r="Q152">
        <v>1983.13070742334</v>
      </c>
      <c r="R152" s="16">
        <v>0</v>
      </c>
      <c r="S152">
        <f t="shared" si="23"/>
        <v>0</v>
      </c>
      <c r="U152">
        <v>6.7591999999999999E-4</v>
      </c>
      <c r="V152">
        <v>1983.13070742334</v>
      </c>
      <c r="W152" s="16">
        <v>0</v>
      </c>
      <c r="X152">
        <f t="shared" si="24"/>
        <v>0</v>
      </c>
      <c r="Z152">
        <v>6.7591999999999999E-4</v>
      </c>
      <c r="AA152">
        <v>1983.13070742334</v>
      </c>
      <c r="AB152" s="16">
        <v>0</v>
      </c>
      <c r="AC152">
        <f t="shared" si="25"/>
        <v>0</v>
      </c>
      <c r="AE152">
        <v>6.7591999999999999E-4</v>
      </c>
      <c r="AF152">
        <v>1983.13070742334</v>
      </c>
      <c r="AG152" s="16">
        <v>0</v>
      </c>
      <c r="AH152">
        <f t="shared" si="26"/>
        <v>0</v>
      </c>
      <c r="AJ152">
        <v>6.7591999999999999E-4</v>
      </c>
      <c r="AK152">
        <v>1983.13070742334</v>
      </c>
      <c r="AL152" s="17">
        <v>2.7475171377927902E-5</v>
      </c>
      <c r="AM152">
        <f t="shared" si="27"/>
        <v>5.4486856051287662E-2</v>
      </c>
      <c r="AO152">
        <v>6.7591999999999999E-4</v>
      </c>
      <c r="AP152">
        <v>1983.13070742334</v>
      </c>
      <c r="AQ152" s="17">
        <v>4.5586822779226298E-8</v>
      </c>
      <c r="AR152">
        <f t="shared" si="28"/>
        <v>9.0404628107349481E-5</v>
      </c>
      <c r="AT152">
        <v>6.7591999999999999E-4</v>
      </c>
      <c r="AU152">
        <v>1983.13070742334</v>
      </c>
      <c r="AV152" s="16">
        <v>0</v>
      </c>
      <c r="AW152">
        <f t="shared" si="29"/>
        <v>0</v>
      </c>
    </row>
    <row r="153" spans="1:49" x14ac:dyDescent="0.3">
      <c r="A153">
        <v>7.6285999999999997E-4</v>
      </c>
      <c r="B153" s="16">
        <v>1796.05973318927</v>
      </c>
      <c r="C153" s="16">
        <v>4.2528481529155804E-3</v>
      </c>
      <c r="D153">
        <f t="shared" si="20"/>
        <v>7.638369318820037</v>
      </c>
      <c r="F153">
        <v>7.6285999999999997E-4</v>
      </c>
      <c r="G153">
        <v>1796.05973318927</v>
      </c>
      <c r="H153" s="16">
        <v>0</v>
      </c>
      <c r="I153">
        <f t="shared" si="21"/>
        <v>0</v>
      </c>
      <c r="K153">
        <v>7.6285999999999997E-4</v>
      </c>
      <c r="L153">
        <v>1796.05973318927</v>
      </c>
      <c r="M153" s="16">
        <v>0</v>
      </c>
      <c r="N153">
        <f t="shared" si="22"/>
        <v>0</v>
      </c>
      <c r="P153">
        <v>7.6285999999999997E-4</v>
      </c>
      <c r="Q153">
        <v>1796.05973318927</v>
      </c>
      <c r="R153" s="16">
        <v>0</v>
      </c>
      <c r="S153">
        <f t="shared" si="23"/>
        <v>0</v>
      </c>
      <c r="U153">
        <v>7.6285999999999997E-4</v>
      </c>
      <c r="V153">
        <v>1796.05973318927</v>
      </c>
      <c r="W153" s="16">
        <v>0</v>
      </c>
      <c r="X153">
        <f t="shared" si="24"/>
        <v>0</v>
      </c>
      <c r="Z153">
        <v>7.6285999999999997E-4</v>
      </c>
      <c r="AA153">
        <v>1796.05973318927</v>
      </c>
      <c r="AB153" s="16">
        <v>0</v>
      </c>
      <c r="AC153">
        <f t="shared" si="25"/>
        <v>0</v>
      </c>
      <c r="AE153">
        <v>7.6285999999999997E-4</v>
      </c>
      <c r="AF153">
        <v>1796.05973318927</v>
      </c>
      <c r="AG153" s="16">
        <v>0</v>
      </c>
      <c r="AH153">
        <f t="shared" si="26"/>
        <v>0</v>
      </c>
      <c r="AJ153">
        <v>7.6285999999999997E-4</v>
      </c>
      <c r="AK153">
        <v>1796.05973318927</v>
      </c>
      <c r="AL153" s="17">
        <v>2.8101156467202998E-5</v>
      </c>
      <c r="AM153">
        <f t="shared" si="27"/>
        <v>5.0471355586794546E-2</v>
      </c>
      <c r="AO153">
        <v>7.6285999999999997E-4</v>
      </c>
      <c r="AP153">
        <v>1796.05973318927</v>
      </c>
      <c r="AQ153" s="17">
        <v>3.9356491536207397E-8</v>
      </c>
      <c r="AR153">
        <f t="shared" si="28"/>
        <v>7.0686609687786416E-5</v>
      </c>
      <c r="AT153">
        <v>7.6285999999999997E-4</v>
      </c>
      <c r="AU153">
        <v>1796.05973318927</v>
      </c>
      <c r="AV153" s="16">
        <v>0</v>
      </c>
      <c r="AW153">
        <f t="shared" si="29"/>
        <v>0</v>
      </c>
    </row>
    <row r="154" spans="1:49" x14ac:dyDescent="0.3">
      <c r="A154">
        <v>8.6098000000000001E-4</v>
      </c>
      <c r="B154" s="16">
        <v>1728.39927642936</v>
      </c>
      <c r="C154" s="16">
        <v>4.3593789986010401E-3</v>
      </c>
      <c r="D154">
        <f t="shared" si="20"/>
        <v>7.5347475068633862</v>
      </c>
      <c r="F154">
        <v>8.6098000000000001E-4</v>
      </c>
      <c r="G154">
        <v>1728.39927642936</v>
      </c>
      <c r="H154" s="16">
        <v>0</v>
      </c>
      <c r="I154">
        <f t="shared" si="21"/>
        <v>0</v>
      </c>
      <c r="K154">
        <v>8.6098000000000001E-4</v>
      </c>
      <c r="L154">
        <v>1728.39927642936</v>
      </c>
      <c r="M154" s="16">
        <v>0</v>
      </c>
      <c r="N154">
        <f t="shared" si="22"/>
        <v>0</v>
      </c>
      <c r="P154">
        <v>8.6098000000000001E-4</v>
      </c>
      <c r="Q154">
        <v>1728.39927642936</v>
      </c>
      <c r="R154" s="16">
        <v>0</v>
      </c>
      <c r="S154">
        <f t="shared" si="23"/>
        <v>0</v>
      </c>
      <c r="U154">
        <v>8.6098000000000001E-4</v>
      </c>
      <c r="V154">
        <v>1728.39927642936</v>
      </c>
      <c r="W154" s="16">
        <v>0</v>
      </c>
      <c r="X154">
        <f t="shared" si="24"/>
        <v>0</v>
      </c>
      <c r="Z154">
        <v>8.6098000000000001E-4</v>
      </c>
      <c r="AA154">
        <v>1728.39927642936</v>
      </c>
      <c r="AB154" s="16">
        <v>0</v>
      </c>
      <c r="AC154">
        <f t="shared" si="25"/>
        <v>0</v>
      </c>
      <c r="AE154">
        <v>8.6098000000000001E-4</v>
      </c>
      <c r="AF154">
        <v>1728.39927642936</v>
      </c>
      <c r="AG154" s="16">
        <v>0</v>
      </c>
      <c r="AH154">
        <f t="shared" si="26"/>
        <v>0</v>
      </c>
      <c r="AJ154">
        <v>8.6098000000000001E-4</v>
      </c>
      <c r="AK154">
        <v>1728.39927642936</v>
      </c>
      <c r="AL154" s="17">
        <v>2.8821256596389099E-5</v>
      </c>
      <c r="AM154">
        <f t="shared" si="27"/>
        <v>4.9814639046983841E-2</v>
      </c>
      <c r="AO154">
        <v>8.6098000000000001E-4</v>
      </c>
      <c r="AP154">
        <v>1728.39927642936</v>
      </c>
      <c r="AQ154" s="17">
        <v>3.4788331442659402E-8</v>
      </c>
      <c r="AR154">
        <f t="shared" si="28"/>
        <v>6.0128126893677265E-5</v>
      </c>
      <c r="AT154">
        <v>8.6098000000000001E-4</v>
      </c>
      <c r="AU154">
        <v>1728.39927642936</v>
      </c>
      <c r="AV154" s="16">
        <v>0</v>
      </c>
      <c r="AW154">
        <f t="shared" si="29"/>
        <v>0</v>
      </c>
    </row>
    <row r="155" spans="1:49" x14ac:dyDescent="0.3">
      <c r="A155">
        <v>9.7172999999999997E-4</v>
      </c>
      <c r="B155" s="16">
        <v>1646.6169934844299</v>
      </c>
      <c r="C155" s="16">
        <v>2.0885562538030598E-3</v>
      </c>
      <c r="D155">
        <f t="shared" si="20"/>
        <v>3.4390522193602981</v>
      </c>
      <c r="F155">
        <v>9.7172999999999997E-4</v>
      </c>
      <c r="G155">
        <v>1646.6169934844299</v>
      </c>
      <c r="H155" s="16">
        <v>0</v>
      </c>
      <c r="I155">
        <f t="shared" si="21"/>
        <v>0</v>
      </c>
      <c r="K155">
        <v>9.7172999999999997E-4</v>
      </c>
      <c r="L155">
        <v>1646.6169934844299</v>
      </c>
      <c r="M155" s="16">
        <v>0</v>
      </c>
      <c r="N155">
        <f t="shared" si="22"/>
        <v>0</v>
      </c>
      <c r="P155">
        <v>9.7172999999999997E-4</v>
      </c>
      <c r="Q155">
        <v>1646.6169934844299</v>
      </c>
      <c r="R155" s="16">
        <v>0</v>
      </c>
      <c r="S155">
        <f t="shared" si="23"/>
        <v>0</v>
      </c>
      <c r="U155">
        <v>9.7172999999999997E-4</v>
      </c>
      <c r="V155">
        <v>1646.6169934844299</v>
      </c>
      <c r="W155" s="16">
        <v>0</v>
      </c>
      <c r="X155">
        <f t="shared" si="24"/>
        <v>0</v>
      </c>
      <c r="Z155">
        <v>9.7172999999999997E-4</v>
      </c>
      <c r="AA155">
        <v>1646.6169934844299</v>
      </c>
      <c r="AB155" s="16">
        <v>0</v>
      </c>
      <c r="AC155">
        <f t="shared" si="25"/>
        <v>0</v>
      </c>
      <c r="AE155">
        <v>9.7172999999999997E-4</v>
      </c>
      <c r="AF155">
        <v>1646.6169934844299</v>
      </c>
      <c r="AG155" s="16">
        <v>0</v>
      </c>
      <c r="AH155">
        <f t="shared" si="26"/>
        <v>0</v>
      </c>
      <c r="AJ155">
        <v>9.7172999999999997E-4</v>
      </c>
      <c r="AK155">
        <v>1646.6169934844299</v>
      </c>
      <c r="AL155" s="17">
        <v>3.0308187643108102E-5</v>
      </c>
      <c r="AM155">
        <f t="shared" si="27"/>
        <v>4.990597681485661E-2</v>
      </c>
      <c r="AO155">
        <v>9.7172999999999997E-4</v>
      </c>
      <c r="AP155">
        <v>1646.6169934844299</v>
      </c>
      <c r="AQ155" s="17">
        <v>3.0801338505038598E-8</v>
      </c>
      <c r="AR155">
        <f t="shared" si="28"/>
        <v>5.0718007404462864E-5</v>
      </c>
      <c r="AT155">
        <v>9.7172999999999997E-4</v>
      </c>
      <c r="AU155">
        <v>1646.6169934844299</v>
      </c>
      <c r="AV155" s="16">
        <v>0</v>
      </c>
      <c r="AW155">
        <f t="shared" si="29"/>
        <v>0</v>
      </c>
    </row>
    <row r="156" spans="1:49" x14ac:dyDescent="0.3">
      <c r="A156">
        <v>1.0966999999999999E-3</v>
      </c>
      <c r="B156" s="16">
        <v>1619.57148423586</v>
      </c>
      <c r="C156" s="16">
        <v>3.2495364515324398E-3</v>
      </c>
      <c r="D156">
        <f t="shared" si="20"/>
        <v>5.2628565738869231</v>
      </c>
      <c r="F156">
        <v>1.0966999999999999E-3</v>
      </c>
      <c r="G156">
        <v>1619.57148423586</v>
      </c>
      <c r="H156" s="16">
        <v>0</v>
      </c>
      <c r="I156">
        <f t="shared" si="21"/>
        <v>0</v>
      </c>
      <c r="K156">
        <v>1.0966999999999999E-3</v>
      </c>
      <c r="L156">
        <v>1619.57148423586</v>
      </c>
      <c r="M156" s="16">
        <v>0</v>
      </c>
      <c r="N156">
        <f t="shared" si="22"/>
        <v>0</v>
      </c>
      <c r="P156">
        <v>1.0966999999999999E-3</v>
      </c>
      <c r="Q156">
        <v>1619.57148423586</v>
      </c>
      <c r="R156" s="16">
        <v>0</v>
      </c>
      <c r="S156">
        <f t="shared" si="23"/>
        <v>0</v>
      </c>
      <c r="U156">
        <v>1.0966999999999999E-3</v>
      </c>
      <c r="V156">
        <v>1619.57148423586</v>
      </c>
      <c r="W156" s="16">
        <v>0</v>
      </c>
      <c r="X156">
        <f t="shared" si="24"/>
        <v>0</v>
      </c>
      <c r="Z156">
        <v>1.0966999999999999E-3</v>
      </c>
      <c r="AA156">
        <v>1619.57148423586</v>
      </c>
      <c r="AB156" s="16">
        <v>0</v>
      </c>
      <c r="AC156">
        <f t="shared" si="25"/>
        <v>0</v>
      </c>
      <c r="AE156">
        <v>1.0966999999999999E-3</v>
      </c>
      <c r="AF156">
        <v>1619.57148423586</v>
      </c>
      <c r="AG156" s="16">
        <v>0</v>
      </c>
      <c r="AH156">
        <f t="shared" si="26"/>
        <v>0</v>
      </c>
      <c r="AJ156">
        <v>1.0966999999999999E-3</v>
      </c>
      <c r="AK156">
        <v>1619.57148423586</v>
      </c>
      <c r="AL156" s="17">
        <v>3.22297860855769E-5</v>
      </c>
      <c r="AM156">
        <f t="shared" si="27"/>
        <v>5.2198442487222045E-2</v>
      </c>
      <c r="AO156">
        <v>1.0966999999999999E-3</v>
      </c>
      <c r="AP156">
        <v>1619.57148423586</v>
      </c>
      <c r="AQ156" s="17">
        <v>2.7725046018721599E-8</v>
      </c>
      <c r="AR156">
        <f t="shared" si="28"/>
        <v>4.4902693931048458E-5</v>
      </c>
      <c r="AT156">
        <v>1.0966999999999999E-3</v>
      </c>
      <c r="AU156">
        <v>1619.57148423586</v>
      </c>
      <c r="AV156" s="16">
        <v>0</v>
      </c>
      <c r="AW156">
        <f t="shared" si="29"/>
        <v>0</v>
      </c>
    </row>
    <row r="157" spans="1:49" x14ac:dyDescent="0.3">
      <c r="A157">
        <v>1.2378000000000001E-3</v>
      </c>
      <c r="B157" s="16">
        <v>1412.5011939707199</v>
      </c>
      <c r="C157" s="16">
        <v>2.2664999301195399E-3</v>
      </c>
      <c r="D157">
        <f t="shared" si="20"/>
        <v>3.2014338574284031</v>
      </c>
      <c r="F157">
        <v>1.2378000000000001E-3</v>
      </c>
      <c r="G157">
        <v>1412.5011939707199</v>
      </c>
      <c r="H157" s="16">
        <v>0</v>
      </c>
      <c r="I157">
        <f t="shared" si="21"/>
        <v>0</v>
      </c>
      <c r="K157">
        <v>1.2378000000000001E-3</v>
      </c>
      <c r="L157">
        <v>1412.5011939707199</v>
      </c>
      <c r="M157" s="16">
        <v>0</v>
      </c>
      <c r="N157">
        <f t="shared" si="22"/>
        <v>0</v>
      </c>
      <c r="P157">
        <v>1.2378000000000001E-3</v>
      </c>
      <c r="Q157">
        <v>1412.5011939707199</v>
      </c>
      <c r="R157" s="16">
        <v>0</v>
      </c>
      <c r="S157">
        <f t="shared" si="23"/>
        <v>0</v>
      </c>
      <c r="U157">
        <v>1.2378000000000001E-3</v>
      </c>
      <c r="V157">
        <v>1412.5011939707199</v>
      </c>
      <c r="W157" s="16">
        <v>0</v>
      </c>
      <c r="X157">
        <f t="shared" si="24"/>
        <v>0</v>
      </c>
      <c r="Z157">
        <v>1.2378000000000001E-3</v>
      </c>
      <c r="AA157">
        <v>1412.5011939707199</v>
      </c>
      <c r="AB157" s="16">
        <v>0</v>
      </c>
      <c r="AC157">
        <f t="shared" si="25"/>
        <v>0</v>
      </c>
      <c r="AE157">
        <v>1.2378000000000001E-3</v>
      </c>
      <c r="AF157">
        <v>1412.5011939707199</v>
      </c>
      <c r="AG157" s="16">
        <v>0</v>
      </c>
      <c r="AH157">
        <f t="shared" si="26"/>
        <v>0</v>
      </c>
      <c r="AJ157">
        <v>1.2378000000000001E-3</v>
      </c>
      <c r="AK157">
        <v>1412.5011939707199</v>
      </c>
      <c r="AL157" s="17">
        <v>3.5352049675726101E-5</v>
      </c>
      <c r="AM157">
        <f t="shared" si="27"/>
        <v>4.9934812376275318E-2</v>
      </c>
      <c r="AO157">
        <v>1.2378000000000001E-3</v>
      </c>
      <c r="AP157">
        <v>1412.5011939707199</v>
      </c>
      <c r="AQ157" s="17">
        <v>2.5610319894651801E-8</v>
      </c>
      <c r="AR157">
        <f t="shared" si="28"/>
        <v>3.6174607429167752E-5</v>
      </c>
      <c r="AT157">
        <v>1.2378000000000001E-3</v>
      </c>
      <c r="AU157">
        <v>1412.5011939707199</v>
      </c>
      <c r="AV157" s="16">
        <v>0</v>
      </c>
      <c r="AW157">
        <f t="shared" si="29"/>
        <v>0</v>
      </c>
    </row>
    <row r="158" spans="1:49" x14ac:dyDescent="0.3">
      <c r="A158">
        <v>1.397E-3</v>
      </c>
      <c r="B158" s="16">
        <v>1911.8490159775799</v>
      </c>
      <c r="C158" s="16">
        <v>2.0976041879323601E-3</v>
      </c>
      <c r="D158">
        <f t="shared" si="20"/>
        <v>4.0103025026089334</v>
      </c>
      <c r="F158">
        <v>1.397E-3</v>
      </c>
      <c r="G158">
        <v>1911.8490159775799</v>
      </c>
      <c r="H158" s="16">
        <v>0</v>
      </c>
      <c r="I158">
        <f t="shared" si="21"/>
        <v>0</v>
      </c>
      <c r="K158">
        <v>1.397E-3</v>
      </c>
      <c r="L158">
        <v>1911.8490159775799</v>
      </c>
      <c r="M158" s="16">
        <v>0</v>
      </c>
      <c r="N158">
        <f t="shared" si="22"/>
        <v>0</v>
      </c>
      <c r="P158">
        <v>1.397E-3</v>
      </c>
      <c r="Q158">
        <v>1911.8490159775799</v>
      </c>
      <c r="R158" s="16">
        <v>0</v>
      </c>
      <c r="S158">
        <f t="shared" si="23"/>
        <v>0</v>
      </c>
      <c r="U158">
        <v>1.397E-3</v>
      </c>
      <c r="V158">
        <v>1911.8490159775799</v>
      </c>
      <c r="W158" s="16">
        <v>0</v>
      </c>
      <c r="X158">
        <f t="shared" si="24"/>
        <v>0</v>
      </c>
      <c r="Z158">
        <v>1.397E-3</v>
      </c>
      <c r="AA158">
        <v>1911.8490159775799</v>
      </c>
      <c r="AB158" s="16">
        <v>0</v>
      </c>
      <c r="AC158">
        <f t="shared" si="25"/>
        <v>0</v>
      </c>
      <c r="AE158">
        <v>1.397E-3</v>
      </c>
      <c r="AF158">
        <v>1911.8490159775799</v>
      </c>
      <c r="AG158" s="16">
        <v>0</v>
      </c>
      <c r="AH158">
        <f t="shared" si="26"/>
        <v>0</v>
      </c>
      <c r="AJ158">
        <v>1.397E-3</v>
      </c>
      <c r="AK158">
        <v>1911.8490159775799</v>
      </c>
      <c r="AL158" s="17">
        <v>4.1140459530157601E-5</v>
      </c>
      <c r="AM158">
        <f t="shared" si="27"/>
        <v>7.8654347069597258E-2</v>
      </c>
      <c r="AO158">
        <v>1.397E-3</v>
      </c>
      <c r="AP158">
        <v>1911.8490159775799</v>
      </c>
      <c r="AQ158" s="17">
        <v>5.2623368441298197E-7</v>
      </c>
      <c r="AR158">
        <f t="shared" si="28"/>
        <v>1.0060793517192158E-3</v>
      </c>
      <c r="AT158">
        <v>1.397E-3</v>
      </c>
      <c r="AU158">
        <v>1911.8490159775799</v>
      </c>
      <c r="AV158" s="16">
        <v>0</v>
      </c>
      <c r="AW158">
        <f t="shared" si="29"/>
        <v>0</v>
      </c>
    </row>
    <row r="159" spans="1:49" x14ac:dyDescent="0.3">
      <c r="A159">
        <v>1.5767000000000001E-3</v>
      </c>
      <c r="B159" s="16">
        <v>1757.6282859088201</v>
      </c>
      <c r="C159" s="16">
        <v>1.74587384981775E-3</v>
      </c>
      <c r="D159">
        <f t="shared" si="20"/>
        <v>3.0685972620682049</v>
      </c>
      <c r="F159">
        <v>1.5767000000000001E-3</v>
      </c>
      <c r="G159">
        <v>1757.6282859088201</v>
      </c>
      <c r="H159" s="16">
        <v>0</v>
      </c>
      <c r="I159">
        <f t="shared" si="21"/>
        <v>0</v>
      </c>
      <c r="K159">
        <v>1.5767000000000001E-3</v>
      </c>
      <c r="L159">
        <v>1757.6282859088201</v>
      </c>
      <c r="M159" s="16">
        <v>0</v>
      </c>
      <c r="N159">
        <f t="shared" si="22"/>
        <v>0</v>
      </c>
      <c r="P159">
        <v>1.5767000000000001E-3</v>
      </c>
      <c r="Q159">
        <v>1757.6282859088201</v>
      </c>
      <c r="R159" s="16">
        <v>0</v>
      </c>
      <c r="S159">
        <f t="shared" si="23"/>
        <v>0</v>
      </c>
      <c r="U159">
        <v>1.5767000000000001E-3</v>
      </c>
      <c r="V159">
        <v>1757.6282859088201</v>
      </c>
      <c r="W159" s="16">
        <v>0</v>
      </c>
      <c r="X159">
        <f t="shared" si="24"/>
        <v>0</v>
      </c>
      <c r="Z159">
        <v>1.5767000000000001E-3</v>
      </c>
      <c r="AA159">
        <v>1757.6282859088201</v>
      </c>
      <c r="AB159" s="16">
        <v>0</v>
      </c>
      <c r="AC159">
        <f t="shared" si="25"/>
        <v>0</v>
      </c>
      <c r="AE159">
        <v>1.5767000000000001E-3</v>
      </c>
      <c r="AF159">
        <v>1757.6282859088201</v>
      </c>
      <c r="AG159" s="16">
        <v>0</v>
      </c>
      <c r="AH159">
        <f t="shared" si="26"/>
        <v>0</v>
      </c>
      <c r="AJ159">
        <v>1.5767000000000001E-3</v>
      </c>
      <c r="AK159">
        <v>1757.6282859088201</v>
      </c>
      <c r="AL159" s="17">
        <v>4.8022750474227598E-5</v>
      </c>
      <c r="AM159">
        <f t="shared" si="27"/>
        <v>8.4406144600643634E-2</v>
      </c>
      <c r="AO159">
        <v>1.5767000000000001E-3</v>
      </c>
      <c r="AP159">
        <v>1757.6282859088201</v>
      </c>
      <c r="AQ159" s="17">
        <v>2.4215189033966802E-8</v>
      </c>
      <c r="AR159">
        <f t="shared" si="28"/>
        <v>4.2561301194729125E-5</v>
      </c>
      <c r="AT159">
        <v>1.5767000000000001E-3</v>
      </c>
      <c r="AU159">
        <v>1757.6282859088201</v>
      </c>
      <c r="AV159" s="16">
        <v>0</v>
      </c>
      <c r="AW159">
        <f t="shared" si="29"/>
        <v>0</v>
      </c>
    </row>
    <row r="160" spans="1:49" x14ac:dyDescent="0.3">
      <c r="A160">
        <v>1.7795E-3</v>
      </c>
      <c r="B160" s="16">
        <v>1742.8748065428199</v>
      </c>
      <c r="C160" s="16">
        <v>1.5154374408993499E-3</v>
      </c>
      <c r="D160">
        <f t="shared" si="20"/>
        <v>2.6412177366352005</v>
      </c>
      <c r="F160">
        <v>1.7795E-3</v>
      </c>
      <c r="G160">
        <v>1742.8748065428199</v>
      </c>
      <c r="H160" s="16">
        <v>0</v>
      </c>
      <c r="I160">
        <f t="shared" si="21"/>
        <v>0</v>
      </c>
      <c r="K160">
        <v>1.7795E-3</v>
      </c>
      <c r="L160">
        <v>1742.8748065428199</v>
      </c>
      <c r="M160" s="16">
        <v>0</v>
      </c>
      <c r="N160">
        <f t="shared" si="22"/>
        <v>0</v>
      </c>
      <c r="P160">
        <v>1.7795E-3</v>
      </c>
      <c r="Q160">
        <v>1742.8748065428199</v>
      </c>
      <c r="R160" s="16">
        <v>0</v>
      </c>
      <c r="S160">
        <f t="shared" si="23"/>
        <v>0</v>
      </c>
      <c r="U160">
        <v>1.7795E-3</v>
      </c>
      <c r="V160">
        <v>1742.8748065428199</v>
      </c>
      <c r="W160" s="16">
        <v>0</v>
      </c>
      <c r="X160">
        <f t="shared" si="24"/>
        <v>0</v>
      </c>
      <c r="Z160">
        <v>1.7795E-3</v>
      </c>
      <c r="AA160">
        <v>1742.8748065428199</v>
      </c>
      <c r="AB160" s="16">
        <v>0</v>
      </c>
      <c r="AC160">
        <f t="shared" si="25"/>
        <v>0</v>
      </c>
      <c r="AE160">
        <v>1.7795E-3</v>
      </c>
      <c r="AF160">
        <v>1742.8748065428199</v>
      </c>
      <c r="AG160" s="16">
        <v>0</v>
      </c>
      <c r="AH160">
        <f t="shared" si="26"/>
        <v>0</v>
      </c>
      <c r="AJ160">
        <v>1.7795E-3</v>
      </c>
      <c r="AK160">
        <v>1742.8748065428199</v>
      </c>
      <c r="AL160" s="17">
        <v>6.0713561603250002E-5</v>
      </c>
      <c r="AM160">
        <f t="shared" si="27"/>
        <v>0.10581613693378993</v>
      </c>
      <c r="AO160">
        <v>1.7795E-3</v>
      </c>
      <c r="AP160">
        <v>1742.8748065428199</v>
      </c>
      <c r="AQ160" s="17">
        <v>2.0504200334056901E-8</v>
      </c>
      <c r="AR160">
        <f t="shared" si="28"/>
        <v>3.5736254190534647E-5</v>
      </c>
      <c r="AT160">
        <v>1.7795E-3</v>
      </c>
      <c r="AU160">
        <v>1742.8748065428199</v>
      </c>
      <c r="AV160" s="16">
        <v>0</v>
      </c>
      <c r="AW160">
        <f t="shared" si="29"/>
        <v>0</v>
      </c>
    </row>
    <row r="161" spans="1:49" x14ac:dyDescent="0.3">
      <c r="A161">
        <v>2.0084E-3</v>
      </c>
      <c r="B161" s="16">
        <v>1698.8033442078299</v>
      </c>
      <c r="C161" s="16">
        <v>1.0878402734523099E-3</v>
      </c>
      <c r="D161">
        <f t="shared" si="20"/>
        <v>1.8480266945047443</v>
      </c>
      <c r="F161">
        <v>2.0084E-3</v>
      </c>
      <c r="G161">
        <v>1698.8033442078299</v>
      </c>
      <c r="H161" s="16">
        <v>0</v>
      </c>
      <c r="I161">
        <f t="shared" si="21"/>
        <v>0</v>
      </c>
      <c r="K161">
        <v>2.0084E-3</v>
      </c>
      <c r="L161">
        <v>1698.8033442078299</v>
      </c>
      <c r="M161" s="16">
        <v>0</v>
      </c>
      <c r="N161">
        <f t="shared" si="22"/>
        <v>0</v>
      </c>
      <c r="P161">
        <v>2.0084E-3</v>
      </c>
      <c r="Q161">
        <v>1698.8033442078299</v>
      </c>
      <c r="R161" s="16">
        <v>0</v>
      </c>
      <c r="S161">
        <f t="shared" si="23"/>
        <v>0</v>
      </c>
      <c r="U161">
        <v>2.0084E-3</v>
      </c>
      <c r="V161">
        <v>1698.8033442078299</v>
      </c>
      <c r="W161" s="16">
        <v>0</v>
      </c>
      <c r="X161">
        <f t="shared" si="24"/>
        <v>0</v>
      </c>
      <c r="Z161">
        <v>2.0084E-3</v>
      </c>
      <c r="AA161">
        <v>1698.8033442078299</v>
      </c>
      <c r="AB161" s="16">
        <v>0</v>
      </c>
      <c r="AC161">
        <f t="shared" si="25"/>
        <v>0</v>
      </c>
      <c r="AE161">
        <v>2.0084E-3</v>
      </c>
      <c r="AF161">
        <v>1698.8033442078299</v>
      </c>
      <c r="AG161" s="16">
        <v>0</v>
      </c>
      <c r="AH161">
        <f t="shared" si="26"/>
        <v>0</v>
      </c>
      <c r="AJ161">
        <v>2.0084E-3</v>
      </c>
      <c r="AK161">
        <v>1698.8033442078299</v>
      </c>
      <c r="AL161" s="17">
        <v>8.7963173815051895E-5</v>
      </c>
      <c r="AM161">
        <f t="shared" si="27"/>
        <v>0.14943213384414478</v>
      </c>
      <c r="AO161">
        <v>2.0084E-3</v>
      </c>
      <c r="AP161">
        <v>1698.8033442078299</v>
      </c>
      <c r="AQ161" s="17">
        <v>1.9586178622460701E-8</v>
      </c>
      <c r="AR161">
        <f t="shared" si="28"/>
        <v>3.327306574408815E-5</v>
      </c>
      <c r="AT161">
        <v>2.0084E-3</v>
      </c>
      <c r="AU161">
        <v>1698.8033442078299</v>
      </c>
      <c r="AV161" s="16">
        <v>0</v>
      </c>
      <c r="AW161">
        <f t="shared" si="29"/>
        <v>0</v>
      </c>
    </row>
    <row r="162" spans="1:49" x14ac:dyDescent="0.3">
      <c r="A162">
        <v>2.2667E-3</v>
      </c>
      <c r="B162" s="16">
        <v>1747.8566182449299</v>
      </c>
      <c r="C162" s="16">
        <v>6.2316842075810003E-4</v>
      </c>
      <c r="D162">
        <f t="shared" si="20"/>
        <v>1.0892090485032864</v>
      </c>
      <c r="F162">
        <v>2.2667E-3</v>
      </c>
      <c r="G162">
        <v>1747.8566182449299</v>
      </c>
      <c r="H162" s="16">
        <v>0</v>
      </c>
      <c r="I162">
        <f t="shared" si="21"/>
        <v>0</v>
      </c>
      <c r="K162">
        <v>2.2667E-3</v>
      </c>
      <c r="L162">
        <v>1747.8566182449299</v>
      </c>
      <c r="M162" s="16">
        <v>0</v>
      </c>
      <c r="N162">
        <f t="shared" si="22"/>
        <v>0</v>
      </c>
      <c r="P162">
        <v>2.2667E-3</v>
      </c>
      <c r="Q162">
        <v>1747.8566182449299</v>
      </c>
      <c r="R162" s="16">
        <v>0</v>
      </c>
      <c r="S162">
        <f t="shared" si="23"/>
        <v>0</v>
      </c>
      <c r="U162">
        <v>2.2667E-3</v>
      </c>
      <c r="V162">
        <v>1747.8566182449299</v>
      </c>
      <c r="W162" s="16">
        <v>0</v>
      </c>
      <c r="X162">
        <f t="shared" si="24"/>
        <v>0</v>
      </c>
      <c r="Z162">
        <v>2.2667E-3</v>
      </c>
      <c r="AA162">
        <v>1747.8566182449299</v>
      </c>
      <c r="AB162" s="16">
        <v>0</v>
      </c>
      <c r="AC162">
        <f t="shared" si="25"/>
        <v>0</v>
      </c>
      <c r="AE162">
        <v>2.2667E-3</v>
      </c>
      <c r="AF162">
        <v>1747.8566182449299</v>
      </c>
      <c r="AG162" s="16">
        <v>0</v>
      </c>
      <c r="AH162">
        <f t="shared" si="26"/>
        <v>0</v>
      </c>
      <c r="AJ162">
        <v>2.2667E-3</v>
      </c>
      <c r="AK162">
        <v>1747.8566182449299</v>
      </c>
      <c r="AL162" s="16">
        <v>1.5469220888940301E-4</v>
      </c>
      <c r="AM162">
        <f t="shared" si="27"/>
        <v>0.27037980109827026</v>
      </c>
      <c r="AO162">
        <v>2.2667E-3</v>
      </c>
      <c r="AP162">
        <v>1747.8566182449299</v>
      </c>
      <c r="AQ162" s="17">
        <v>2.2296980372208599E-8</v>
      </c>
      <c r="AR162">
        <f t="shared" si="28"/>
        <v>3.8971924710442099E-5</v>
      </c>
      <c r="AT162">
        <v>2.2667E-3</v>
      </c>
      <c r="AU162">
        <v>1747.8566182449299</v>
      </c>
      <c r="AV162" s="16">
        <v>0</v>
      </c>
      <c r="AW162">
        <f t="shared" si="29"/>
        <v>0</v>
      </c>
    </row>
    <row r="163" spans="1:49" x14ac:dyDescent="0.3">
      <c r="A163">
        <v>2.5582000000000001E-3</v>
      </c>
      <c r="B163" s="16">
        <v>1819.25067042653</v>
      </c>
      <c r="C163" s="16">
        <v>5.6925270112579297E-4</v>
      </c>
      <c r="D163">
        <f t="shared" si="20"/>
        <v>1.0356133581652118</v>
      </c>
      <c r="F163">
        <v>2.5582000000000001E-3</v>
      </c>
      <c r="G163">
        <v>1819.25067042653</v>
      </c>
      <c r="H163" s="16">
        <v>0</v>
      </c>
      <c r="I163">
        <f t="shared" si="21"/>
        <v>0</v>
      </c>
      <c r="K163">
        <v>2.5582000000000001E-3</v>
      </c>
      <c r="L163">
        <v>1819.25067042653</v>
      </c>
      <c r="M163" s="16">
        <v>0</v>
      </c>
      <c r="N163">
        <f t="shared" si="22"/>
        <v>0</v>
      </c>
      <c r="P163">
        <v>2.5582000000000001E-3</v>
      </c>
      <c r="Q163">
        <v>1819.25067042653</v>
      </c>
      <c r="R163" s="16">
        <v>0</v>
      </c>
      <c r="S163">
        <f t="shared" si="23"/>
        <v>0</v>
      </c>
      <c r="U163">
        <v>2.5582000000000001E-3</v>
      </c>
      <c r="V163">
        <v>1819.25067042653</v>
      </c>
      <c r="W163" s="16">
        <v>0</v>
      </c>
      <c r="X163">
        <f t="shared" si="24"/>
        <v>0</v>
      </c>
      <c r="Z163">
        <v>2.5582000000000001E-3</v>
      </c>
      <c r="AA163">
        <v>1819.25067042653</v>
      </c>
      <c r="AB163" s="16">
        <v>0</v>
      </c>
      <c r="AC163">
        <f t="shared" si="25"/>
        <v>0</v>
      </c>
      <c r="AE163">
        <v>2.5582000000000001E-3</v>
      </c>
      <c r="AF163">
        <v>1819.25067042653</v>
      </c>
      <c r="AG163" s="16">
        <v>0</v>
      </c>
      <c r="AH163">
        <f t="shared" si="26"/>
        <v>0</v>
      </c>
      <c r="AJ163">
        <v>2.5582000000000001E-3</v>
      </c>
      <c r="AK163">
        <v>1819.25067042653</v>
      </c>
      <c r="AL163" s="16">
        <v>3.8503583613145898E-4</v>
      </c>
      <c r="AM163">
        <f t="shared" si="27"/>
        <v>0.70047670302039633</v>
      </c>
      <c r="AO163">
        <v>2.5582000000000001E-3</v>
      </c>
      <c r="AP163">
        <v>1819.25067042653</v>
      </c>
      <c r="AQ163" s="17">
        <v>5.8570181707642703E-7</v>
      </c>
      <c r="AR163">
        <f t="shared" si="28"/>
        <v>1.0655384233863266E-3</v>
      </c>
      <c r="AT163">
        <v>2.5582000000000001E-3</v>
      </c>
      <c r="AU163">
        <v>1819.25067042653</v>
      </c>
      <c r="AV163" s="16">
        <v>0</v>
      </c>
      <c r="AW163">
        <f t="shared" si="29"/>
        <v>0</v>
      </c>
    </row>
    <row r="164" spans="1:49" x14ac:dyDescent="0.3">
      <c r="A164">
        <v>2.8873000000000002E-3</v>
      </c>
      <c r="B164" s="16">
        <v>1677.23799255061</v>
      </c>
      <c r="C164" s="16">
        <v>5.2417577059558397E-4</v>
      </c>
      <c r="D164">
        <f t="shared" si="20"/>
        <v>0.87916751721740627</v>
      </c>
      <c r="F164">
        <v>2.8873000000000002E-3</v>
      </c>
      <c r="G164">
        <v>1677.23799255061</v>
      </c>
      <c r="H164" s="16">
        <v>0</v>
      </c>
      <c r="I164">
        <f t="shared" si="21"/>
        <v>0</v>
      </c>
      <c r="K164">
        <v>2.8873000000000002E-3</v>
      </c>
      <c r="L164">
        <v>1677.23799255061</v>
      </c>
      <c r="M164" s="16">
        <v>0</v>
      </c>
      <c r="N164">
        <f t="shared" si="22"/>
        <v>0</v>
      </c>
      <c r="P164">
        <v>2.8873000000000002E-3</v>
      </c>
      <c r="Q164">
        <v>1677.23799255061</v>
      </c>
      <c r="R164" s="16">
        <v>0</v>
      </c>
      <c r="S164">
        <f t="shared" si="23"/>
        <v>0</v>
      </c>
      <c r="U164">
        <v>2.8873000000000002E-3</v>
      </c>
      <c r="V164">
        <v>1677.23799255061</v>
      </c>
      <c r="W164" s="16">
        <v>0</v>
      </c>
      <c r="X164">
        <f t="shared" si="24"/>
        <v>0</v>
      </c>
      <c r="Z164">
        <v>2.8873000000000002E-3</v>
      </c>
      <c r="AA164">
        <v>1677.23799255061</v>
      </c>
      <c r="AB164" s="16">
        <v>0</v>
      </c>
      <c r="AC164">
        <f t="shared" si="25"/>
        <v>0</v>
      </c>
      <c r="AE164">
        <v>2.8873000000000002E-3</v>
      </c>
      <c r="AF164">
        <v>1677.23799255061</v>
      </c>
      <c r="AG164" s="16">
        <v>0</v>
      </c>
      <c r="AH164">
        <f t="shared" si="26"/>
        <v>0</v>
      </c>
      <c r="AJ164">
        <v>2.8873000000000002E-3</v>
      </c>
      <c r="AK164">
        <v>1677.23799255061</v>
      </c>
      <c r="AL164" s="16">
        <v>1.4132094269298E-3</v>
      </c>
      <c r="AM164">
        <f t="shared" si="27"/>
        <v>2.3702885422773359</v>
      </c>
      <c r="AO164">
        <v>2.8873000000000002E-3</v>
      </c>
      <c r="AP164">
        <v>1677.23799255061</v>
      </c>
      <c r="AQ164" s="17">
        <v>2.4212985925152802E-6</v>
      </c>
      <c r="AR164">
        <f t="shared" si="28"/>
        <v>4.0610939906759458E-3</v>
      </c>
      <c r="AT164">
        <v>2.8873000000000002E-3</v>
      </c>
      <c r="AU164">
        <v>1677.23799255061</v>
      </c>
      <c r="AV164" s="16">
        <v>0</v>
      </c>
      <c r="AW164">
        <f t="shared" si="29"/>
        <v>0</v>
      </c>
    </row>
    <row r="165" spans="1:49" x14ac:dyDescent="0.3">
      <c r="A165">
        <v>3.2586999999999998E-3</v>
      </c>
      <c r="B165" s="16">
        <v>1444.15282314358</v>
      </c>
      <c r="C165" s="16">
        <v>5.01906813311292E-4</v>
      </c>
      <c r="D165">
        <f t="shared" si="20"/>
        <v>0.72483014139850011</v>
      </c>
      <c r="F165">
        <v>3.2586999999999998E-3</v>
      </c>
      <c r="G165">
        <v>1444.15282314358</v>
      </c>
      <c r="H165" s="16">
        <v>0</v>
      </c>
      <c r="I165">
        <f t="shared" si="21"/>
        <v>0</v>
      </c>
      <c r="K165">
        <v>3.2586999999999998E-3</v>
      </c>
      <c r="L165">
        <v>1444.15282314358</v>
      </c>
      <c r="M165" s="16">
        <v>0</v>
      </c>
      <c r="N165">
        <f t="shared" si="22"/>
        <v>0</v>
      </c>
      <c r="P165">
        <v>3.2586999999999998E-3</v>
      </c>
      <c r="Q165">
        <v>1444.15282314358</v>
      </c>
      <c r="R165" s="16">
        <v>0</v>
      </c>
      <c r="S165">
        <f t="shared" si="23"/>
        <v>0</v>
      </c>
      <c r="U165">
        <v>3.2586999999999998E-3</v>
      </c>
      <c r="V165">
        <v>1444.15282314358</v>
      </c>
      <c r="W165" s="16">
        <v>0</v>
      </c>
      <c r="X165">
        <f t="shared" si="24"/>
        <v>0</v>
      </c>
      <c r="Z165">
        <v>3.2586999999999998E-3</v>
      </c>
      <c r="AA165">
        <v>1444.15282314358</v>
      </c>
      <c r="AB165" s="16">
        <v>0</v>
      </c>
      <c r="AC165">
        <f t="shared" si="25"/>
        <v>0</v>
      </c>
      <c r="AE165">
        <v>3.2586999999999998E-3</v>
      </c>
      <c r="AF165">
        <v>1444.15282314358</v>
      </c>
      <c r="AG165" s="16">
        <v>0</v>
      </c>
      <c r="AH165">
        <f t="shared" si="26"/>
        <v>0</v>
      </c>
      <c r="AJ165">
        <v>3.2586999999999998E-3</v>
      </c>
      <c r="AK165">
        <v>1444.15282314358</v>
      </c>
      <c r="AL165" s="16">
        <v>6.0150049639647605E-4</v>
      </c>
      <c r="AM165">
        <f t="shared" si="27"/>
        <v>0.86865863999323567</v>
      </c>
      <c r="AO165">
        <v>3.2586999999999998E-3</v>
      </c>
      <c r="AP165">
        <v>1444.15282314358</v>
      </c>
      <c r="AQ165" s="17">
        <v>2.6824723154515302E-8</v>
      </c>
      <c r="AR165">
        <f t="shared" si="28"/>
        <v>3.8738999673638229E-5</v>
      </c>
      <c r="AT165">
        <v>3.2586999999999998E-3</v>
      </c>
      <c r="AU165">
        <v>1444.15282314358</v>
      </c>
      <c r="AV165" s="16">
        <v>0</v>
      </c>
      <c r="AW165">
        <f t="shared" si="29"/>
        <v>0</v>
      </c>
    </row>
    <row r="166" spans="1:49" x14ac:dyDescent="0.3">
      <c r="A166">
        <v>3.6778000000000002E-3</v>
      </c>
      <c r="B166" s="16">
        <v>1740.0376313870399</v>
      </c>
      <c r="C166" s="16">
        <v>4.6486618170150403E-4</v>
      </c>
      <c r="D166">
        <f t="shared" si="20"/>
        <v>0.80888464971982244</v>
      </c>
      <c r="F166">
        <v>3.6778000000000002E-3</v>
      </c>
      <c r="G166">
        <v>1740.0376313870399</v>
      </c>
      <c r="H166" s="16">
        <v>0</v>
      </c>
      <c r="I166">
        <f t="shared" si="21"/>
        <v>0</v>
      </c>
      <c r="K166">
        <v>3.6778000000000002E-3</v>
      </c>
      <c r="L166">
        <v>1740.0376313870399</v>
      </c>
      <c r="M166" s="16">
        <v>0</v>
      </c>
      <c r="N166">
        <f t="shared" si="22"/>
        <v>0</v>
      </c>
      <c r="P166">
        <v>3.6778000000000002E-3</v>
      </c>
      <c r="Q166">
        <v>1740.0376313870399</v>
      </c>
      <c r="R166" s="16">
        <v>0</v>
      </c>
      <c r="S166">
        <f t="shared" si="23"/>
        <v>0</v>
      </c>
      <c r="U166">
        <v>3.6778000000000002E-3</v>
      </c>
      <c r="V166">
        <v>1740.0376313870399</v>
      </c>
      <c r="W166" s="16">
        <v>0</v>
      </c>
      <c r="X166">
        <f t="shared" si="24"/>
        <v>0</v>
      </c>
      <c r="Z166">
        <v>3.6778000000000002E-3</v>
      </c>
      <c r="AA166">
        <v>1740.0376313870399</v>
      </c>
      <c r="AB166" s="16">
        <v>0</v>
      </c>
      <c r="AC166">
        <f t="shared" si="25"/>
        <v>0</v>
      </c>
      <c r="AE166">
        <v>3.6778000000000002E-3</v>
      </c>
      <c r="AF166">
        <v>1740.0376313870399</v>
      </c>
      <c r="AG166" s="16">
        <v>0</v>
      </c>
      <c r="AH166">
        <f t="shared" si="26"/>
        <v>0</v>
      </c>
      <c r="AJ166">
        <v>3.6778000000000002E-3</v>
      </c>
      <c r="AK166">
        <v>1740.0376313870399</v>
      </c>
      <c r="AL166" s="16">
        <v>1.3094414946976699E-4</v>
      </c>
      <c r="AM166">
        <f t="shared" si="27"/>
        <v>0.22784774768736388</v>
      </c>
      <c r="AO166">
        <v>3.6778000000000002E-3</v>
      </c>
      <c r="AP166">
        <v>1740.0376313870399</v>
      </c>
      <c r="AQ166" s="17">
        <v>3.5632553420973898E-8</v>
      </c>
      <c r="AR166">
        <f t="shared" si="28"/>
        <v>6.2001983854903585E-5</v>
      </c>
      <c r="AT166">
        <v>3.6778000000000002E-3</v>
      </c>
      <c r="AU166">
        <v>1740.0376313870399</v>
      </c>
      <c r="AV166" s="16">
        <v>0</v>
      </c>
      <c r="AW166">
        <f t="shared" si="29"/>
        <v>0</v>
      </c>
    </row>
    <row r="167" spans="1:49" x14ac:dyDescent="0.3">
      <c r="A167">
        <v>4.1508999999999999E-3</v>
      </c>
      <c r="B167" s="16">
        <v>1314.6318201669901</v>
      </c>
      <c r="C167" s="16">
        <v>4.31999392926912E-4</v>
      </c>
      <c r="D167">
        <f t="shared" si="20"/>
        <v>0.56792014823454107</v>
      </c>
      <c r="F167">
        <v>4.1508999999999999E-3</v>
      </c>
      <c r="G167">
        <v>1314.6318201669901</v>
      </c>
      <c r="H167" s="16">
        <v>0</v>
      </c>
      <c r="I167">
        <f t="shared" si="21"/>
        <v>0</v>
      </c>
      <c r="K167">
        <v>4.1508999999999999E-3</v>
      </c>
      <c r="L167">
        <v>1314.6318201669901</v>
      </c>
      <c r="M167" s="16">
        <v>0</v>
      </c>
      <c r="N167">
        <f t="shared" si="22"/>
        <v>0</v>
      </c>
      <c r="P167">
        <v>4.1508999999999999E-3</v>
      </c>
      <c r="Q167">
        <v>1314.6318201669901</v>
      </c>
      <c r="R167" s="16">
        <v>0</v>
      </c>
      <c r="S167">
        <f t="shared" si="23"/>
        <v>0</v>
      </c>
      <c r="U167">
        <v>4.1508999999999999E-3</v>
      </c>
      <c r="V167">
        <v>1314.6318201669901</v>
      </c>
      <c r="W167" s="16">
        <v>0</v>
      </c>
      <c r="X167">
        <f t="shared" si="24"/>
        <v>0</v>
      </c>
      <c r="Z167">
        <v>4.1508999999999999E-3</v>
      </c>
      <c r="AA167">
        <v>1314.6318201669901</v>
      </c>
      <c r="AB167" s="16">
        <v>0</v>
      </c>
      <c r="AC167">
        <f t="shared" si="25"/>
        <v>0</v>
      </c>
      <c r="AE167">
        <v>4.1508999999999999E-3</v>
      </c>
      <c r="AF167">
        <v>1314.6318201669901</v>
      </c>
      <c r="AG167" s="16">
        <v>0</v>
      </c>
      <c r="AH167">
        <f t="shared" si="26"/>
        <v>0</v>
      </c>
      <c r="AJ167">
        <v>4.1508999999999999E-3</v>
      </c>
      <c r="AK167">
        <v>1314.6318201669901</v>
      </c>
      <c r="AL167" s="17">
        <v>4.4529536819636601E-5</v>
      </c>
      <c r="AM167">
        <f t="shared" si="27"/>
        <v>5.8539946040391866E-2</v>
      </c>
      <c r="AO167">
        <v>4.1508999999999999E-3</v>
      </c>
      <c r="AP167">
        <v>1314.6318201669901</v>
      </c>
      <c r="AQ167" s="17">
        <v>1.25106279808944E-6</v>
      </c>
      <c r="AR167">
        <f t="shared" si="28"/>
        <v>1.6446869633955281E-3</v>
      </c>
      <c r="AT167">
        <v>4.1508999999999999E-3</v>
      </c>
      <c r="AU167">
        <v>1314.6318201669901</v>
      </c>
      <c r="AV167" s="16">
        <v>0</v>
      </c>
      <c r="AW167">
        <f t="shared" si="29"/>
        <v>0</v>
      </c>
    </row>
    <row r="168" spans="1:49" x14ac:dyDescent="0.3">
      <c r="A168">
        <v>4.6848000000000002E-3</v>
      </c>
      <c r="B168" s="16">
        <v>1537.6715385560501</v>
      </c>
      <c r="C168" s="16">
        <v>4.0543455689217602E-4</v>
      </c>
      <c r="D168">
        <f t="shared" si="20"/>
        <v>0.62342517888018267</v>
      </c>
      <c r="F168">
        <v>4.6848000000000002E-3</v>
      </c>
      <c r="G168">
        <v>1537.6715385560501</v>
      </c>
      <c r="H168" s="16">
        <v>0</v>
      </c>
      <c r="I168">
        <f t="shared" si="21"/>
        <v>0</v>
      </c>
      <c r="K168">
        <v>4.6848000000000002E-3</v>
      </c>
      <c r="L168">
        <v>1537.6715385560501</v>
      </c>
      <c r="M168" s="16">
        <v>0</v>
      </c>
      <c r="N168">
        <f t="shared" si="22"/>
        <v>0</v>
      </c>
      <c r="P168">
        <v>4.6848000000000002E-3</v>
      </c>
      <c r="Q168">
        <v>1537.6715385560501</v>
      </c>
      <c r="R168" s="16">
        <v>0</v>
      </c>
      <c r="S168">
        <f t="shared" si="23"/>
        <v>0</v>
      </c>
      <c r="U168">
        <v>4.6848000000000002E-3</v>
      </c>
      <c r="V168">
        <v>1537.6715385560501</v>
      </c>
      <c r="W168" s="16">
        <v>0</v>
      </c>
      <c r="X168">
        <f t="shared" si="24"/>
        <v>0</v>
      </c>
      <c r="Z168">
        <v>4.6848000000000002E-3</v>
      </c>
      <c r="AA168">
        <v>1537.6715385560501</v>
      </c>
      <c r="AB168" s="16">
        <v>0</v>
      </c>
      <c r="AC168">
        <f t="shared" si="25"/>
        <v>0</v>
      </c>
      <c r="AE168">
        <v>4.6848000000000002E-3</v>
      </c>
      <c r="AF168">
        <v>1537.6715385560501</v>
      </c>
      <c r="AG168" s="16">
        <v>0</v>
      </c>
      <c r="AH168">
        <f t="shared" si="26"/>
        <v>0</v>
      </c>
      <c r="AJ168">
        <v>4.6848000000000002E-3</v>
      </c>
      <c r="AK168">
        <v>1537.6715385560501</v>
      </c>
      <c r="AL168" s="17">
        <v>1.99819388218475E-5</v>
      </c>
      <c r="AM168">
        <f t="shared" si="27"/>
        <v>3.0725658611523113E-2</v>
      </c>
      <c r="AO168">
        <v>4.6848000000000002E-3</v>
      </c>
      <c r="AP168">
        <v>1537.6715385560501</v>
      </c>
      <c r="AQ168" s="17">
        <v>5.7774922044172898E-7</v>
      </c>
      <c r="AR168">
        <f t="shared" si="28"/>
        <v>8.88388532696192E-4</v>
      </c>
      <c r="AT168">
        <v>4.6848000000000002E-3</v>
      </c>
      <c r="AU168">
        <v>1537.6715385560501</v>
      </c>
      <c r="AV168" s="16">
        <v>0</v>
      </c>
      <c r="AW168">
        <f t="shared" si="29"/>
        <v>0</v>
      </c>
    </row>
    <row r="169" spans="1:49" x14ac:dyDescent="0.3">
      <c r="A169">
        <v>5.2874000000000003E-3</v>
      </c>
      <c r="B169" s="16">
        <v>1660.8948961956701</v>
      </c>
      <c r="C169" s="16">
        <v>3.6147179132499098E-4</v>
      </c>
      <c r="D169">
        <f t="shared" si="20"/>
        <v>0.60036665333038375</v>
      </c>
      <c r="F169">
        <v>5.2874000000000003E-3</v>
      </c>
      <c r="G169">
        <v>1660.8948961956701</v>
      </c>
      <c r="H169" s="16">
        <v>0</v>
      </c>
      <c r="I169">
        <f t="shared" si="21"/>
        <v>0</v>
      </c>
      <c r="K169">
        <v>5.2874000000000003E-3</v>
      </c>
      <c r="L169">
        <v>1660.8948961956701</v>
      </c>
      <c r="M169" s="16">
        <v>0</v>
      </c>
      <c r="N169">
        <f t="shared" si="22"/>
        <v>0</v>
      </c>
      <c r="P169">
        <v>5.2874000000000003E-3</v>
      </c>
      <c r="Q169">
        <v>1660.8948961956701</v>
      </c>
      <c r="R169" s="16">
        <v>0</v>
      </c>
      <c r="S169">
        <f t="shared" si="23"/>
        <v>0</v>
      </c>
      <c r="U169">
        <v>5.2874000000000003E-3</v>
      </c>
      <c r="V169">
        <v>1660.8948961956701</v>
      </c>
      <c r="W169" s="16">
        <v>0</v>
      </c>
      <c r="X169">
        <f t="shared" si="24"/>
        <v>0</v>
      </c>
      <c r="Z169">
        <v>5.2874000000000003E-3</v>
      </c>
      <c r="AA169">
        <v>1660.8948961956701</v>
      </c>
      <c r="AB169" s="16">
        <v>0</v>
      </c>
      <c r="AC169">
        <f t="shared" si="25"/>
        <v>0</v>
      </c>
      <c r="AE169">
        <v>5.2874000000000003E-3</v>
      </c>
      <c r="AF169">
        <v>1660.8948961956701</v>
      </c>
      <c r="AG169" s="16">
        <v>0</v>
      </c>
      <c r="AH169">
        <f t="shared" si="26"/>
        <v>0</v>
      </c>
      <c r="AJ169">
        <v>5.2874000000000003E-3</v>
      </c>
      <c r="AK169">
        <v>1660.8948961956701</v>
      </c>
      <c r="AL169" s="17">
        <v>9.9242471720953507E-6</v>
      </c>
      <c r="AM169">
        <f t="shared" si="27"/>
        <v>1.648313147671748E-2</v>
      </c>
      <c r="AO169">
        <v>5.2874000000000003E-3</v>
      </c>
      <c r="AP169">
        <v>1660.8948961956701</v>
      </c>
      <c r="AQ169" s="17">
        <v>3.7141722576316802E-7</v>
      </c>
      <c r="AR169">
        <f t="shared" si="28"/>
        <v>6.1688497462920075E-4</v>
      </c>
      <c r="AT169">
        <v>5.2874000000000003E-3</v>
      </c>
      <c r="AU169">
        <v>1660.8948961956701</v>
      </c>
      <c r="AV169" s="16">
        <v>0</v>
      </c>
      <c r="AW169">
        <f t="shared" si="29"/>
        <v>0</v>
      </c>
    </row>
    <row r="170" spans="1:49" x14ac:dyDescent="0.3">
      <c r="A170">
        <v>5.9674000000000003E-3</v>
      </c>
      <c r="B170" s="16">
        <v>1843.0954258919101</v>
      </c>
      <c r="C170" s="16">
        <v>3.3527919115187001E-4</v>
      </c>
      <c r="D170">
        <f t="shared" si="20"/>
        <v>0.61795154360875093</v>
      </c>
      <c r="F170">
        <v>5.9674000000000003E-3</v>
      </c>
      <c r="G170">
        <v>1843.0954258919101</v>
      </c>
      <c r="H170" s="16">
        <v>0</v>
      </c>
      <c r="I170">
        <f t="shared" si="21"/>
        <v>0</v>
      </c>
      <c r="K170">
        <v>5.9674000000000003E-3</v>
      </c>
      <c r="L170">
        <v>1843.0954258919101</v>
      </c>
      <c r="M170" s="16">
        <v>0</v>
      </c>
      <c r="N170">
        <f t="shared" si="22"/>
        <v>0</v>
      </c>
      <c r="P170">
        <v>5.9674000000000003E-3</v>
      </c>
      <c r="Q170">
        <v>1843.0954258919101</v>
      </c>
      <c r="R170" s="16">
        <v>0</v>
      </c>
      <c r="S170">
        <f t="shared" si="23"/>
        <v>0</v>
      </c>
      <c r="U170">
        <v>5.9674000000000003E-3</v>
      </c>
      <c r="V170">
        <v>1843.0954258919101</v>
      </c>
      <c r="W170" s="16">
        <v>0</v>
      </c>
      <c r="X170">
        <f t="shared" si="24"/>
        <v>0</v>
      </c>
      <c r="Z170">
        <v>5.9674000000000003E-3</v>
      </c>
      <c r="AA170">
        <v>1843.0954258919101</v>
      </c>
      <c r="AB170" s="16">
        <v>0</v>
      </c>
      <c r="AC170">
        <f t="shared" si="25"/>
        <v>0</v>
      </c>
      <c r="AE170">
        <v>5.9674000000000003E-3</v>
      </c>
      <c r="AF170">
        <v>1843.0954258919101</v>
      </c>
      <c r="AG170" s="16">
        <v>0</v>
      </c>
      <c r="AH170">
        <f t="shared" si="26"/>
        <v>0</v>
      </c>
      <c r="AJ170">
        <v>5.9674000000000003E-3</v>
      </c>
      <c r="AK170">
        <v>1843.0954258919101</v>
      </c>
      <c r="AL170" s="17">
        <v>5.6842858000997602E-6</v>
      </c>
      <c r="AM170">
        <f t="shared" si="27"/>
        <v>1.0476681157626204E-2</v>
      </c>
      <c r="AO170">
        <v>5.9674000000000003E-3</v>
      </c>
      <c r="AP170">
        <v>1843.0954258919101</v>
      </c>
      <c r="AQ170" s="17">
        <v>1.14888473019318E-7</v>
      </c>
      <c r="AR170">
        <f t="shared" si="28"/>
        <v>2.1175041910961114E-4</v>
      </c>
      <c r="AT170">
        <v>5.9674000000000003E-3</v>
      </c>
      <c r="AU170">
        <v>1843.0954258919101</v>
      </c>
      <c r="AV170" s="16">
        <v>0</v>
      </c>
      <c r="AW170">
        <f t="shared" si="29"/>
        <v>0</v>
      </c>
    </row>
    <row r="171" spans="1:49" x14ac:dyDescent="0.3">
      <c r="A171">
        <v>6.7349999999999997E-3</v>
      </c>
      <c r="B171" s="16">
        <v>1582.1061357572601</v>
      </c>
      <c r="C171" s="16">
        <v>3.1707229073173898E-4</v>
      </c>
      <c r="D171">
        <f t="shared" si="20"/>
        <v>0.50164201664529406</v>
      </c>
      <c r="F171">
        <v>6.7349999999999997E-3</v>
      </c>
      <c r="G171">
        <v>1582.1061357572601</v>
      </c>
      <c r="H171" s="16">
        <v>0</v>
      </c>
      <c r="I171">
        <f t="shared" si="21"/>
        <v>0</v>
      </c>
      <c r="K171">
        <v>6.7349999999999997E-3</v>
      </c>
      <c r="L171">
        <v>1582.1061357572601</v>
      </c>
      <c r="M171" s="16">
        <v>0</v>
      </c>
      <c r="N171">
        <f t="shared" si="22"/>
        <v>0</v>
      </c>
      <c r="P171">
        <v>6.7349999999999997E-3</v>
      </c>
      <c r="Q171">
        <v>1582.1061357572601</v>
      </c>
      <c r="R171" s="16">
        <v>0</v>
      </c>
      <c r="S171">
        <f t="shared" si="23"/>
        <v>0</v>
      </c>
      <c r="U171">
        <v>6.7349999999999997E-3</v>
      </c>
      <c r="V171">
        <v>1582.1061357572601</v>
      </c>
      <c r="W171" s="16">
        <v>0</v>
      </c>
      <c r="X171">
        <f t="shared" si="24"/>
        <v>0</v>
      </c>
      <c r="Z171">
        <v>6.7349999999999997E-3</v>
      </c>
      <c r="AA171">
        <v>1582.1061357572601</v>
      </c>
      <c r="AB171" s="16">
        <v>0</v>
      </c>
      <c r="AC171">
        <f t="shared" si="25"/>
        <v>0</v>
      </c>
      <c r="AE171">
        <v>6.7349999999999997E-3</v>
      </c>
      <c r="AF171">
        <v>1582.1061357572601</v>
      </c>
      <c r="AG171" s="16">
        <v>0</v>
      </c>
      <c r="AH171">
        <f t="shared" si="26"/>
        <v>0</v>
      </c>
      <c r="AJ171">
        <v>6.7349999999999997E-3</v>
      </c>
      <c r="AK171">
        <v>1582.1061357572601</v>
      </c>
      <c r="AL171" s="17">
        <v>3.4255070762021799E-6</v>
      </c>
      <c r="AM171">
        <f t="shared" si="27"/>
        <v>5.419515763339381E-3</v>
      </c>
      <c r="AO171">
        <v>6.7349999999999997E-3</v>
      </c>
      <c r="AP171">
        <v>1582.1061357572601</v>
      </c>
      <c r="AQ171" s="17">
        <v>1.59818437695823E-6</v>
      </c>
      <c r="AR171">
        <f t="shared" si="28"/>
        <v>2.5284973088570096E-3</v>
      </c>
      <c r="AT171">
        <v>6.7349999999999997E-3</v>
      </c>
      <c r="AU171">
        <v>1582.1061357572601</v>
      </c>
      <c r="AV171" s="16">
        <v>0</v>
      </c>
      <c r="AW171">
        <f t="shared" si="29"/>
        <v>0</v>
      </c>
    </row>
    <row r="172" spans="1:49" x14ac:dyDescent="0.3">
      <c r="A172">
        <v>7.6013000000000001E-3</v>
      </c>
      <c r="B172" s="16">
        <v>1669.6676537523599</v>
      </c>
      <c r="C172" s="16">
        <v>2.9573075475632598E-4</v>
      </c>
      <c r="D172">
        <f t="shared" si="20"/>
        <v>0.49377207543640933</v>
      </c>
      <c r="F172">
        <v>7.6013000000000001E-3</v>
      </c>
      <c r="G172">
        <v>1669.6676537523599</v>
      </c>
      <c r="H172" s="16">
        <v>0</v>
      </c>
      <c r="I172">
        <f t="shared" si="21"/>
        <v>0</v>
      </c>
      <c r="K172">
        <v>7.6013000000000001E-3</v>
      </c>
      <c r="L172">
        <v>1669.6676537523599</v>
      </c>
      <c r="M172" s="16">
        <v>0</v>
      </c>
      <c r="N172">
        <f t="shared" si="22"/>
        <v>0</v>
      </c>
      <c r="P172">
        <v>7.6013000000000001E-3</v>
      </c>
      <c r="Q172">
        <v>1669.6676537523599</v>
      </c>
      <c r="R172" s="16">
        <v>0</v>
      </c>
      <c r="S172">
        <f t="shared" si="23"/>
        <v>0</v>
      </c>
      <c r="U172">
        <v>7.6013000000000001E-3</v>
      </c>
      <c r="V172">
        <v>1669.6676537523599</v>
      </c>
      <c r="W172" s="16">
        <v>0</v>
      </c>
      <c r="X172">
        <f t="shared" si="24"/>
        <v>0</v>
      </c>
      <c r="Z172">
        <v>7.6013000000000001E-3</v>
      </c>
      <c r="AA172">
        <v>1669.6676537523599</v>
      </c>
      <c r="AB172" s="16">
        <v>0</v>
      </c>
      <c r="AC172">
        <f t="shared" si="25"/>
        <v>0</v>
      </c>
      <c r="AE172">
        <v>7.6013000000000001E-3</v>
      </c>
      <c r="AF172">
        <v>1669.6676537523599</v>
      </c>
      <c r="AG172" s="16">
        <v>0</v>
      </c>
      <c r="AH172">
        <f t="shared" si="26"/>
        <v>0</v>
      </c>
      <c r="AJ172">
        <v>7.6013000000000001E-3</v>
      </c>
      <c r="AK172">
        <v>1669.6676537523599</v>
      </c>
      <c r="AL172" s="17">
        <v>3.4031519974253398E-6</v>
      </c>
      <c r="AM172">
        <f t="shared" si="27"/>
        <v>5.6821328109038245E-3</v>
      </c>
      <c r="AO172">
        <v>7.6013000000000001E-3</v>
      </c>
      <c r="AP172">
        <v>1669.6676537523599</v>
      </c>
      <c r="AQ172" s="17">
        <v>1.18528600337751E-8</v>
      </c>
      <c r="AR172">
        <f t="shared" si="28"/>
        <v>1.9790337002848389E-5</v>
      </c>
      <c r="AT172">
        <v>7.6013000000000001E-3</v>
      </c>
      <c r="AU172">
        <v>1669.6676537523599</v>
      </c>
      <c r="AV172" s="16">
        <v>0</v>
      </c>
      <c r="AW172">
        <f t="shared" si="29"/>
        <v>0</v>
      </c>
    </row>
    <row r="173" spans="1:49" x14ac:dyDescent="0.3">
      <c r="A173">
        <v>8.5789999999999998E-3</v>
      </c>
      <c r="B173" s="16">
        <v>1764.59051438352</v>
      </c>
      <c r="C173" s="16">
        <v>2.5550965583973702E-4</v>
      </c>
      <c r="D173">
        <f t="shared" si="20"/>
        <v>0.45086991502819773</v>
      </c>
      <c r="F173">
        <v>8.5789999999999998E-3</v>
      </c>
      <c r="G173">
        <v>1764.59051438352</v>
      </c>
      <c r="H173" s="16">
        <v>0</v>
      </c>
      <c r="I173">
        <f t="shared" si="21"/>
        <v>0</v>
      </c>
      <c r="K173">
        <v>8.5789999999999998E-3</v>
      </c>
      <c r="L173">
        <v>1764.59051438352</v>
      </c>
      <c r="M173" s="16">
        <v>0</v>
      </c>
      <c r="N173">
        <f t="shared" si="22"/>
        <v>0</v>
      </c>
      <c r="P173">
        <v>8.5789999999999998E-3</v>
      </c>
      <c r="Q173">
        <v>1764.59051438352</v>
      </c>
      <c r="R173" s="16">
        <v>0</v>
      </c>
      <c r="S173">
        <f t="shared" si="23"/>
        <v>0</v>
      </c>
      <c r="U173">
        <v>8.5789999999999998E-3</v>
      </c>
      <c r="V173">
        <v>1764.59051438352</v>
      </c>
      <c r="W173" s="16">
        <v>0</v>
      </c>
      <c r="X173">
        <f t="shared" si="24"/>
        <v>0</v>
      </c>
      <c r="Z173">
        <v>8.5789999999999998E-3</v>
      </c>
      <c r="AA173">
        <v>1764.59051438352</v>
      </c>
      <c r="AB173" s="16">
        <v>0</v>
      </c>
      <c r="AC173">
        <f t="shared" si="25"/>
        <v>0</v>
      </c>
      <c r="AE173">
        <v>8.5789999999999998E-3</v>
      </c>
      <c r="AF173">
        <v>1764.59051438352</v>
      </c>
      <c r="AG173" s="16">
        <v>0</v>
      </c>
      <c r="AH173">
        <f t="shared" si="26"/>
        <v>0</v>
      </c>
      <c r="AJ173">
        <v>8.5789999999999998E-3</v>
      </c>
      <c r="AK173">
        <v>1764.59051438352</v>
      </c>
      <c r="AL173" s="16">
        <v>1.51482042743943E-4</v>
      </c>
      <c r="AM173">
        <f t="shared" si="27"/>
        <v>0.26730377572540076</v>
      </c>
      <c r="AO173">
        <v>8.5789999999999998E-3</v>
      </c>
      <c r="AP173">
        <v>1764.59051438352</v>
      </c>
      <c r="AQ173" s="17">
        <v>2.5059914581052699E-7</v>
      </c>
      <c r="AR173">
        <f t="shared" si="28"/>
        <v>4.4220487560986854E-4</v>
      </c>
      <c r="AT173">
        <v>8.5789999999999998E-3</v>
      </c>
      <c r="AU173">
        <v>1764.59051438352</v>
      </c>
      <c r="AV173" s="16">
        <v>0</v>
      </c>
      <c r="AW173">
        <f t="shared" si="29"/>
        <v>0</v>
      </c>
    </row>
    <row r="174" spans="1:49" x14ac:dyDescent="0.3">
      <c r="A174">
        <v>9.6825000000000001E-3</v>
      </c>
      <c r="B174" s="16">
        <v>1835.0675554509901</v>
      </c>
      <c r="C174" s="16">
        <v>2.1740274696655499E-4</v>
      </c>
      <c r="D174">
        <f t="shared" si="20"/>
        <v>0.3989487274242462</v>
      </c>
      <c r="F174">
        <v>9.6825000000000001E-3</v>
      </c>
      <c r="G174">
        <v>1835.0675554509901</v>
      </c>
      <c r="H174" s="16">
        <v>0</v>
      </c>
      <c r="I174">
        <f t="shared" si="21"/>
        <v>0</v>
      </c>
      <c r="K174">
        <v>9.6825000000000001E-3</v>
      </c>
      <c r="L174">
        <v>1835.0675554509901</v>
      </c>
      <c r="M174" s="16">
        <v>0</v>
      </c>
      <c r="N174">
        <f t="shared" si="22"/>
        <v>0</v>
      </c>
      <c r="P174">
        <v>9.6825000000000001E-3</v>
      </c>
      <c r="Q174">
        <v>1835.0675554509901</v>
      </c>
      <c r="R174" s="16">
        <v>0</v>
      </c>
      <c r="S174">
        <f t="shared" si="23"/>
        <v>0</v>
      </c>
      <c r="U174">
        <v>9.6825000000000001E-3</v>
      </c>
      <c r="V174">
        <v>1835.0675554509901</v>
      </c>
      <c r="W174" s="16">
        <v>0</v>
      </c>
      <c r="X174">
        <f t="shared" si="24"/>
        <v>0</v>
      </c>
      <c r="Z174">
        <v>9.6825000000000001E-3</v>
      </c>
      <c r="AA174">
        <v>1835.0675554509901</v>
      </c>
      <c r="AB174" s="16">
        <v>0</v>
      </c>
      <c r="AC174">
        <f t="shared" si="25"/>
        <v>0</v>
      </c>
      <c r="AE174">
        <v>9.6825000000000001E-3</v>
      </c>
      <c r="AF174">
        <v>1835.0675554509901</v>
      </c>
      <c r="AG174" s="16">
        <v>0</v>
      </c>
      <c r="AH174">
        <f t="shared" si="26"/>
        <v>0</v>
      </c>
      <c r="AJ174">
        <v>9.6825000000000001E-3</v>
      </c>
      <c r="AK174">
        <v>1835.0675554509901</v>
      </c>
      <c r="AL174" s="17">
        <v>9.0419460367010404E-7</v>
      </c>
      <c r="AM174">
        <f t="shared" si="27"/>
        <v>1.6592581810088746E-3</v>
      </c>
      <c r="AO174">
        <v>9.6825000000000001E-3</v>
      </c>
      <c r="AP174">
        <v>1835.0675554509901</v>
      </c>
      <c r="AQ174" s="17">
        <v>4.5337417148083602E-7</v>
      </c>
      <c r="AR174">
        <f t="shared" si="28"/>
        <v>8.3197223256395577E-4</v>
      </c>
      <c r="AT174">
        <v>9.6825000000000001E-3</v>
      </c>
      <c r="AU174">
        <v>1835.0675554509901</v>
      </c>
      <c r="AV174" s="16">
        <v>0</v>
      </c>
      <c r="AW174">
        <f t="shared" si="29"/>
        <v>0</v>
      </c>
    </row>
    <row r="175" spans="1:49" x14ac:dyDescent="0.3">
      <c r="A175">
        <v>1.0928E-2</v>
      </c>
      <c r="B175" s="16">
        <v>1735.8293597028601</v>
      </c>
      <c r="C175" s="16">
        <v>1.99952773143726E-4</v>
      </c>
      <c r="D175">
        <f t="shared" si="20"/>
        <v>0.34708389417688512</v>
      </c>
      <c r="F175">
        <v>1.0928E-2</v>
      </c>
      <c r="G175">
        <v>1735.8293597028601</v>
      </c>
      <c r="H175" s="16">
        <v>0</v>
      </c>
      <c r="I175">
        <f t="shared" si="21"/>
        <v>0</v>
      </c>
      <c r="K175">
        <v>1.0928E-2</v>
      </c>
      <c r="L175">
        <v>1735.8293597028601</v>
      </c>
      <c r="M175" s="16">
        <v>0</v>
      </c>
      <c r="N175">
        <f t="shared" si="22"/>
        <v>0</v>
      </c>
      <c r="P175">
        <v>1.0928E-2</v>
      </c>
      <c r="Q175">
        <v>1735.8293597028601</v>
      </c>
      <c r="R175" s="16">
        <v>0</v>
      </c>
      <c r="S175">
        <f t="shared" si="23"/>
        <v>0</v>
      </c>
      <c r="U175">
        <v>1.0928E-2</v>
      </c>
      <c r="V175">
        <v>1735.8293597028601</v>
      </c>
      <c r="W175" s="16">
        <v>0</v>
      </c>
      <c r="X175">
        <f t="shared" si="24"/>
        <v>0</v>
      </c>
      <c r="Z175">
        <v>1.0928E-2</v>
      </c>
      <c r="AA175">
        <v>1735.8293597028601</v>
      </c>
      <c r="AB175" s="16">
        <v>0</v>
      </c>
      <c r="AC175">
        <f t="shared" si="25"/>
        <v>0</v>
      </c>
      <c r="AE175">
        <v>1.0928E-2</v>
      </c>
      <c r="AF175">
        <v>1735.8293597028601</v>
      </c>
      <c r="AG175" s="16">
        <v>0</v>
      </c>
      <c r="AH175">
        <f t="shared" si="26"/>
        <v>0</v>
      </c>
      <c r="AJ175">
        <v>1.0928E-2</v>
      </c>
      <c r="AK175">
        <v>1735.8293597028601</v>
      </c>
      <c r="AL175" s="17">
        <v>6.3661399524048199E-7</v>
      </c>
      <c r="AM175">
        <f t="shared" si="27"/>
        <v>1.1050532637361654E-3</v>
      </c>
      <c r="AO175">
        <v>1.0928E-2</v>
      </c>
      <c r="AP175">
        <v>1735.8293597028601</v>
      </c>
      <c r="AQ175" s="17">
        <v>1.00471128682309E-6</v>
      </c>
      <c r="AR175">
        <f t="shared" si="28"/>
        <v>1.7440073496923609E-3</v>
      </c>
      <c r="AT175">
        <v>1.0928E-2</v>
      </c>
      <c r="AU175">
        <v>1735.8293597028601</v>
      </c>
      <c r="AV175" s="16">
        <v>0</v>
      </c>
      <c r="AW175">
        <f t="shared" si="29"/>
        <v>0</v>
      </c>
    </row>
    <row r="176" spans="1:49" x14ac:dyDescent="0.3">
      <c r="A176">
        <v>1.2333999999999999E-2</v>
      </c>
      <c r="B176" s="16">
        <v>1860.67049075465</v>
      </c>
      <c r="C176" s="16">
        <v>1.9123853278234801E-4</v>
      </c>
      <c r="D176">
        <f t="shared" si="20"/>
        <v>0.3558318946433307</v>
      </c>
      <c r="F176">
        <v>1.2333999999999999E-2</v>
      </c>
      <c r="G176">
        <v>1860.67049075465</v>
      </c>
      <c r="H176" s="16">
        <v>0</v>
      </c>
      <c r="I176">
        <f t="shared" si="21"/>
        <v>0</v>
      </c>
      <c r="K176">
        <v>1.2333999999999999E-2</v>
      </c>
      <c r="L176">
        <v>1860.67049075465</v>
      </c>
      <c r="M176" s="16">
        <v>0</v>
      </c>
      <c r="N176">
        <f t="shared" si="22"/>
        <v>0</v>
      </c>
      <c r="P176">
        <v>1.2333999999999999E-2</v>
      </c>
      <c r="Q176">
        <v>1860.67049075465</v>
      </c>
      <c r="R176" s="16">
        <v>0</v>
      </c>
      <c r="S176">
        <f t="shared" si="23"/>
        <v>0</v>
      </c>
      <c r="U176">
        <v>1.2333999999999999E-2</v>
      </c>
      <c r="V176">
        <v>1860.67049075465</v>
      </c>
      <c r="W176" s="16">
        <v>0</v>
      </c>
      <c r="X176">
        <f t="shared" si="24"/>
        <v>0</v>
      </c>
      <c r="Z176">
        <v>1.2333999999999999E-2</v>
      </c>
      <c r="AA176">
        <v>1860.67049075465</v>
      </c>
      <c r="AB176" s="16">
        <v>0</v>
      </c>
      <c r="AC176">
        <f t="shared" si="25"/>
        <v>0</v>
      </c>
      <c r="AE176">
        <v>1.2333999999999999E-2</v>
      </c>
      <c r="AF176">
        <v>1860.67049075465</v>
      </c>
      <c r="AG176" s="16">
        <v>0</v>
      </c>
      <c r="AH176">
        <f t="shared" si="26"/>
        <v>0</v>
      </c>
      <c r="AJ176">
        <v>1.2333999999999999E-2</v>
      </c>
      <c r="AK176">
        <v>1860.67049075465</v>
      </c>
      <c r="AL176" s="17">
        <v>4.57356651531955E-7</v>
      </c>
      <c r="AM176">
        <f t="shared" si="27"/>
        <v>8.5099002525586612E-4</v>
      </c>
      <c r="AO176">
        <v>1.2333999999999999E-2</v>
      </c>
      <c r="AP176">
        <v>1860.67049075465</v>
      </c>
      <c r="AQ176" s="17">
        <v>2.5898170678198299E-7</v>
      </c>
      <c r="AR176">
        <f t="shared" si="28"/>
        <v>4.8187961945450917E-4</v>
      </c>
      <c r="AT176">
        <v>1.2333999999999999E-2</v>
      </c>
      <c r="AU176">
        <v>1860.67049075465</v>
      </c>
      <c r="AV176" s="16">
        <v>0</v>
      </c>
      <c r="AW176">
        <f t="shared" si="29"/>
        <v>0</v>
      </c>
    </row>
    <row r="177" spans="1:49" x14ac:dyDescent="0.3">
      <c r="A177">
        <v>1.392E-2</v>
      </c>
      <c r="B177" s="16">
        <v>1764.73629194011</v>
      </c>
      <c r="C177" s="16">
        <v>1.7818052100483601E-4</v>
      </c>
      <c r="D177">
        <f t="shared" si="20"/>
        <v>0.31444163193403118</v>
      </c>
      <c r="F177">
        <v>1.392E-2</v>
      </c>
      <c r="G177">
        <v>1764.73629194011</v>
      </c>
      <c r="H177" s="16">
        <v>0</v>
      </c>
      <c r="I177">
        <f t="shared" si="21"/>
        <v>0</v>
      </c>
      <c r="K177">
        <v>1.392E-2</v>
      </c>
      <c r="L177">
        <v>1764.73629194011</v>
      </c>
      <c r="M177" s="16">
        <v>0</v>
      </c>
      <c r="N177">
        <f t="shared" si="22"/>
        <v>0</v>
      </c>
      <c r="P177">
        <v>1.392E-2</v>
      </c>
      <c r="Q177">
        <v>1764.73629194011</v>
      </c>
      <c r="R177" s="16">
        <v>0</v>
      </c>
      <c r="S177">
        <f t="shared" si="23"/>
        <v>0</v>
      </c>
      <c r="U177">
        <v>1.392E-2</v>
      </c>
      <c r="V177">
        <v>1764.73629194011</v>
      </c>
      <c r="W177" s="16">
        <v>0</v>
      </c>
      <c r="X177">
        <f t="shared" si="24"/>
        <v>0</v>
      </c>
      <c r="Z177">
        <v>1.392E-2</v>
      </c>
      <c r="AA177">
        <v>1764.73629194011</v>
      </c>
      <c r="AB177" s="16">
        <v>0</v>
      </c>
      <c r="AC177">
        <f t="shared" si="25"/>
        <v>0</v>
      </c>
      <c r="AE177">
        <v>1.392E-2</v>
      </c>
      <c r="AF177">
        <v>1764.73629194011</v>
      </c>
      <c r="AG177" s="16">
        <v>0</v>
      </c>
      <c r="AH177">
        <f t="shared" si="26"/>
        <v>0</v>
      </c>
      <c r="AJ177">
        <v>1.392E-2</v>
      </c>
      <c r="AK177">
        <v>1764.73629194011</v>
      </c>
      <c r="AL177" s="17">
        <v>3.2577469358777402E-7</v>
      </c>
      <c r="AM177">
        <f t="shared" si="27"/>
        <v>5.749064247700139E-4</v>
      </c>
      <c r="AO177">
        <v>1.392E-2</v>
      </c>
      <c r="AP177">
        <v>1764.73629194011</v>
      </c>
      <c r="AQ177" s="17">
        <v>3.5186614274546901E-7</v>
      </c>
      <c r="AR177">
        <f t="shared" si="28"/>
        <v>6.2095095200790848E-4</v>
      </c>
      <c r="AT177">
        <v>1.392E-2</v>
      </c>
      <c r="AU177">
        <v>1764.73629194011</v>
      </c>
      <c r="AV177" s="16">
        <v>0</v>
      </c>
      <c r="AW177">
        <f t="shared" si="29"/>
        <v>0</v>
      </c>
    </row>
    <row r="178" spans="1:49" x14ac:dyDescent="0.3">
      <c r="A178">
        <v>1.5709999999999998E-2</v>
      </c>
      <c r="B178" s="16">
        <v>1872.1612415177799</v>
      </c>
      <c r="C178" s="16">
        <v>1.63035255083824E-4</v>
      </c>
      <c r="D178">
        <f t="shared" si="20"/>
        <v>0.30522828556889986</v>
      </c>
      <c r="F178">
        <v>1.5709999999999998E-2</v>
      </c>
      <c r="G178">
        <v>1872.1612415177799</v>
      </c>
      <c r="H178" s="16">
        <v>0</v>
      </c>
      <c r="I178">
        <f t="shared" si="21"/>
        <v>0</v>
      </c>
      <c r="K178">
        <v>1.5709999999999998E-2</v>
      </c>
      <c r="L178">
        <v>1872.1612415177799</v>
      </c>
      <c r="M178" s="16">
        <v>0</v>
      </c>
      <c r="N178">
        <f t="shared" si="22"/>
        <v>0</v>
      </c>
      <c r="P178">
        <v>1.5709999999999998E-2</v>
      </c>
      <c r="Q178">
        <v>1872.1612415177799</v>
      </c>
      <c r="R178" s="16">
        <v>0</v>
      </c>
      <c r="S178">
        <f t="shared" si="23"/>
        <v>0</v>
      </c>
      <c r="U178">
        <v>1.5709999999999998E-2</v>
      </c>
      <c r="V178">
        <v>1872.1612415177799</v>
      </c>
      <c r="W178" s="16">
        <v>0</v>
      </c>
      <c r="X178">
        <f t="shared" si="24"/>
        <v>0</v>
      </c>
      <c r="Z178">
        <v>1.5709999999999998E-2</v>
      </c>
      <c r="AA178">
        <v>1872.1612415177799</v>
      </c>
      <c r="AB178" s="16">
        <v>0</v>
      </c>
      <c r="AC178">
        <f t="shared" si="25"/>
        <v>0</v>
      </c>
      <c r="AE178">
        <v>1.5709999999999998E-2</v>
      </c>
      <c r="AF178">
        <v>1872.1612415177799</v>
      </c>
      <c r="AG178" s="16">
        <v>0</v>
      </c>
      <c r="AH178">
        <f t="shared" si="26"/>
        <v>0</v>
      </c>
      <c r="AJ178">
        <v>1.5709999999999998E-2</v>
      </c>
      <c r="AK178">
        <v>1872.1612415177799</v>
      </c>
      <c r="AL178" s="17">
        <v>2.3455728928578401E-7</v>
      </c>
      <c r="AM178">
        <f t="shared" si="27"/>
        <v>4.3912906591631843E-4</v>
      </c>
      <c r="AO178">
        <v>1.5709999999999998E-2</v>
      </c>
      <c r="AP178">
        <v>1872.1612415177799</v>
      </c>
      <c r="AQ178" s="17">
        <v>1.82124019523976E-7</v>
      </c>
      <c r="AR178">
        <f t="shared" si="28"/>
        <v>3.4096553050221528E-4</v>
      </c>
      <c r="AT178">
        <v>1.5709999999999998E-2</v>
      </c>
      <c r="AU178">
        <v>1872.1612415177799</v>
      </c>
      <c r="AV178" s="16">
        <v>0</v>
      </c>
      <c r="AW178">
        <f t="shared" si="29"/>
        <v>0</v>
      </c>
    </row>
    <row r="179" spans="1:49" x14ac:dyDescent="0.3">
      <c r="A179">
        <v>1.7731E-2</v>
      </c>
      <c r="B179" s="16">
        <v>1900.43114683676</v>
      </c>
      <c r="C179" s="16">
        <v>1.4845606219616699E-4</v>
      </c>
      <c r="D179">
        <f t="shared" si="20"/>
        <v>0.28213052453433102</v>
      </c>
      <c r="F179">
        <v>1.7731E-2</v>
      </c>
      <c r="G179">
        <v>1900.43114683676</v>
      </c>
      <c r="H179" s="16">
        <v>0</v>
      </c>
      <c r="I179">
        <f t="shared" si="21"/>
        <v>0</v>
      </c>
      <c r="K179">
        <v>1.7731E-2</v>
      </c>
      <c r="L179">
        <v>1900.43114683676</v>
      </c>
      <c r="M179" s="16">
        <v>0</v>
      </c>
      <c r="N179">
        <f t="shared" si="22"/>
        <v>0</v>
      </c>
      <c r="P179">
        <v>1.7731E-2</v>
      </c>
      <c r="Q179">
        <v>1900.43114683676</v>
      </c>
      <c r="R179" s="16">
        <v>0</v>
      </c>
      <c r="S179">
        <f t="shared" si="23"/>
        <v>0</v>
      </c>
      <c r="U179">
        <v>1.7731E-2</v>
      </c>
      <c r="V179">
        <v>1900.43114683676</v>
      </c>
      <c r="W179" s="16">
        <v>0</v>
      </c>
      <c r="X179">
        <f t="shared" si="24"/>
        <v>0</v>
      </c>
      <c r="Z179">
        <v>1.7731E-2</v>
      </c>
      <c r="AA179">
        <v>1900.43114683676</v>
      </c>
      <c r="AB179" s="16">
        <v>0</v>
      </c>
      <c r="AC179">
        <f t="shared" si="25"/>
        <v>0</v>
      </c>
      <c r="AE179">
        <v>1.7731E-2</v>
      </c>
      <c r="AF179">
        <v>1900.43114683676</v>
      </c>
      <c r="AG179" s="16">
        <v>0</v>
      </c>
      <c r="AH179">
        <f t="shared" si="26"/>
        <v>0</v>
      </c>
      <c r="AJ179">
        <v>1.7731E-2</v>
      </c>
      <c r="AK179">
        <v>1900.43114683676</v>
      </c>
      <c r="AL179" s="17">
        <v>1.81036103259923E-7</v>
      </c>
      <c r="AM179">
        <f t="shared" si="27"/>
        <v>3.4404664933711357E-4</v>
      </c>
      <c r="AO179">
        <v>1.7731E-2</v>
      </c>
      <c r="AP179">
        <v>1900.43114683676</v>
      </c>
      <c r="AQ179" s="17">
        <v>6.4025396513565102E-8</v>
      </c>
      <c r="AR179">
        <f t="shared" si="28"/>
        <v>1.2167585772295282E-4</v>
      </c>
      <c r="AT179">
        <v>1.7731E-2</v>
      </c>
      <c r="AU179">
        <v>1900.43114683676</v>
      </c>
      <c r="AV179" s="16">
        <v>0</v>
      </c>
      <c r="AW179">
        <f t="shared" si="29"/>
        <v>0</v>
      </c>
    </row>
    <row r="180" spans="1:49" x14ac:dyDescent="0.3">
      <c r="A180">
        <v>2.0011999999999999E-2</v>
      </c>
      <c r="B180" s="16">
        <v>2207.0023458710698</v>
      </c>
      <c r="C180" s="16">
        <v>1.3369126838950999E-4</v>
      </c>
      <c r="D180">
        <f t="shared" si="20"/>
        <v>0.29505694295812734</v>
      </c>
      <c r="F180">
        <v>2.0011999999999999E-2</v>
      </c>
      <c r="G180">
        <v>2207.0023458710698</v>
      </c>
      <c r="H180" s="16">
        <v>0</v>
      </c>
      <c r="I180">
        <f t="shared" si="21"/>
        <v>0</v>
      </c>
      <c r="K180">
        <v>2.0011999999999999E-2</v>
      </c>
      <c r="L180">
        <v>2207.0023458710698</v>
      </c>
      <c r="M180" s="16">
        <v>0</v>
      </c>
      <c r="N180">
        <f t="shared" si="22"/>
        <v>0</v>
      </c>
      <c r="P180">
        <v>2.0011999999999999E-2</v>
      </c>
      <c r="Q180">
        <v>2207.0023458710698</v>
      </c>
      <c r="R180" s="16">
        <v>0</v>
      </c>
      <c r="S180">
        <f t="shared" si="23"/>
        <v>0</v>
      </c>
      <c r="U180">
        <v>2.0011999999999999E-2</v>
      </c>
      <c r="V180">
        <v>2207.0023458710698</v>
      </c>
      <c r="W180" s="16">
        <v>0</v>
      </c>
      <c r="X180">
        <f t="shared" si="24"/>
        <v>0</v>
      </c>
      <c r="Z180">
        <v>2.0011999999999999E-2</v>
      </c>
      <c r="AA180">
        <v>2207.0023458710698</v>
      </c>
      <c r="AB180" s="16">
        <v>0</v>
      </c>
      <c r="AC180">
        <f t="shared" si="25"/>
        <v>0</v>
      </c>
      <c r="AE180">
        <v>2.0011999999999999E-2</v>
      </c>
      <c r="AF180">
        <v>2207.0023458710698</v>
      </c>
      <c r="AG180" s="16">
        <v>0</v>
      </c>
      <c r="AH180">
        <f t="shared" si="26"/>
        <v>0</v>
      </c>
      <c r="AJ180">
        <v>2.0011999999999999E-2</v>
      </c>
      <c r="AK180">
        <v>2207.0023458710698</v>
      </c>
      <c r="AL180" s="17">
        <v>1.4666777711193301E-7</v>
      </c>
      <c r="AM180">
        <f t="shared" si="27"/>
        <v>3.2369612814973133E-4</v>
      </c>
      <c r="AO180">
        <v>2.0011999999999999E-2</v>
      </c>
      <c r="AP180">
        <v>2207.0023458710698</v>
      </c>
      <c r="AQ180" s="17">
        <v>2.2185886529260601E-7</v>
      </c>
      <c r="AR180">
        <f t="shared" si="28"/>
        <v>4.8964303615307511E-4</v>
      </c>
      <c r="AT180">
        <v>2.0011999999999999E-2</v>
      </c>
      <c r="AU180">
        <v>2207.0023458710698</v>
      </c>
      <c r="AV180" s="16">
        <v>0</v>
      </c>
      <c r="AW180">
        <f t="shared" si="29"/>
        <v>0</v>
      </c>
    </row>
    <row r="181" spans="1:49" x14ac:dyDescent="0.3">
      <c r="A181">
        <v>2.2585999999999998E-2</v>
      </c>
      <c r="B181" s="16">
        <v>2048.1209339440902</v>
      </c>
      <c r="C181" s="16">
        <v>1.2184442404213101E-4</v>
      </c>
      <c r="D181">
        <f t="shared" si="20"/>
        <v>0.24955211556504911</v>
      </c>
      <c r="F181">
        <v>2.2585999999999998E-2</v>
      </c>
      <c r="G181">
        <v>2048.1209339440902</v>
      </c>
      <c r="H181" s="16">
        <v>0</v>
      </c>
      <c r="I181">
        <f t="shared" si="21"/>
        <v>0</v>
      </c>
      <c r="K181">
        <v>2.2585999999999998E-2</v>
      </c>
      <c r="L181">
        <v>2048.1209339440902</v>
      </c>
      <c r="M181" s="16">
        <v>0</v>
      </c>
      <c r="N181">
        <f t="shared" si="22"/>
        <v>0</v>
      </c>
      <c r="P181">
        <v>2.2585999999999998E-2</v>
      </c>
      <c r="Q181">
        <v>2048.1209339440902</v>
      </c>
      <c r="R181" s="16">
        <v>0</v>
      </c>
      <c r="S181">
        <f t="shared" si="23"/>
        <v>0</v>
      </c>
      <c r="U181">
        <v>2.2585999999999998E-2</v>
      </c>
      <c r="V181">
        <v>2048.1209339440902</v>
      </c>
      <c r="W181" s="16">
        <v>0</v>
      </c>
      <c r="X181">
        <f t="shared" si="24"/>
        <v>0</v>
      </c>
      <c r="Z181">
        <v>2.2585999999999998E-2</v>
      </c>
      <c r="AA181">
        <v>2048.1209339440902</v>
      </c>
      <c r="AB181" s="16">
        <v>0</v>
      </c>
      <c r="AC181">
        <f t="shared" si="25"/>
        <v>0</v>
      </c>
      <c r="AE181">
        <v>2.2585999999999998E-2</v>
      </c>
      <c r="AF181">
        <v>2048.1209339440902</v>
      </c>
      <c r="AG181" s="16">
        <v>0</v>
      </c>
      <c r="AH181">
        <f t="shared" si="26"/>
        <v>0</v>
      </c>
      <c r="AJ181">
        <v>2.2585999999999998E-2</v>
      </c>
      <c r="AK181">
        <v>2048.1209339440902</v>
      </c>
      <c r="AL181" s="17">
        <v>1.2380338501917601E-7</v>
      </c>
      <c r="AM181">
        <f t="shared" si="27"/>
        <v>2.5356430455091456E-4</v>
      </c>
      <c r="AO181">
        <v>2.2585999999999998E-2</v>
      </c>
      <c r="AP181">
        <v>2048.1209339440902</v>
      </c>
      <c r="AQ181" s="17">
        <v>1.67239536136642E-7</v>
      </c>
      <c r="AR181">
        <f t="shared" si="28"/>
        <v>3.4252679494455561E-4</v>
      </c>
      <c r="AT181">
        <v>2.2585999999999998E-2</v>
      </c>
      <c r="AU181">
        <v>2048.1209339440902</v>
      </c>
      <c r="AV181" s="16">
        <v>0</v>
      </c>
      <c r="AW181">
        <f t="shared" si="29"/>
        <v>0</v>
      </c>
    </row>
    <row r="182" spans="1:49" x14ac:dyDescent="0.3">
      <c r="A182">
        <v>2.5491E-2</v>
      </c>
      <c r="B182" s="16">
        <v>2368.6007255395598</v>
      </c>
      <c r="C182" s="16">
        <v>1.14227960651578E-4</v>
      </c>
      <c r="D182">
        <f t="shared" si="20"/>
        <v>0.27056043047623191</v>
      </c>
      <c r="F182">
        <v>2.5491E-2</v>
      </c>
      <c r="G182">
        <v>2368.6007255395598</v>
      </c>
      <c r="H182" s="16">
        <v>0</v>
      </c>
      <c r="I182">
        <f t="shared" si="21"/>
        <v>0</v>
      </c>
      <c r="K182">
        <v>2.5491E-2</v>
      </c>
      <c r="L182">
        <v>2368.6007255395598</v>
      </c>
      <c r="M182" s="16">
        <v>0</v>
      </c>
      <c r="N182">
        <f t="shared" si="22"/>
        <v>0</v>
      </c>
      <c r="P182">
        <v>2.5491E-2</v>
      </c>
      <c r="Q182">
        <v>2368.6007255395598</v>
      </c>
      <c r="R182" s="16">
        <v>0</v>
      </c>
      <c r="S182">
        <f t="shared" si="23"/>
        <v>0</v>
      </c>
      <c r="U182">
        <v>2.5491E-2</v>
      </c>
      <c r="V182">
        <v>2368.6007255395598</v>
      </c>
      <c r="W182" s="16">
        <v>0</v>
      </c>
      <c r="X182">
        <f t="shared" si="24"/>
        <v>0</v>
      </c>
      <c r="Z182">
        <v>2.5491E-2</v>
      </c>
      <c r="AA182">
        <v>2368.6007255395598</v>
      </c>
      <c r="AB182" s="16">
        <v>0</v>
      </c>
      <c r="AC182">
        <f t="shared" si="25"/>
        <v>0</v>
      </c>
      <c r="AE182">
        <v>2.5491E-2</v>
      </c>
      <c r="AF182">
        <v>2368.6007255395598</v>
      </c>
      <c r="AG182" s="16">
        <v>0</v>
      </c>
      <c r="AH182">
        <f t="shared" si="26"/>
        <v>0</v>
      </c>
      <c r="AJ182">
        <v>2.5491E-2</v>
      </c>
      <c r="AK182">
        <v>2368.6007255395598</v>
      </c>
      <c r="AL182" s="17">
        <v>1.07960618565056E-7</v>
      </c>
      <c r="AM182">
        <f t="shared" si="27"/>
        <v>2.5571559946289133E-4</v>
      </c>
      <c r="AO182">
        <v>2.5491E-2</v>
      </c>
      <c r="AP182">
        <v>2368.6007255395598</v>
      </c>
      <c r="AQ182" s="17">
        <v>4.7313117659902202E-8</v>
      </c>
      <c r="AR182">
        <f t="shared" si="28"/>
        <v>1.1206588481678292E-4</v>
      </c>
      <c r="AT182">
        <v>2.5491E-2</v>
      </c>
      <c r="AU182">
        <v>2368.6007255395598</v>
      </c>
      <c r="AV182" s="16">
        <v>0</v>
      </c>
      <c r="AW182">
        <f t="shared" si="29"/>
        <v>0</v>
      </c>
    </row>
    <row r="183" spans="1:49" x14ac:dyDescent="0.3">
      <c r="A183">
        <v>2.877E-2</v>
      </c>
      <c r="B183" s="16">
        <v>2266.5254121798398</v>
      </c>
      <c r="C183" s="16">
        <v>1.09452532003931E-4</v>
      </c>
      <c r="D183">
        <f t="shared" si="20"/>
        <v>0.24807694521433682</v>
      </c>
      <c r="F183">
        <v>2.877E-2</v>
      </c>
      <c r="G183">
        <v>2266.5254121798398</v>
      </c>
      <c r="H183" s="16">
        <v>0</v>
      </c>
      <c r="I183">
        <f t="shared" si="21"/>
        <v>0</v>
      </c>
      <c r="K183">
        <v>2.877E-2</v>
      </c>
      <c r="L183">
        <v>2266.5254121798398</v>
      </c>
      <c r="M183" s="16">
        <v>0</v>
      </c>
      <c r="N183">
        <f t="shared" si="22"/>
        <v>0</v>
      </c>
      <c r="P183">
        <v>2.877E-2</v>
      </c>
      <c r="Q183">
        <v>2266.5254121798398</v>
      </c>
      <c r="R183" s="16">
        <v>0</v>
      </c>
      <c r="S183">
        <f t="shared" si="23"/>
        <v>0</v>
      </c>
      <c r="U183">
        <v>2.877E-2</v>
      </c>
      <c r="V183">
        <v>2266.5254121798398</v>
      </c>
      <c r="W183" s="16">
        <v>0</v>
      </c>
      <c r="X183">
        <f t="shared" si="24"/>
        <v>0</v>
      </c>
      <c r="Z183">
        <v>2.877E-2</v>
      </c>
      <c r="AA183">
        <v>2266.5254121798398</v>
      </c>
      <c r="AB183" s="16">
        <v>0</v>
      </c>
      <c r="AC183">
        <f t="shared" si="25"/>
        <v>0</v>
      </c>
      <c r="AE183">
        <v>2.877E-2</v>
      </c>
      <c r="AF183">
        <v>2266.5254121798398</v>
      </c>
      <c r="AG183" s="16">
        <v>0</v>
      </c>
      <c r="AH183">
        <f t="shared" si="26"/>
        <v>0</v>
      </c>
      <c r="AJ183">
        <v>2.877E-2</v>
      </c>
      <c r="AK183">
        <v>2266.5254121798398</v>
      </c>
      <c r="AL183" s="17">
        <v>1.02212069966896E-7</v>
      </c>
      <c r="AM183">
        <f t="shared" si="27"/>
        <v>2.3166625401147359E-4</v>
      </c>
      <c r="AO183">
        <v>2.877E-2</v>
      </c>
      <c r="AP183">
        <v>2266.5254121798398</v>
      </c>
      <c r="AQ183" s="17">
        <v>1.90215121323692E-7</v>
      </c>
      <c r="AR183">
        <f t="shared" si="28"/>
        <v>4.3112740626101925E-4</v>
      </c>
      <c r="AT183">
        <v>2.877E-2</v>
      </c>
      <c r="AU183">
        <v>2266.5254121798398</v>
      </c>
      <c r="AV183" s="16">
        <v>0</v>
      </c>
      <c r="AW183">
        <f t="shared" si="29"/>
        <v>0</v>
      </c>
    </row>
    <row r="184" spans="1:49" x14ac:dyDescent="0.3">
      <c r="A184">
        <v>3.2469999999999999E-2</v>
      </c>
      <c r="B184" s="16">
        <v>2164.7972649898602</v>
      </c>
      <c r="C184" s="16">
        <v>1.04121060767367E-4</v>
      </c>
      <c r="D184">
        <f t="shared" si="20"/>
        <v>0.22540098757703911</v>
      </c>
      <c r="F184">
        <v>3.2469999999999999E-2</v>
      </c>
      <c r="G184">
        <v>2164.7972649898602</v>
      </c>
      <c r="H184" s="16">
        <v>0</v>
      </c>
      <c r="I184">
        <f t="shared" si="21"/>
        <v>0</v>
      </c>
      <c r="K184">
        <v>3.2469999999999999E-2</v>
      </c>
      <c r="L184">
        <v>2164.7972649898602</v>
      </c>
      <c r="M184" s="16">
        <v>0</v>
      </c>
      <c r="N184">
        <f t="shared" si="22"/>
        <v>0</v>
      </c>
      <c r="P184">
        <v>3.2469999999999999E-2</v>
      </c>
      <c r="Q184">
        <v>2164.7972649898602</v>
      </c>
      <c r="R184" s="16">
        <v>0</v>
      </c>
      <c r="S184">
        <f t="shared" si="23"/>
        <v>0</v>
      </c>
      <c r="U184">
        <v>3.2469999999999999E-2</v>
      </c>
      <c r="V184">
        <v>2164.7972649898602</v>
      </c>
      <c r="W184" s="16">
        <v>0</v>
      </c>
      <c r="X184">
        <f t="shared" si="24"/>
        <v>0</v>
      </c>
      <c r="Z184">
        <v>3.2469999999999999E-2</v>
      </c>
      <c r="AA184">
        <v>2164.7972649898602</v>
      </c>
      <c r="AB184" s="16">
        <v>0</v>
      </c>
      <c r="AC184">
        <f t="shared" si="25"/>
        <v>0</v>
      </c>
      <c r="AE184">
        <v>3.2469999999999999E-2</v>
      </c>
      <c r="AF184">
        <v>2164.7972649898602</v>
      </c>
      <c r="AG184" s="16">
        <v>0</v>
      </c>
      <c r="AH184">
        <f t="shared" si="26"/>
        <v>0</v>
      </c>
      <c r="AJ184">
        <v>3.2469999999999999E-2</v>
      </c>
      <c r="AK184">
        <v>2164.7972649898602</v>
      </c>
      <c r="AL184" s="17">
        <v>1.12620709818283E-7</v>
      </c>
      <c r="AM184">
        <f t="shared" si="27"/>
        <v>2.4380100459583573E-4</v>
      </c>
      <c r="AO184">
        <v>3.2469999999999999E-2</v>
      </c>
      <c r="AP184">
        <v>2164.7972649898602</v>
      </c>
      <c r="AQ184" s="17">
        <v>1.25496184082113E-7</v>
      </c>
      <c r="AR184">
        <f t="shared" si="28"/>
        <v>2.7167379606762225E-4</v>
      </c>
      <c r="AT184">
        <v>3.2469999999999999E-2</v>
      </c>
      <c r="AU184">
        <v>2164.7972649898602</v>
      </c>
      <c r="AV184" s="16">
        <v>0</v>
      </c>
      <c r="AW184">
        <f t="shared" si="29"/>
        <v>0</v>
      </c>
    </row>
    <row r="185" spans="1:49" x14ac:dyDescent="0.3">
      <c r="A185">
        <v>3.6646999999999999E-2</v>
      </c>
      <c r="B185" s="16">
        <v>2112.5790330465302</v>
      </c>
      <c r="C185" s="17">
        <v>9.6702840435426002E-5</v>
      </c>
      <c r="D185">
        <f t="shared" si="20"/>
        <v>0.20429239313992517</v>
      </c>
      <c r="F185">
        <v>3.6646999999999999E-2</v>
      </c>
      <c r="G185">
        <v>2112.5790330465302</v>
      </c>
      <c r="H185" s="16">
        <v>0</v>
      </c>
      <c r="I185">
        <f t="shared" si="21"/>
        <v>0</v>
      </c>
      <c r="K185">
        <v>3.6646999999999999E-2</v>
      </c>
      <c r="L185">
        <v>2112.5790330465302</v>
      </c>
      <c r="M185" s="16">
        <v>0</v>
      </c>
      <c r="N185">
        <f t="shared" si="22"/>
        <v>0</v>
      </c>
      <c r="P185">
        <v>3.6646999999999999E-2</v>
      </c>
      <c r="Q185">
        <v>2112.5790330465302</v>
      </c>
      <c r="R185" s="16">
        <v>0</v>
      </c>
      <c r="S185">
        <f t="shared" si="23"/>
        <v>0</v>
      </c>
      <c r="U185">
        <v>3.6646999999999999E-2</v>
      </c>
      <c r="V185">
        <v>2112.5790330465302</v>
      </c>
      <c r="W185" s="16">
        <v>0</v>
      </c>
      <c r="X185">
        <f t="shared" si="24"/>
        <v>0</v>
      </c>
      <c r="Z185">
        <v>3.6646999999999999E-2</v>
      </c>
      <c r="AA185">
        <v>2112.5790330465302</v>
      </c>
      <c r="AB185" s="16">
        <v>0</v>
      </c>
      <c r="AC185">
        <f t="shared" si="25"/>
        <v>0</v>
      </c>
      <c r="AE185">
        <v>3.6646999999999999E-2</v>
      </c>
      <c r="AF185">
        <v>2112.5790330465302</v>
      </c>
      <c r="AG185" s="16">
        <v>0</v>
      </c>
      <c r="AH185">
        <f t="shared" si="26"/>
        <v>0</v>
      </c>
      <c r="AJ185">
        <v>3.6646999999999999E-2</v>
      </c>
      <c r="AK185">
        <v>2112.5790330465302</v>
      </c>
      <c r="AL185" s="16">
        <v>6.68423678244754E-4</v>
      </c>
      <c r="AM185">
        <f t="shared" si="27"/>
        <v>1.4120978478517074</v>
      </c>
      <c r="AO185">
        <v>3.6646999999999999E-2</v>
      </c>
      <c r="AP185">
        <v>2112.5790330465302</v>
      </c>
      <c r="AQ185" s="17">
        <v>1.10626487593055E-7</v>
      </c>
      <c r="AR185">
        <f t="shared" si="28"/>
        <v>2.3370719818867008E-4</v>
      </c>
      <c r="AT185">
        <v>3.6646999999999999E-2</v>
      </c>
      <c r="AU185">
        <v>2112.5790330465302</v>
      </c>
      <c r="AV185" s="16">
        <v>0</v>
      </c>
      <c r="AW185">
        <f t="shared" si="29"/>
        <v>0</v>
      </c>
    </row>
    <row r="186" spans="1:49" x14ac:dyDescent="0.3">
      <c r="A186">
        <v>4.1360000000000001E-2</v>
      </c>
      <c r="B186" s="16">
        <v>2377.8240760344502</v>
      </c>
      <c r="C186" s="17">
        <v>9.0085389049373503E-5</v>
      </c>
      <c r="D186">
        <f t="shared" si="20"/>
        <v>0.21420720698053053</v>
      </c>
      <c r="F186">
        <v>4.1360000000000001E-2</v>
      </c>
      <c r="G186">
        <v>2377.8240760344502</v>
      </c>
      <c r="H186" s="16">
        <v>0</v>
      </c>
      <c r="I186">
        <f t="shared" si="21"/>
        <v>0</v>
      </c>
      <c r="K186">
        <v>4.1360000000000001E-2</v>
      </c>
      <c r="L186">
        <v>2377.8240760344502</v>
      </c>
      <c r="M186" s="16">
        <v>0</v>
      </c>
      <c r="N186">
        <f t="shared" si="22"/>
        <v>0</v>
      </c>
      <c r="P186">
        <v>4.1360000000000001E-2</v>
      </c>
      <c r="Q186">
        <v>2377.8240760344502</v>
      </c>
      <c r="R186" s="16">
        <v>0</v>
      </c>
      <c r="S186">
        <f t="shared" si="23"/>
        <v>0</v>
      </c>
      <c r="U186">
        <v>4.1360000000000001E-2</v>
      </c>
      <c r="V186">
        <v>2377.8240760344502</v>
      </c>
      <c r="W186" s="16">
        <v>0</v>
      </c>
      <c r="X186">
        <f t="shared" si="24"/>
        <v>0</v>
      </c>
      <c r="Z186">
        <v>4.1360000000000001E-2</v>
      </c>
      <c r="AA186">
        <v>2377.8240760344502</v>
      </c>
      <c r="AB186" s="16">
        <v>0</v>
      </c>
      <c r="AC186">
        <f t="shared" si="25"/>
        <v>0</v>
      </c>
      <c r="AE186">
        <v>4.1360000000000001E-2</v>
      </c>
      <c r="AF186">
        <v>2377.8240760344502</v>
      </c>
      <c r="AG186" s="16">
        <v>0</v>
      </c>
      <c r="AH186">
        <f t="shared" si="26"/>
        <v>0</v>
      </c>
      <c r="AJ186">
        <v>4.1360000000000001E-2</v>
      </c>
      <c r="AK186">
        <v>2377.8240760344502</v>
      </c>
      <c r="AL186" s="17">
        <v>1.9740234276106199E-7</v>
      </c>
      <c r="AM186">
        <f t="shared" si="27"/>
        <v>4.6938804328285809E-4</v>
      </c>
      <c r="AO186">
        <v>4.1360000000000001E-2</v>
      </c>
      <c r="AP186">
        <v>2377.8240760344502</v>
      </c>
      <c r="AQ186" s="17">
        <v>6.7713014429795294E-8</v>
      </c>
      <c r="AR186">
        <f t="shared" si="28"/>
        <v>1.6100963597203539E-4</v>
      </c>
      <c r="AT186">
        <v>4.1360000000000001E-2</v>
      </c>
      <c r="AU186">
        <v>2377.8240760344502</v>
      </c>
      <c r="AV186" s="16">
        <v>0</v>
      </c>
      <c r="AW186">
        <f t="shared" si="29"/>
        <v>0</v>
      </c>
    </row>
    <row r="187" spans="1:49" x14ac:dyDescent="0.3">
      <c r="A187">
        <v>4.6679999999999999E-2</v>
      </c>
      <c r="B187" s="16">
        <v>2279.80420940572</v>
      </c>
      <c r="C187" s="17">
        <v>8.3787894836606996E-5</v>
      </c>
      <c r="D187">
        <f t="shared" si="20"/>
        <v>0.19101999534574043</v>
      </c>
      <c r="F187">
        <v>4.6679999999999999E-2</v>
      </c>
      <c r="G187">
        <v>2279.80420940572</v>
      </c>
      <c r="H187" s="16">
        <v>0</v>
      </c>
      <c r="I187">
        <f t="shared" si="21"/>
        <v>0</v>
      </c>
      <c r="K187">
        <v>4.6679999999999999E-2</v>
      </c>
      <c r="L187">
        <v>2279.80420940572</v>
      </c>
      <c r="M187" s="16">
        <v>0</v>
      </c>
      <c r="N187">
        <f t="shared" si="22"/>
        <v>0</v>
      </c>
      <c r="P187">
        <v>4.6679999999999999E-2</v>
      </c>
      <c r="Q187">
        <v>2279.80420940572</v>
      </c>
      <c r="R187" s="16">
        <v>0</v>
      </c>
      <c r="S187">
        <f t="shared" si="23"/>
        <v>0</v>
      </c>
      <c r="U187">
        <v>4.6679999999999999E-2</v>
      </c>
      <c r="V187">
        <v>2279.80420940572</v>
      </c>
      <c r="W187" s="16">
        <v>0</v>
      </c>
      <c r="X187">
        <f t="shared" si="24"/>
        <v>0</v>
      </c>
      <c r="Z187">
        <v>4.6679999999999999E-2</v>
      </c>
      <c r="AA187">
        <v>2279.80420940572</v>
      </c>
      <c r="AB187" s="16">
        <v>0</v>
      </c>
      <c r="AC187">
        <f t="shared" si="25"/>
        <v>0</v>
      </c>
      <c r="AE187">
        <v>4.6679999999999999E-2</v>
      </c>
      <c r="AF187">
        <v>2279.80420940572</v>
      </c>
      <c r="AG187" s="16">
        <v>0</v>
      </c>
      <c r="AH187">
        <f t="shared" si="26"/>
        <v>0</v>
      </c>
      <c r="AJ187">
        <v>4.6679999999999999E-2</v>
      </c>
      <c r="AK187">
        <v>2279.80420940572</v>
      </c>
      <c r="AL187" s="17">
        <v>4.6018117062575702E-7</v>
      </c>
      <c r="AM187">
        <f t="shared" si="27"/>
        <v>1.0491229698818528E-3</v>
      </c>
      <c r="AO187">
        <v>4.6679999999999999E-2</v>
      </c>
      <c r="AP187">
        <v>2279.80420940572</v>
      </c>
      <c r="AQ187" s="17">
        <v>6.21819001312724E-8</v>
      </c>
      <c r="AR187">
        <f t="shared" si="28"/>
        <v>1.4176255766812091E-4</v>
      </c>
      <c r="AT187">
        <v>4.6679999999999999E-2</v>
      </c>
      <c r="AU187">
        <v>2279.80420940572</v>
      </c>
      <c r="AV187" s="16">
        <v>0</v>
      </c>
      <c r="AW187">
        <f t="shared" si="29"/>
        <v>0</v>
      </c>
    </row>
    <row r="188" spans="1:49" x14ac:dyDescent="0.3">
      <c r="A188">
        <v>5.2684000000000002E-2</v>
      </c>
      <c r="B188" s="16">
        <v>2722.3560031726902</v>
      </c>
      <c r="C188" s="17">
        <v>7.9095524009668801E-5</v>
      </c>
      <c r="D188">
        <f t="shared" si="20"/>
        <v>0.2153261746118115</v>
      </c>
      <c r="F188">
        <v>5.2684000000000002E-2</v>
      </c>
      <c r="G188">
        <v>2722.3560031726902</v>
      </c>
      <c r="H188" s="16">
        <v>0</v>
      </c>
      <c r="I188">
        <f t="shared" si="21"/>
        <v>0</v>
      </c>
      <c r="K188">
        <v>5.2684000000000002E-2</v>
      </c>
      <c r="L188">
        <v>2722.3560031726902</v>
      </c>
      <c r="M188" s="16">
        <v>0</v>
      </c>
      <c r="N188">
        <f t="shared" si="22"/>
        <v>0</v>
      </c>
      <c r="P188">
        <v>5.2684000000000002E-2</v>
      </c>
      <c r="Q188">
        <v>2722.3560031726902</v>
      </c>
      <c r="R188" s="16">
        <v>0</v>
      </c>
      <c r="S188">
        <f t="shared" si="23"/>
        <v>0</v>
      </c>
      <c r="U188">
        <v>5.2684000000000002E-2</v>
      </c>
      <c r="V188">
        <v>2722.3560031726902</v>
      </c>
      <c r="W188" s="16">
        <v>0</v>
      </c>
      <c r="X188">
        <f t="shared" si="24"/>
        <v>0</v>
      </c>
      <c r="Z188">
        <v>5.2684000000000002E-2</v>
      </c>
      <c r="AA188">
        <v>2722.3560031726902</v>
      </c>
      <c r="AB188" s="16">
        <v>0</v>
      </c>
      <c r="AC188">
        <f t="shared" si="25"/>
        <v>0</v>
      </c>
      <c r="AE188">
        <v>5.2684000000000002E-2</v>
      </c>
      <c r="AF188">
        <v>2722.3560031726902</v>
      </c>
      <c r="AG188" s="16">
        <v>0</v>
      </c>
      <c r="AH188">
        <f t="shared" si="26"/>
        <v>0</v>
      </c>
      <c r="AJ188">
        <v>5.2684000000000002E-2</v>
      </c>
      <c r="AK188">
        <v>2722.3560031726902</v>
      </c>
      <c r="AL188" s="17">
        <v>1.1774753453198E-5</v>
      </c>
      <c r="AM188">
        <f t="shared" si="27"/>
        <v>3.2055070749191936E-2</v>
      </c>
      <c r="AO188">
        <v>5.2684000000000002E-2</v>
      </c>
      <c r="AP188">
        <v>2722.3560031726902</v>
      </c>
      <c r="AQ188" s="17">
        <v>5.1037609587697301E-8</v>
      </c>
      <c r="AR188">
        <f t="shared" si="28"/>
        <v>1.389425428486518E-4</v>
      </c>
      <c r="AT188">
        <v>5.2684000000000002E-2</v>
      </c>
      <c r="AU188">
        <v>2722.3560031726902</v>
      </c>
      <c r="AV188" s="16">
        <v>0</v>
      </c>
      <c r="AW188">
        <f t="shared" si="29"/>
        <v>0</v>
      </c>
    </row>
    <row r="189" spans="1:49" x14ac:dyDescent="0.3">
      <c r="A189">
        <v>5.9461E-2</v>
      </c>
      <c r="B189" s="16">
        <v>2334.45318042596</v>
      </c>
      <c r="C189" s="17">
        <v>7.5255626740615607E-5</v>
      </c>
      <c r="D189">
        <f t="shared" si="20"/>
        <v>0.17568073718957902</v>
      </c>
      <c r="F189">
        <v>5.9461E-2</v>
      </c>
      <c r="G189">
        <v>2334.45318042596</v>
      </c>
      <c r="H189" s="16">
        <v>0</v>
      </c>
      <c r="I189">
        <f t="shared" si="21"/>
        <v>0</v>
      </c>
      <c r="K189">
        <v>5.9461E-2</v>
      </c>
      <c r="L189">
        <v>2334.45318042596</v>
      </c>
      <c r="M189" s="16">
        <v>0</v>
      </c>
      <c r="N189">
        <f t="shared" si="22"/>
        <v>0</v>
      </c>
      <c r="P189">
        <v>5.9461E-2</v>
      </c>
      <c r="Q189">
        <v>2334.45318042596</v>
      </c>
      <c r="R189" s="16">
        <v>0</v>
      </c>
      <c r="S189">
        <f t="shared" si="23"/>
        <v>0</v>
      </c>
      <c r="U189">
        <v>5.9461E-2</v>
      </c>
      <c r="V189">
        <v>2334.45318042596</v>
      </c>
      <c r="W189" s="16">
        <v>0</v>
      </c>
      <c r="X189">
        <f t="shared" si="24"/>
        <v>0</v>
      </c>
      <c r="Z189">
        <v>5.9461E-2</v>
      </c>
      <c r="AA189">
        <v>2334.45318042596</v>
      </c>
      <c r="AB189" s="16">
        <v>0</v>
      </c>
      <c r="AC189">
        <f t="shared" si="25"/>
        <v>0</v>
      </c>
      <c r="AE189">
        <v>5.9461E-2</v>
      </c>
      <c r="AF189">
        <v>2334.45318042596</v>
      </c>
      <c r="AG189" s="16">
        <v>0</v>
      </c>
      <c r="AH189">
        <f t="shared" si="26"/>
        <v>0</v>
      </c>
      <c r="AJ189">
        <v>5.9461E-2</v>
      </c>
      <c r="AK189">
        <v>2334.45318042596</v>
      </c>
      <c r="AL189" s="17">
        <v>3.3519756004186501E-5</v>
      </c>
      <c r="AM189">
        <f t="shared" si="27"/>
        <v>7.8250301011075343E-2</v>
      </c>
      <c r="AO189">
        <v>5.9461E-2</v>
      </c>
      <c r="AP189">
        <v>2334.45318042596</v>
      </c>
      <c r="AQ189" s="17">
        <v>5.9287431427363097E-8</v>
      </c>
      <c r="AR189">
        <f t="shared" si="28"/>
        <v>1.3840373285489379E-4</v>
      </c>
      <c r="AT189">
        <v>5.9461E-2</v>
      </c>
      <c r="AU189">
        <v>2334.45318042596</v>
      </c>
      <c r="AV189" s="16">
        <v>0</v>
      </c>
      <c r="AW189">
        <f t="shared" si="29"/>
        <v>0</v>
      </c>
    </row>
    <row r="190" spans="1:49" x14ac:dyDescent="0.3">
      <c r="A190">
        <v>6.7109000000000002E-2</v>
      </c>
      <c r="B190" s="16">
        <v>2718.8795534463502</v>
      </c>
      <c r="C190" s="17">
        <v>7.1040178269464794E-5</v>
      </c>
      <c r="D190">
        <f t="shared" si="20"/>
        <v>0.19314968817003156</v>
      </c>
      <c r="F190">
        <v>6.7109000000000002E-2</v>
      </c>
      <c r="G190">
        <v>2718.8795534463502</v>
      </c>
      <c r="H190" s="16">
        <v>0</v>
      </c>
      <c r="I190">
        <f t="shared" si="21"/>
        <v>0</v>
      </c>
      <c r="K190">
        <v>6.7109000000000002E-2</v>
      </c>
      <c r="L190">
        <v>2718.8795534463502</v>
      </c>
      <c r="M190" s="16">
        <v>0</v>
      </c>
      <c r="N190">
        <f t="shared" si="22"/>
        <v>0</v>
      </c>
      <c r="P190">
        <v>6.7109000000000002E-2</v>
      </c>
      <c r="Q190">
        <v>2718.8795534463502</v>
      </c>
      <c r="R190" s="16">
        <v>0</v>
      </c>
      <c r="S190">
        <f t="shared" si="23"/>
        <v>0</v>
      </c>
      <c r="U190">
        <v>6.7109000000000002E-2</v>
      </c>
      <c r="V190">
        <v>2718.8795534463502</v>
      </c>
      <c r="W190" s="16">
        <v>0</v>
      </c>
      <c r="X190">
        <f t="shared" si="24"/>
        <v>0</v>
      </c>
      <c r="Z190">
        <v>6.7109000000000002E-2</v>
      </c>
      <c r="AA190">
        <v>2718.8795534463502</v>
      </c>
      <c r="AB190" s="16">
        <v>0</v>
      </c>
      <c r="AC190">
        <f t="shared" si="25"/>
        <v>0</v>
      </c>
      <c r="AE190">
        <v>6.7109000000000002E-2</v>
      </c>
      <c r="AF190">
        <v>2718.8795534463502</v>
      </c>
      <c r="AG190" s="16">
        <v>0</v>
      </c>
      <c r="AH190">
        <f t="shared" si="26"/>
        <v>0</v>
      </c>
      <c r="AJ190">
        <v>6.7109000000000002E-2</v>
      </c>
      <c r="AK190">
        <v>2718.8795534463502</v>
      </c>
      <c r="AL190" s="17">
        <v>4.7022068922532399E-7</v>
      </c>
      <c r="AM190">
        <f t="shared" si="27"/>
        <v>1.278473417542184E-3</v>
      </c>
      <c r="AO190">
        <v>6.7109000000000002E-2</v>
      </c>
      <c r="AP190">
        <v>2718.8795534463502</v>
      </c>
      <c r="AQ190" s="17">
        <v>5.2547427099157E-8</v>
      </c>
      <c r="AR190">
        <f t="shared" si="28"/>
        <v>1.4287012512611064E-4</v>
      </c>
      <c r="AT190">
        <v>6.7109000000000002E-2</v>
      </c>
      <c r="AU190">
        <v>2718.8795534463502</v>
      </c>
      <c r="AV190" s="16">
        <v>0</v>
      </c>
      <c r="AW190">
        <f t="shared" si="29"/>
        <v>0</v>
      </c>
    </row>
    <row r="191" spans="1:49" x14ac:dyDescent="0.3">
      <c r="A191">
        <v>7.5741000000000003E-2</v>
      </c>
      <c r="B191" s="16">
        <v>2752.9345287739302</v>
      </c>
      <c r="C191" s="17">
        <v>6.7336019263561904E-5</v>
      </c>
      <c r="D191">
        <f t="shared" si="20"/>
        <v>0.18537165246084608</v>
      </c>
      <c r="F191">
        <v>7.5741000000000003E-2</v>
      </c>
      <c r="G191">
        <v>2752.9345287739302</v>
      </c>
      <c r="H191" s="16">
        <v>0</v>
      </c>
      <c r="I191">
        <f t="shared" si="21"/>
        <v>0</v>
      </c>
      <c r="K191">
        <v>7.5741000000000003E-2</v>
      </c>
      <c r="L191">
        <v>2752.9345287739302</v>
      </c>
      <c r="M191" s="16">
        <v>0</v>
      </c>
      <c r="N191">
        <f t="shared" si="22"/>
        <v>0</v>
      </c>
      <c r="P191">
        <v>7.5741000000000003E-2</v>
      </c>
      <c r="Q191">
        <v>2752.9345287739302</v>
      </c>
      <c r="R191" s="16">
        <v>0</v>
      </c>
      <c r="S191">
        <f t="shared" si="23"/>
        <v>0</v>
      </c>
      <c r="U191">
        <v>7.5741000000000003E-2</v>
      </c>
      <c r="V191">
        <v>2752.9345287739302</v>
      </c>
      <c r="W191" s="16">
        <v>0</v>
      </c>
      <c r="X191">
        <f t="shared" si="24"/>
        <v>0</v>
      </c>
      <c r="Z191">
        <v>7.5741000000000003E-2</v>
      </c>
      <c r="AA191">
        <v>2752.9345287739302</v>
      </c>
      <c r="AB191" s="16">
        <v>0</v>
      </c>
      <c r="AC191">
        <f t="shared" si="25"/>
        <v>0</v>
      </c>
      <c r="AE191">
        <v>7.5741000000000003E-2</v>
      </c>
      <c r="AF191">
        <v>2752.9345287739302</v>
      </c>
      <c r="AG191" s="16">
        <v>0</v>
      </c>
      <c r="AH191">
        <f t="shared" si="26"/>
        <v>0</v>
      </c>
      <c r="AJ191">
        <v>7.5741000000000003E-2</v>
      </c>
      <c r="AK191">
        <v>2752.9345287739302</v>
      </c>
      <c r="AL191" s="17">
        <v>1.5361858367436601E-7</v>
      </c>
      <c r="AM191">
        <f t="shared" si="27"/>
        <v>4.2290190325850938E-4</v>
      </c>
      <c r="AO191">
        <v>7.5741000000000003E-2</v>
      </c>
      <c r="AP191">
        <v>2752.9345287739302</v>
      </c>
      <c r="AQ191" s="17">
        <v>5.30726559315358E-8</v>
      </c>
      <c r="AR191">
        <f t="shared" si="28"/>
        <v>1.4610554704766343E-4</v>
      </c>
      <c r="AT191">
        <v>7.5741000000000003E-2</v>
      </c>
      <c r="AU191">
        <v>2752.9345287739302</v>
      </c>
      <c r="AV191" s="16">
        <v>0</v>
      </c>
      <c r="AW191">
        <f t="shared" si="29"/>
        <v>0</v>
      </c>
    </row>
    <row r="192" spans="1:49" x14ac:dyDescent="0.3">
      <c r="A192">
        <v>8.5483000000000003E-2</v>
      </c>
      <c r="B192" s="16">
        <v>3306.4776040066999</v>
      </c>
      <c r="C192" s="17">
        <v>6.1434476278400801E-5</v>
      </c>
      <c r="D192">
        <f t="shared" si="20"/>
        <v>0.20313171992841311</v>
      </c>
      <c r="F192">
        <v>8.5483000000000003E-2</v>
      </c>
      <c r="G192">
        <v>3306.4776040066999</v>
      </c>
      <c r="H192" s="16">
        <v>0</v>
      </c>
      <c r="I192">
        <f t="shared" si="21"/>
        <v>0</v>
      </c>
      <c r="K192">
        <v>8.5483000000000003E-2</v>
      </c>
      <c r="L192">
        <v>3306.4776040066999</v>
      </c>
      <c r="M192" s="16">
        <v>0</v>
      </c>
      <c r="N192">
        <f t="shared" si="22"/>
        <v>0</v>
      </c>
      <c r="P192">
        <v>8.5483000000000003E-2</v>
      </c>
      <c r="Q192">
        <v>3306.4776040066999</v>
      </c>
      <c r="R192" s="16">
        <v>0</v>
      </c>
      <c r="S192">
        <f t="shared" si="23"/>
        <v>0</v>
      </c>
      <c r="U192">
        <v>8.5483000000000003E-2</v>
      </c>
      <c r="V192">
        <v>3306.4776040066999</v>
      </c>
      <c r="W192" s="16">
        <v>0</v>
      </c>
      <c r="X192">
        <f t="shared" si="24"/>
        <v>0</v>
      </c>
      <c r="Z192">
        <v>8.5483000000000003E-2</v>
      </c>
      <c r="AA192">
        <v>3306.4776040066999</v>
      </c>
      <c r="AB192" s="16">
        <v>0</v>
      </c>
      <c r="AC192">
        <f t="shared" si="25"/>
        <v>0</v>
      </c>
      <c r="AE192">
        <v>8.5483000000000003E-2</v>
      </c>
      <c r="AF192">
        <v>3306.4776040066999</v>
      </c>
      <c r="AG192" s="16">
        <v>0</v>
      </c>
      <c r="AH192">
        <f t="shared" si="26"/>
        <v>0</v>
      </c>
      <c r="AJ192">
        <v>8.5483000000000003E-2</v>
      </c>
      <c r="AK192">
        <v>3306.4776040066999</v>
      </c>
      <c r="AL192" s="17">
        <v>9.0487284403467805E-8</v>
      </c>
      <c r="AM192">
        <f t="shared" si="27"/>
        <v>2.9919417932745108E-4</v>
      </c>
      <c r="AO192">
        <v>8.5483000000000003E-2</v>
      </c>
      <c r="AP192">
        <v>3306.4776040066999</v>
      </c>
      <c r="AQ192" s="17">
        <v>5.3912756567499802E-8</v>
      </c>
      <c r="AR192">
        <f t="shared" si="28"/>
        <v>1.7826132216070323E-4</v>
      </c>
      <c r="AT192">
        <v>8.5483000000000003E-2</v>
      </c>
      <c r="AU192">
        <v>3306.4776040066999</v>
      </c>
      <c r="AV192" s="16">
        <v>0</v>
      </c>
      <c r="AW192">
        <f t="shared" si="29"/>
        <v>0</v>
      </c>
    </row>
    <row r="193" spans="1:49" x14ac:dyDescent="0.3">
      <c r="A193">
        <v>9.6477999999999994E-2</v>
      </c>
      <c r="B193" s="16">
        <v>3072.0889380458698</v>
      </c>
      <c r="C193" s="17">
        <v>5.7185705104983897E-5</v>
      </c>
      <c r="D193">
        <f t="shared" si="20"/>
        <v>0.17567957206737425</v>
      </c>
      <c r="F193">
        <v>9.6477999999999994E-2</v>
      </c>
      <c r="G193">
        <v>3072.0889380458698</v>
      </c>
      <c r="H193" s="16">
        <v>0</v>
      </c>
      <c r="I193">
        <f t="shared" si="21"/>
        <v>0</v>
      </c>
      <c r="K193">
        <v>9.6477999999999994E-2</v>
      </c>
      <c r="L193">
        <v>3072.0889380458698</v>
      </c>
      <c r="M193" s="16">
        <v>0</v>
      </c>
      <c r="N193">
        <f t="shared" si="22"/>
        <v>0</v>
      </c>
      <c r="P193">
        <v>9.6477999999999994E-2</v>
      </c>
      <c r="Q193">
        <v>3072.0889380458698</v>
      </c>
      <c r="R193" s="16">
        <v>0</v>
      </c>
      <c r="S193">
        <f t="shared" si="23"/>
        <v>0</v>
      </c>
      <c r="U193">
        <v>9.6477999999999994E-2</v>
      </c>
      <c r="V193">
        <v>3072.0889380458698</v>
      </c>
      <c r="W193" s="16">
        <v>0</v>
      </c>
      <c r="X193">
        <f t="shared" si="24"/>
        <v>0</v>
      </c>
      <c r="Z193">
        <v>9.6477999999999994E-2</v>
      </c>
      <c r="AA193">
        <v>3072.0889380458698</v>
      </c>
      <c r="AB193" s="16">
        <v>0</v>
      </c>
      <c r="AC193">
        <f t="shared" si="25"/>
        <v>0</v>
      </c>
      <c r="AE193">
        <v>9.6477999999999994E-2</v>
      </c>
      <c r="AF193">
        <v>3072.0889380458698</v>
      </c>
      <c r="AG193" s="16">
        <v>0</v>
      </c>
      <c r="AH193">
        <f t="shared" si="26"/>
        <v>0</v>
      </c>
      <c r="AJ193">
        <v>9.6477999999999994E-2</v>
      </c>
      <c r="AK193">
        <v>3072.0889380458698</v>
      </c>
      <c r="AL193" s="17">
        <v>6.9084376410631897E-8</v>
      </c>
      <c r="AM193">
        <f t="shared" si="27"/>
        <v>2.1223334856289929E-4</v>
      </c>
      <c r="AO193">
        <v>9.6477999999999994E-2</v>
      </c>
      <c r="AP193">
        <v>3072.0889380458698</v>
      </c>
      <c r="AQ193" s="17">
        <v>5.44877547442551E-8</v>
      </c>
      <c r="AR193">
        <f t="shared" si="28"/>
        <v>1.6739122860878245E-4</v>
      </c>
      <c r="AT193">
        <v>9.6477999999999994E-2</v>
      </c>
      <c r="AU193">
        <v>3072.0889380458698</v>
      </c>
      <c r="AV193" s="16">
        <v>0</v>
      </c>
      <c r="AW193">
        <f t="shared" si="29"/>
        <v>0</v>
      </c>
    </row>
    <row r="194" spans="1:49" x14ac:dyDescent="0.3">
      <c r="A194">
        <v>0.10889</v>
      </c>
      <c r="B194" s="16">
        <v>2947.8550472709198</v>
      </c>
      <c r="C194" s="17">
        <v>5.8004017148219499E-5</v>
      </c>
      <c r="D194">
        <f t="shared" si="20"/>
        <v>0.17098743471236783</v>
      </c>
      <c r="F194">
        <v>0.10889</v>
      </c>
      <c r="G194">
        <v>2947.8550472709198</v>
      </c>
      <c r="H194" s="16">
        <v>0</v>
      </c>
      <c r="I194">
        <f t="shared" si="21"/>
        <v>0</v>
      </c>
      <c r="K194">
        <v>0.10889</v>
      </c>
      <c r="L194">
        <v>2947.8550472709198</v>
      </c>
      <c r="M194" s="16">
        <v>0</v>
      </c>
      <c r="N194">
        <f t="shared" si="22"/>
        <v>0</v>
      </c>
      <c r="P194">
        <v>0.10889</v>
      </c>
      <c r="Q194">
        <v>2947.8550472709198</v>
      </c>
      <c r="R194" s="16">
        <v>0</v>
      </c>
      <c r="S194">
        <f t="shared" si="23"/>
        <v>0</v>
      </c>
      <c r="U194">
        <v>0.10889</v>
      </c>
      <c r="V194">
        <v>2947.8550472709198</v>
      </c>
      <c r="W194" s="16">
        <v>0</v>
      </c>
      <c r="X194">
        <f t="shared" si="24"/>
        <v>0</v>
      </c>
      <c r="Z194">
        <v>0.10889</v>
      </c>
      <c r="AA194">
        <v>2947.8550472709198</v>
      </c>
      <c r="AB194" s="16">
        <v>0</v>
      </c>
      <c r="AC194">
        <f t="shared" si="25"/>
        <v>0</v>
      </c>
      <c r="AE194">
        <v>0.10889</v>
      </c>
      <c r="AF194">
        <v>2947.8550472709198</v>
      </c>
      <c r="AG194" s="16">
        <v>0</v>
      </c>
      <c r="AH194">
        <f t="shared" si="26"/>
        <v>0</v>
      </c>
      <c r="AJ194">
        <v>0.10889</v>
      </c>
      <c r="AK194">
        <v>2947.8550472709198</v>
      </c>
      <c r="AL194" s="17">
        <v>6.8186852107012296E-8</v>
      </c>
      <c r="AM194">
        <f t="shared" si="27"/>
        <v>2.0100495614117195E-4</v>
      </c>
      <c r="AO194">
        <v>0.10889</v>
      </c>
      <c r="AP194">
        <v>2947.8550472709198</v>
      </c>
      <c r="AQ194" s="17">
        <v>4.89191522629098E-8</v>
      </c>
      <c r="AR194">
        <f t="shared" si="28"/>
        <v>1.4420656990643329E-4</v>
      </c>
      <c r="AT194">
        <v>0.10889</v>
      </c>
      <c r="AU194">
        <v>2947.8550472709198</v>
      </c>
      <c r="AV194" s="16">
        <v>0</v>
      </c>
      <c r="AW194">
        <f t="shared" si="29"/>
        <v>0</v>
      </c>
    </row>
    <row r="195" spans="1:49" x14ac:dyDescent="0.3">
      <c r="A195">
        <v>0.12289</v>
      </c>
      <c r="B195" s="16">
        <v>3799.0321359643899</v>
      </c>
      <c r="C195" s="17">
        <v>5.3907227672711898E-5</v>
      </c>
      <c r="D195">
        <f t="shared" si="20"/>
        <v>0.20479529028938134</v>
      </c>
      <c r="F195">
        <v>0.12289</v>
      </c>
      <c r="G195">
        <v>3799.0321359643899</v>
      </c>
      <c r="H195" s="16">
        <v>0</v>
      </c>
      <c r="I195">
        <f t="shared" si="21"/>
        <v>0</v>
      </c>
      <c r="K195">
        <v>0.12289</v>
      </c>
      <c r="L195">
        <v>3799.0321359643899</v>
      </c>
      <c r="M195" s="16">
        <v>0</v>
      </c>
      <c r="N195">
        <f t="shared" si="22"/>
        <v>0</v>
      </c>
      <c r="P195">
        <v>0.12289</v>
      </c>
      <c r="Q195">
        <v>3799.0321359643899</v>
      </c>
      <c r="R195" s="16">
        <v>0</v>
      </c>
      <c r="S195">
        <f t="shared" si="23"/>
        <v>0</v>
      </c>
      <c r="U195">
        <v>0.12289</v>
      </c>
      <c r="V195">
        <v>3799.0321359643899</v>
      </c>
      <c r="W195" s="16">
        <v>0</v>
      </c>
      <c r="X195">
        <f t="shared" si="24"/>
        <v>0</v>
      </c>
      <c r="Z195">
        <v>0.12289</v>
      </c>
      <c r="AA195">
        <v>3799.0321359643899</v>
      </c>
      <c r="AB195" s="16">
        <v>0</v>
      </c>
      <c r="AC195">
        <f t="shared" si="25"/>
        <v>0</v>
      </c>
      <c r="AE195">
        <v>0.12289</v>
      </c>
      <c r="AF195">
        <v>3799.0321359643899</v>
      </c>
      <c r="AG195" s="16">
        <v>0</v>
      </c>
      <c r="AH195">
        <f t="shared" si="26"/>
        <v>0</v>
      </c>
      <c r="AJ195">
        <v>0.12289</v>
      </c>
      <c r="AK195">
        <v>3799.0321359643899</v>
      </c>
      <c r="AL195" s="16">
        <v>3.1814433904513899E-4</v>
      </c>
      <c r="AM195">
        <f t="shared" si="27"/>
        <v>1.2086405679076335</v>
      </c>
      <c r="AO195">
        <v>0.12289</v>
      </c>
      <c r="AP195">
        <v>3799.0321359643899</v>
      </c>
      <c r="AQ195" s="17">
        <v>1.5273558082715401E-8</v>
      </c>
      <c r="AR195">
        <f t="shared" si="28"/>
        <v>5.8024737986754462E-5</v>
      </c>
      <c r="AT195">
        <v>0.12289</v>
      </c>
      <c r="AU195">
        <v>3799.0321359643899</v>
      </c>
      <c r="AV195" s="16">
        <v>0</v>
      </c>
      <c r="AW195">
        <f t="shared" si="29"/>
        <v>0</v>
      </c>
    </row>
    <row r="196" spans="1:49" x14ac:dyDescent="0.3">
      <c r="A196">
        <v>0.13869999999999999</v>
      </c>
      <c r="B196" s="16">
        <v>4032.5180478761399</v>
      </c>
      <c r="C196" s="17">
        <v>5.0743481084013398E-5</v>
      </c>
      <c r="D196">
        <f t="shared" ref="D196:D241" si="30">B196*C196</f>
        <v>0.20462400328334554</v>
      </c>
      <c r="F196">
        <v>0.13869999999999999</v>
      </c>
      <c r="G196">
        <v>4032.5180478761399</v>
      </c>
      <c r="H196" s="16">
        <v>0</v>
      </c>
      <c r="I196">
        <f t="shared" ref="I196:I241" si="31">G196*H196</f>
        <v>0</v>
      </c>
      <c r="K196">
        <v>0.13869999999999999</v>
      </c>
      <c r="L196">
        <v>4032.5180478761399</v>
      </c>
      <c r="M196" s="16">
        <v>0</v>
      </c>
      <c r="N196">
        <f t="shared" ref="N196:N241" si="32">L196*M196</f>
        <v>0</v>
      </c>
      <c r="P196">
        <v>0.13869999999999999</v>
      </c>
      <c r="Q196">
        <v>4032.5180478761399</v>
      </c>
      <c r="R196" s="16">
        <v>0</v>
      </c>
      <c r="S196">
        <f t="shared" ref="S196:S241" si="33">Q196*R196</f>
        <v>0</v>
      </c>
      <c r="U196">
        <v>0.13869999999999999</v>
      </c>
      <c r="V196">
        <v>4032.5180478761399</v>
      </c>
      <c r="W196" s="16">
        <v>0</v>
      </c>
      <c r="X196">
        <f t="shared" ref="X196:X241" si="34">V196*W196</f>
        <v>0</v>
      </c>
      <c r="Z196">
        <v>0.13869999999999999</v>
      </c>
      <c r="AA196">
        <v>4032.5180478761399</v>
      </c>
      <c r="AB196" s="16">
        <v>0</v>
      </c>
      <c r="AC196">
        <f t="shared" ref="AC196:AC241" si="35">AA196*AB196</f>
        <v>0</v>
      </c>
      <c r="AE196">
        <v>0.13869999999999999</v>
      </c>
      <c r="AF196">
        <v>4032.5180478761399</v>
      </c>
      <c r="AG196" s="16">
        <v>0</v>
      </c>
      <c r="AH196">
        <f t="shared" ref="AH196:AH241" si="36">AF196*AG196</f>
        <v>0</v>
      </c>
      <c r="AJ196">
        <v>0.13869999999999999</v>
      </c>
      <c r="AK196">
        <v>4032.5180478761399</v>
      </c>
      <c r="AL196" s="17">
        <v>8.7403345341923999E-8</v>
      </c>
      <c r="AM196">
        <f t="shared" ref="AM196:AM241" si="37">AK196*AL196</f>
        <v>3.5245556753605949E-4</v>
      </c>
      <c r="AO196">
        <v>0.13869999999999999</v>
      </c>
      <c r="AP196">
        <v>4032.5180478761399</v>
      </c>
      <c r="AQ196" s="17">
        <v>1.4447266873318801E-8</v>
      </c>
      <c r="AR196">
        <f t="shared" ref="AR196:AR241" si="38">AP196*AQ196</f>
        <v>5.8258864409141153E-5</v>
      </c>
      <c r="AT196">
        <v>0.13869999999999999</v>
      </c>
      <c r="AU196">
        <v>4032.5180478761399</v>
      </c>
      <c r="AV196" s="16">
        <v>0</v>
      </c>
      <c r="AW196">
        <f t="shared" ref="AW196:AW241" si="39">AU196*AV196</f>
        <v>0</v>
      </c>
    </row>
    <row r="197" spans="1:49" x14ac:dyDescent="0.3">
      <c r="A197">
        <v>0.15654000000000001</v>
      </c>
      <c r="B197" s="16">
        <v>4670.2010818749204</v>
      </c>
      <c r="C197" s="17">
        <v>4.9426959179728601E-5</v>
      </c>
      <c r="D197">
        <f t="shared" si="30"/>
        <v>0.23083383823495604</v>
      </c>
      <c r="F197">
        <v>0.15654000000000001</v>
      </c>
      <c r="G197">
        <v>4670.2010818749204</v>
      </c>
      <c r="H197" s="16">
        <v>0</v>
      </c>
      <c r="I197">
        <f t="shared" si="31"/>
        <v>0</v>
      </c>
      <c r="K197">
        <v>0.15654000000000001</v>
      </c>
      <c r="L197">
        <v>4670.2010818749204</v>
      </c>
      <c r="M197" s="16">
        <v>0</v>
      </c>
      <c r="N197">
        <f t="shared" si="32"/>
        <v>0</v>
      </c>
      <c r="P197">
        <v>0.15654000000000001</v>
      </c>
      <c r="Q197">
        <v>4670.2010818749204</v>
      </c>
      <c r="R197" s="16">
        <v>0</v>
      </c>
      <c r="S197">
        <f t="shared" si="33"/>
        <v>0</v>
      </c>
      <c r="U197">
        <v>0.15654000000000001</v>
      </c>
      <c r="V197">
        <v>4670.2010818749204</v>
      </c>
      <c r="W197" s="16">
        <v>0</v>
      </c>
      <c r="X197">
        <f t="shared" si="34"/>
        <v>0</v>
      </c>
      <c r="Z197">
        <v>0.15654000000000001</v>
      </c>
      <c r="AA197">
        <v>4670.2010818749204</v>
      </c>
      <c r="AB197" s="16">
        <v>0</v>
      </c>
      <c r="AC197">
        <f t="shared" si="35"/>
        <v>0</v>
      </c>
      <c r="AE197">
        <v>0.15654000000000001</v>
      </c>
      <c r="AF197">
        <v>4670.2010818749204</v>
      </c>
      <c r="AG197" s="16">
        <v>0</v>
      </c>
      <c r="AH197">
        <f t="shared" si="36"/>
        <v>0</v>
      </c>
      <c r="AJ197">
        <v>0.15654000000000001</v>
      </c>
      <c r="AK197">
        <v>4670.2010818749204</v>
      </c>
      <c r="AL197" s="16">
        <v>1.34422498789743E-4</v>
      </c>
      <c r="AM197">
        <f t="shared" si="37"/>
        <v>0.62778009927618794</v>
      </c>
      <c r="AO197">
        <v>0.15654000000000001</v>
      </c>
      <c r="AP197">
        <v>4670.2010818749204</v>
      </c>
      <c r="AQ197" s="17">
        <v>1.2980502599683401E-8</v>
      </c>
      <c r="AR197">
        <f t="shared" si="38"/>
        <v>6.0621557284321637E-5</v>
      </c>
      <c r="AT197">
        <v>0.15654000000000001</v>
      </c>
      <c r="AU197">
        <v>4670.2010818749204</v>
      </c>
      <c r="AV197" s="16">
        <v>0</v>
      </c>
      <c r="AW197">
        <f t="shared" si="39"/>
        <v>0</v>
      </c>
    </row>
    <row r="198" spans="1:49" x14ac:dyDescent="0.3">
      <c r="A198">
        <v>0.17668</v>
      </c>
      <c r="B198" s="16">
        <v>4672.88339233648</v>
      </c>
      <c r="C198" s="17">
        <v>4.83308852667054E-5</v>
      </c>
      <c r="D198">
        <f t="shared" si="30"/>
        <v>0.22584459109970753</v>
      </c>
      <c r="F198">
        <v>0.17668</v>
      </c>
      <c r="G198">
        <v>4672.88339233648</v>
      </c>
      <c r="H198" s="16">
        <v>0</v>
      </c>
      <c r="I198">
        <f t="shared" si="31"/>
        <v>0</v>
      </c>
      <c r="K198">
        <v>0.17668</v>
      </c>
      <c r="L198">
        <v>4672.88339233648</v>
      </c>
      <c r="M198" s="16">
        <v>0</v>
      </c>
      <c r="N198">
        <f t="shared" si="32"/>
        <v>0</v>
      </c>
      <c r="P198">
        <v>0.17668</v>
      </c>
      <c r="Q198">
        <v>4672.88339233648</v>
      </c>
      <c r="R198" s="16">
        <v>0</v>
      </c>
      <c r="S198">
        <f t="shared" si="33"/>
        <v>0</v>
      </c>
      <c r="U198">
        <v>0.17668</v>
      </c>
      <c r="V198">
        <v>4672.88339233648</v>
      </c>
      <c r="W198" s="16">
        <v>0</v>
      </c>
      <c r="X198">
        <f t="shared" si="34"/>
        <v>0</v>
      </c>
      <c r="Z198">
        <v>0.17668</v>
      </c>
      <c r="AA198">
        <v>4672.88339233648</v>
      </c>
      <c r="AB198" s="16">
        <v>0</v>
      </c>
      <c r="AC198">
        <f t="shared" si="35"/>
        <v>0</v>
      </c>
      <c r="AE198">
        <v>0.17668</v>
      </c>
      <c r="AF198">
        <v>4672.88339233648</v>
      </c>
      <c r="AG198" s="16">
        <v>0</v>
      </c>
      <c r="AH198">
        <f t="shared" si="36"/>
        <v>0</v>
      </c>
      <c r="AJ198">
        <v>0.17668</v>
      </c>
      <c r="AK198">
        <v>4672.88339233648</v>
      </c>
      <c r="AL198" s="17">
        <v>1.82855573569776E-7</v>
      </c>
      <c r="AM198">
        <f t="shared" si="37"/>
        <v>8.5446277293036766E-4</v>
      </c>
      <c r="AO198">
        <v>0.17668</v>
      </c>
      <c r="AP198">
        <v>4672.88339233648</v>
      </c>
      <c r="AQ198" s="17">
        <v>1.2194509751492801E-8</v>
      </c>
      <c r="AR198">
        <f t="shared" si="38"/>
        <v>5.6983522095435962E-5</v>
      </c>
      <c r="AT198">
        <v>0.17668</v>
      </c>
      <c r="AU198">
        <v>4672.88339233648</v>
      </c>
      <c r="AV198" s="16">
        <v>0</v>
      </c>
      <c r="AW198">
        <f t="shared" si="39"/>
        <v>0</v>
      </c>
    </row>
    <row r="199" spans="1:49" x14ac:dyDescent="0.3">
      <c r="A199">
        <v>0.19939999999999999</v>
      </c>
      <c r="B199" s="16">
        <v>3690.0382008510501</v>
      </c>
      <c r="C199" s="17">
        <v>4.6859169376463701E-5</v>
      </c>
      <c r="D199">
        <f t="shared" si="30"/>
        <v>0.17291212505930073</v>
      </c>
      <c r="F199">
        <v>0.19939999999999999</v>
      </c>
      <c r="G199">
        <v>3690.0382008510501</v>
      </c>
      <c r="H199" s="16">
        <v>0</v>
      </c>
      <c r="I199">
        <f t="shared" si="31"/>
        <v>0</v>
      </c>
      <c r="K199">
        <v>0.19939999999999999</v>
      </c>
      <c r="L199">
        <v>3690.0382008510501</v>
      </c>
      <c r="M199" s="16">
        <v>0</v>
      </c>
      <c r="N199">
        <f t="shared" si="32"/>
        <v>0</v>
      </c>
      <c r="P199">
        <v>0.19939999999999999</v>
      </c>
      <c r="Q199">
        <v>3690.0382008510501</v>
      </c>
      <c r="R199" s="16">
        <v>0</v>
      </c>
      <c r="S199">
        <f t="shared" si="33"/>
        <v>0</v>
      </c>
      <c r="U199">
        <v>0.19939999999999999</v>
      </c>
      <c r="V199">
        <v>3690.0382008510501</v>
      </c>
      <c r="W199" s="16">
        <v>0</v>
      </c>
      <c r="X199">
        <f t="shared" si="34"/>
        <v>0</v>
      </c>
      <c r="Z199">
        <v>0.19939999999999999</v>
      </c>
      <c r="AA199">
        <v>3690.0382008510501</v>
      </c>
      <c r="AB199" s="16">
        <v>0</v>
      </c>
      <c r="AC199">
        <f t="shared" si="35"/>
        <v>0</v>
      </c>
      <c r="AE199">
        <v>0.19939999999999999</v>
      </c>
      <c r="AF199">
        <v>3690.0382008510501</v>
      </c>
      <c r="AG199" s="16">
        <v>0</v>
      </c>
      <c r="AH199">
        <f t="shared" si="36"/>
        <v>0</v>
      </c>
      <c r="AJ199">
        <v>0.19939999999999999</v>
      </c>
      <c r="AK199">
        <v>3690.0382008510501</v>
      </c>
      <c r="AL199" s="16">
        <v>1.15679220175912E-4</v>
      </c>
      <c r="AM199">
        <f t="shared" si="37"/>
        <v>0.42686074149377479</v>
      </c>
      <c r="AO199">
        <v>0.19939999999999999</v>
      </c>
      <c r="AP199">
        <v>3690.0382008510501</v>
      </c>
      <c r="AQ199" s="17">
        <v>1.11804322838995E-8</v>
      </c>
      <c r="AR199">
        <f t="shared" si="38"/>
        <v>4.1256222229617506E-5</v>
      </c>
      <c r="AT199">
        <v>0.19939999999999999</v>
      </c>
      <c r="AU199">
        <v>3690.0382008510501</v>
      </c>
      <c r="AV199" s="16">
        <v>0</v>
      </c>
      <c r="AW199">
        <f t="shared" si="39"/>
        <v>0</v>
      </c>
    </row>
    <row r="200" spans="1:49" x14ac:dyDescent="0.3">
      <c r="A200">
        <v>0.22505</v>
      </c>
      <c r="B200" s="16">
        <v>3703.34504128053</v>
      </c>
      <c r="C200" s="17">
        <v>4.5346408714673497E-5</v>
      </c>
      <c r="D200">
        <f t="shared" si="30"/>
        <v>0.16793339785336631</v>
      </c>
      <c r="F200">
        <v>0.22505</v>
      </c>
      <c r="G200">
        <v>3703.34504128053</v>
      </c>
      <c r="H200" s="16">
        <v>0</v>
      </c>
      <c r="I200">
        <f t="shared" si="31"/>
        <v>0</v>
      </c>
      <c r="K200">
        <v>0.22505</v>
      </c>
      <c r="L200">
        <v>3703.34504128053</v>
      </c>
      <c r="M200" s="16">
        <v>0</v>
      </c>
      <c r="N200">
        <f t="shared" si="32"/>
        <v>0</v>
      </c>
      <c r="P200">
        <v>0.22505</v>
      </c>
      <c r="Q200">
        <v>3703.34504128053</v>
      </c>
      <c r="R200" s="16">
        <v>0</v>
      </c>
      <c r="S200">
        <f t="shared" si="33"/>
        <v>0</v>
      </c>
      <c r="U200">
        <v>0.22505</v>
      </c>
      <c r="V200">
        <v>3703.34504128053</v>
      </c>
      <c r="W200" s="16">
        <v>0</v>
      </c>
      <c r="X200">
        <f t="shared" si="34"/>
        <v>0</v>
      </c>
      <c r="Z200">
        <v>0.22505</v>
      </c>
      <c r="AA200">
        <v>3703.34504128053</v>
      </c>
      <c r="AB200" s="16">
        <v>0</v>
      </c>
      <c r="AC200">
        <f t="shared" si="35"/>
        <v>0</v>
      </c>
      <c r="AE200">
        <v>0.22505</v>
      </c>
      <c r="AF200">
        <v>3703.34504128053</v>
      </c>
      <c r="AG200" s="16">
        <v>0</v>
      </c>
      <c r="AH200">
        <f t="shared" si="36"/>
        <v>0</v>
      </c>
      <c r="AJ200">
        <v>0.22505</v>
      </c>
      <c r="AK200">
        <v>3703.34504128053</v>
      </c>
      <c r="AL200" s="17">
        <v>6.6147394147535701E-6</v>
      </c>
      <c r="AM200">
        <f t="shared" si="37"/>
        <v>2.4496662410990508E-2</v>
      </c>
      <c r="AO200">
        <v>0.22505</v>
      </c>
      <c r="AP200">
        <v>3703.34504128053</v>
      </c>
      <c r="AQ200" s="17">
        <v>1.0614479576833899E-8</v>
      </c>
      <c r="AR200">
        <f t="shared" si="38"/>
        <v>3.930908030664128E-5</v>
      </c>
      <c r="AT200">
        <v>0.22505</v>
      </c>
      <c r="AU200">
        <v>3703.34504128053</v>
      </c>
      <c r="AV200" s="16">
        <v>0</v>
      </c>
      <c r="AW200">
        <f t="shared" si="39"/>
        <v>0</v>
      </c>
    </row>
    <row r="201" spans="1:49" x14ac:dyDescent="0.3">
      <c r="A201">
        <v>0.254</v>
      </c>
      <c r="B201" s="16">
        <v>4975.71804709562</v>
      </c>
      <c r="C201" s="17">
        <v>4.3034819842555703E-5</v>
      </c>
      <c r="D201">
        <f t="shared" si="30"/>
        <v>0.21412912974411311</v>
      </c>
      <c r="F201">
        <v>0.254</v>
      </c>
      <c r="G201">
        <v>4975.71804709562</v>
      </c>
      <c r="H201" s="16">
        <v>0</v>
      </c>
      <c r="I201">
        <f t="shared" si="31"/>
        <v>0</v>
      </c>
      <c r="K201">
        <v>0.254</v>
      </c>
      <c r="L201">
        <v>4975.71804709562</v>
      </c>
      <c r="M201" s="16">
        <v>0</v>
      </c>
      <c r="N201">
        <f t="shared" si="32"/>
        <v>0</v>
      </c>
      <c r="P201">
        <v>0.254</v>
      </c>
      <c r="Q201">
        <v>4975.71804709562</v>
      </c>
      <c r="R201" s="16">
        <v>0</v>
      </c>
      <c r="S201">
        <f t="shared" si="33"/>
        <v>0</v>
      </c>
      <c r="U201">
        <v>0.254</v>
      </c>
      <c r="V201">
        <v>4975.71804709562</v>
      </c>
      <c r="W201" s="16">
        <v>0</v>
      </c>
      <c r="X201">
        <f t="shared" si="34"/>
        <v>0</v>
      </c>
      <c r="Z201">
        <v>0.254</v>
      </c>
      <c r="AA201">
        <v>4975.71804709562</v>
      </c>
      <c r="AB201" s="16">
        <v>0</v>
      </c>
      <c r="AC201">
        <f t="shared" si="35"/>
        <v>0</v>
      </c>
      <c r="AE201">
        <v>0.254</v>
      </c>
      <c r="AF201">
        <v>4975.71804709562</v>
      </c>
      <c r="AG201" s="16">
        <v>0</v>
      </c>
      <c r="AH201">
        <f t="shared" si="36"/>
        <v>0</v>
      </c>
      <c r="AJ201">
        <v>0.254</v>
      </c>
      <c r="AK201">
        <v>4975.71804709562</v>
      </c>
      <c r="AL201" s="17">
        <v>6.8121302056341196E-5</v>
      </c>
      <c r="AM201">
        <f t="shared" si="37"/>
        <v>0.33895239203338884</v>
      </c>
      <c r="AO201">
        <v>0.254</v>
      </c>
      <c r="AP201">
        <v>4975.71804709562</v>
      </c>
      <c r="AQ201" s="17">
        <v>9.1660095823902997E-9</v>
      </c>
      <c r="AR201">
        <f t="shared" si="38"/>
        <v>4.5607479298950801E-5</v>
      </c>
      <c r="AT201">
        <v>0.254</v>
      </c>
      <c r="AU201">
        <v>4975.71804709562</v>
      </c>
      <c r="AV201" s="16">
        <v>0</v>
      </c>
      <c r="AW201">
        <f t="shared" si="39"/>
        <v>0</v>
      </c>
    </row>
    <row r="202" spans="1:49" x14ac:dyDescent="0.3">
      <c r="A202">
        <v>0.28666999999999998</v>
      </c>
      <c r="B202" s="16">
        <v>5604.8072989222501</v>
      </c>
      <c r="C202" s="17">
        <v>4.0526134078068199E-5</v>
      </c>
      <c r="D202">
        <f t="shared" si="30"/>
        <v>0.22714117207785836</v>
      </c>
      <c r="F202">
        <v>0.28666999999999998</v>
      </c>
      <c r="G202">
        <v>5604.8072989222501</v>
      </c>
      <c r="H202" s="16">
        <v>0</v>
      </c>
      <c r="I202">
        <f t="shared" si="31"/>
        <v>0</v>
      </c>
      <c r="K202">
        <v>0.28666999999999998</v>
      </c>
      <c r="L202">
        <v>5604.8072989222501</v>
      </c>
      <c r="M202" s="16">
        <v>0</v>
      </c>
      <c r="N202">
        <f t="shared" si="32"/>
        <v>0</v>
      </c>
      <c r="P202">
        <v>0.28666999999999998</v>
      </c>
      <c r="Q202">
        <v>5604.8072989222501</v>
      </c>
      <c r="R202" s="16">
        <v>0</v>
      </c>
      <c r="S202">
        <f t="shared" si="33"/>
        <v>0</v>
      </c>
      <c r="U202">
        <v>0.28666999999999998</v>
      </c>
      <c r="V202">
        <v>5604.8072989222501</v>
      </c>
      <c r="W202" s="16">
        <v>0</v>
      </c>
      <c r="X202">
        <f t="shared" si="34"/>
        <v>0</v>
      </c>
      <c r="Z202">
        <v>0.28666999999999998</v>
      </c>
      <c r="AA202">
        <v>5604.8072989222501</v>
      </c>
      <c r="AB202" s="16">
        <v>0</v>
      </c>
      <c r="AC202">
        <f t="shared" si="35"/>
        <v>0</v>
      </c>
      <c r="AE202">
        <v>0.28666999999999998</v>
      </c>
      <c r="AF202">
        <v>5604.8072989222501</v>
      </c>
      <c r="AG202" s="16">
        <v>0</v>
      </c>
      <c r="AH202">
        <f t="shared" si="36"/>
        <v>0</v>
      </c>
      <c r="AJ202">
        <v>0.28666999999999998</v>
      </c>
      <c r="AK202">
        <v>5604.8072989222501</v>
      </c>
      <c r="AL202" s="17">
        <v>2.7499050353348901E-7</v>
      </c>
      <c r="AM202">
        <f t="shared" si="37"/>
        <v>1.5412687813388039E-3</v>
      </c>
      <c r="AO202">
        <v>0.28666999999999998</v>
      </c>
      <c r="AP202">
        <v>5604.8072989222501</v>
      </c>
      <c r="AQ202" s="17">
        <v>8.7761786216581305E-9</v>
      </c>
      <c r="AR202">
        <f t="shared" si="38"/>
        <v>4.9188789995314903E-5</v>
      </c>
      <c r="AT202">
        <v>0.28666999999999998</v>
      </c>
      <c r="AU202">
        <v>5604.8072989222501</v>
      </c>
      <c r="AV202" s="16">
        <v>0</v>
      </c>
      <c r="AW202">
        <f t="shared" si="39"/>
        <v>0</v>
      </c>
    </row>
    <row r="203" spans="1:49" x14ac:dyDescent="0.3">
      <c r="A203">
        <v>0.32353999999999999</v>
      </c>
      <c r="B203" s="16">
        <v>5616.6762720188499</v>
      </c>
      <c r="C203" s="17">
        <v>3.50998612862632E-5</v>
      </c>
      <c r="D203">
        <f t="shared" si="30"/>
        <v>0.19714455803770753</v>
      </c>
      <c r="F203">
        <v>0.32353999999999999</v>
      </c>
      <c r="G203">
        <v>5616.6762720188499</v>
      </c>
      <c r="H203" s="16">
        <v>0</v>
      </c>
      <c r="I203">
        <f t="shared" si="31"/>
        <v>0</v>
      </c>
      <c r="K203">
        <v>0.32353999999999999</v>
      </c>
      <c r="L203">
        <v>5616.6762720188499</v>
      </c>
      <c r="M203" s="16">
        <v>0</v>
      </c>
      <c r="N203">
        <f t="shared" si="32"/>
        <v>0</v>
      </c>
      <c r="P203">
        <v>0.32353999999999999</v>
      </c>
      <c r="Q203">
        <v>5616.6762720188499</v>
      </c>
      <c r="R203" s="16">
        <v>0</v>
      </c>
      <c r="S203">
        <f t="shared" si="33"/>
        <v>0</v>
      </c>
      <c r="U203">
        <v>0.32353999999999999</v>
      </c>
      <c r="V203">
        <v>5616.6762720188499</v>
      </c>
      <c r="W203" s="16">
        <v>0</v>
      </c>
      <c r="X203">
        <f t="shared" si="34"/>
        <v>0</v>
      </c>
      <c r="Z203">
        <v>0.32353999999999999</v>
      </c>
      <c r="AA203">
        <v>5616.6762720188499</v>
      </c>
      <c r="AB203" s="16">
        <v>0</v>
      </c>
      <c r="AC203">
        <f t="shared" si="35"/>
        <v>0</v>
      </c>
      <c r="AE203">
        <v>0.32353999999999999</v>
      </c>
      <c r="AF203">
        <v>5616.6762720188499</v>
      </c>
      <c r="AG203" s="16">
        <v>0</v>
      </c>
      <c r="AH203">
        <f t="shared" si="36"/>
        <v>0</v>
      </c>
      <c r="AJ203">
        <v>0.32353999999999999</v>
      </c>
      <c r="AK203">
        <v>5616.6762720188499</v>
      </c>
      <c r="AL203" s="17">
        <v>5.5179926185051303E-5</v>
      </c>
      <c r="AM203">
        <f t="shared" si="37"/>
        <v>0.30992778209532929</v>
      </c>
      <c r="AO203">
        <v>0.32353999999999999</v>
      </c>
      <c r="AP203">
        <v>5616.6762720188499</v>
      </c>
      <c r="AQ203" s="17">
        <v>8.2086184828119595E-9</v>
      </c>
      <c r="AR203">
        <f t="shared" si="38"/>
        <v>4.6105152658465303E-5</v>
      </c>
      <c r="AT203">
        <v>0.32353999999999999</v>
      </c>
      <c r="AU203">
        <v>5616.6762720188499</v>
      </c>
      <c r="AV203" s="16">
        <v>0</v>
      </c>
      <c r="AW203">
        <f t="shared" si="39"/>
        <v>0</v>
      </c>
    </row>
    <row r="204" spans="1:49" x14ac:dyDescent="0.3">
      <c r="A204">
        <v>0.36514999999999997</v>
      </c>
      <c r="B204" s="16">
        <v>5738.6466881142296</v>
      </c>
      <c r="C204" s="17">
        <v>3.2875027465216299E-5</v>
      </c>
      <c r="D204">
        <f t="shared" si="30"/>
        <v>0.18865816748492784</v>
      </c>
      <c r="F204">
        <v>0.36514999999999997</v>
      </c>
      <c r="G204">
        <v>5738.6466881142296</v>
      </c>
      <c r="H204" s="16">
        <v>0</v>
      </c>
      <c r="I204">
        <f t="shared" si="31"/>
        <v>0</v>
      </c>
      <c r="K204">
        <v>0.36514999999999997</v>
      </c>
      <c r="L204">
        <v>5738.6466881142296</v>
      </c>
      <c r="M204" s="16">
        <v>0</v>
      </c>
      <c r="N204">
        <f t="shared" si="32"/>
        <v>0</v>
      </c>
      <c r="P204">
        <v>0.36514999999999997</v>
      </c>
      <c r="Q204">
        <v>5738.6466881142296</v>
      </c>
      <c r="R204" s="16">
        <v>0</v>
      </c>
      <c r="S204">
        <f t="shared" si="33"/>
        <v>0</v>
      </c>
      <c r="U204">
        <v>0.36514999999999997</v>
      </c>
      <c r="V204">
        <v>5738.6466881142296</v>
      </c>
      <c r="W204" s="16">
        <v>0</v>
      </c>
      <c r="X204">
        <f t="shared" si="34"/>
        <v>0</v>
      </c>
      <c r="Z204">
        <v>0.36514999999999997</v>
      </c>
      <c r="AA204">
        <v>5738.6466881142296</v>
      </c>
      <c r="AB204" s="16">
        <v>0</v>
      </c>
      <c r="AC204">
        <f t="shared" si="35"/>
        <v>0</v>
      </c>
      <c r="AE204">
        <v>0.36514999999999997</v>
      </c>
      <c r="AF204">
        <v>5738.6466881142296</v>
      </c>
      <c r="AG204" s="16">
        <v>0</v>
      </c>
      <c r="AH204">
        <f t="shared" si="36"/>
        <v>0</v>
      </c>
      <c r="AJ204">
        <v>0.36514999999999997</v>
      </c>
      <c r="AK204">
        <v>5738.6466881142296</v>
      </c>
      <c r="AL204" s="17">
        <v>4.60575814641392E-7</v>
      </c>
      <c r="AM204">
        <f t="shared" si="37"/>
        <v>2.6430818733173375E-3</v>
      </c>
      <c r="AO204">
        <v>0.36514999999999997</v>
      </c>
      <c r="AP204">
        <v>5738.6466881142296</v>
      </c>
      <c r="AQ204" s="17">
        <v>7.5396145831094794E-9</v>
      </c>
      <c r="AR204">
        <f t="shared" si="38"/>
        <v>4.3267184257018962E-5</v>
      </c>
      <c r="AT204">
        <v>0.36514999999999997</v>
      </c>
      <c r="AU204">
        <v>5738.6466881142296</v>
      </c>
      <c r="AV204" s="16">
        <v>0</v>
      </c>
      <c r="AW204">
        <f t="shared" si="39"/>
        <v>0</v>
      </c>
    </row>
    <row r="205" spans="1:49" x14ac:dyDescent="0.3">
      <c r="A205">
        <v>0.41211999999999999</v>
      </c>
      <c r="B205" s="16">
        <v>6463.2481741256597</v>
      </c>
      <c r="C205" s="17">
        <v>2.98722109599199E-5</v>
      </c>
      <c r="D205">
        <f t="shared" si="30"/>
        <v>0.19307151294379882</v>
      </c>
      <c r="F205">
        <v>0.41211999999999999</v>
      </c>
      <c r="G205">
        <v>6463.2481741256597</v>
      </c>
      <c r="H205" s="16">
        <v>0</v>
      </c>
      <c r="I205">
        <f t="shared" si="31"/>
        <v>0</v>
      </c>
      <c r="K205">
        <v>0.41211999999999999</v>
      </c>
      <c r="L205">
        <v>6463.2481741256597</v>
      </c>
      <c r="M205" s="16">
        <v>0</v>
      </c>
      <c r="N205">
        <f t="shared" si="32"/>
        <v>0</v>
      </c>
      <c r="P205">
        <v>0.41211999999999999</v>
      </c>
      <c r="Q205">
        <v>6463.2481741256597</v>
      </c>
      <c r="R205" s="16">
        <v>0</v>
      </c>
      <c r="S205">
        <f t="shared" si="33"/>
        <v>0</v>
      </c>
      <c r="U205">
        <v>0.41211999999999999</v>
      </c>
      <c r="V205">
        <v>6463.2481741256597</v>
      </c>
      <c r="W205" s="16">
        <v>0</v>
      </c>
      <c r="X205">
        <f t="shared" si="34"/>
        <v>0</v>
      </c>
      <c r="Z205">
        <v>0.41211999999999999</v>
      </c>
      <c r="AA205">
        <v>6463.2481741256597</v>
      </c>
      <c r="AB205" s="16">
        <v>0</v>
      </c>
      <c r="AC205">
        <f t="shared" si="35"/>
        <v>0</v>
      </c>
      <c r="AE205">
        <v>0.41211999999999999</v>
      </c>
      <c r="AF205">
        <v>6463.2481741256597</v>
      </c>
      <c r="AG205" s="16">
        <v>0</v>
      </c>
      <c r="AH205">
        <f t="shared" si="36"/>
        <v>0</v>
      </c>
      <c r="AJ205">
        <v>0.41211999999999999</v>
      </c>
      <c r="AK205">
        <v>6463.2481741256597</v>
      </c>
      <c r="AL205" s="17">
        <v>3.25163196532029E-6</v>
      </c>
      <c r="AM205">
        <f t="shared" si="37"/>
        <v>2.1016104362784994E-2</v>
      </c>
      <c r="AO205">
        <v>0.41211999999999999</v>
      </c>
      <c r="AP205">
        <v>6463.2481741256597</v>
      </c>
      <c r="AQ205" s="17">
        <v>7.03328050989446E-9</v>
      </c>
      <c r="AR205">
        <f t="shared" si="38"/>
        <v>4.5457837413688958E-5</v>
      </c>
      <c r="AT205">
        <v>0.41211999999999999</v>
      </c>
      <c r="AU205">
        <v>6463.2481741256597</v>
      </c>
      <c r="AV205" s="16">
        <v>0</v>
      </c>
      <c r="AW205">
        <f t="shared" si="39"/>
        <v>0</v>
      </c>
    </row>
    <row r="206" spans="1:49" x14ac:dyDescent="0.3">
      <c r="A206">
        <v>0.46512999999999999</v>
      </c>
      <c r="B206" s="16">
        <v>4921.4036935694503</v>
      </c>
      <c r="C206" s="17">
        <v>2.6849788456682701E-5</v>
      </c>
      <c r="D206">
        <f t="shared" si="30"/>
        <v>0.13213864808227663</v>
      </c>
      <c r="F206">
        <v>0.46512999999999999</v>
      </c>
      <c r="G206">
        <v>4921.4036935694503</v>
      </c>
      <c r="H206" s="16">
        <v>0</v>
      </c>
      <c r="I206">
        <f t="shared" si="31"/>
        <v>0</v>
      </c>
      <c r="K206">
        <v>0.46512999999999999</v>
      </c>
      <c r="L206">
        <v>4921.4036935694503</v>
      </c>
      <c r="M206" s="16">
        <v>0</v>
      </c>
      <c r="N206">
        <f t="shared" si="32"/>
        <v>0</v>
      </c>
      <c r="P206">
        <v>0.46512999999999999</v>
      </c>
      <c r="Q206">
        <v>4921.4036935694503</v>
      </c>
      <c r="R206" s="16">
        <v>0</v>
      </c>
      <c r="S206">
        <f t="shared" si="33"/>
        <v>0</v>
      </c>
      <c r="U206">
        <v>0.46512999999999999</v>
      </c>
      <c r="V206">
        <v>4921.4036935694503</v>
      </c>
      <c r="W206" s="16">
        <v>0</v>
      </c>
      <c r="X206">
        <f t="shared" si="34"/>
        <v>0</v>
      </c>
      <c r="Z206">
        <v>0.46512999999999999</v>
      </c>
      <c r="AA206">
        <v>4921.4036935694503</v>
      </c>
      <c r="AB206" s="16">
        <v>0</v>
      </c>
      <c r="AC206">
        <f t="shared" si="35"/>
        <v>0</v>
      </c>
      <c r="AE206">
        <v>0.46512999999999999</v>
      </c>
      <c r="AF206">
        <v>4921.4036935694503</v>
      </c>
      <c r="AG206" s="16">
        <v>0</v>
      </c>
      <c r="AH206">
        <f t="shared" si="36"/>
        <v>0</v>
      </c>
      <c r="AJ206">
        <v>0.46512999999999999</v>
      </c>
      <c r="AK206">
        <v>4921.4036935694503</v>
      </c>
      <c r="AL206" s="17">
        <v>3.4014772531276402E-6</v>
      </c>
      <c r="AM206">
        <f t="shared" si="37"/>
        <v>1.6740042717134838E-2</v>
      </c>
      <c r="AO206">
        <v>0.46512999999999999</v>
      </c>
      <c r="AP206">
        <v>4921.4036935694503</v>
      </c>
      <c r="AQ206" s="17">
        <v>6.6757487546549604E-9</v>
      </c>
      <c r="AR206">
        <f t="shared" si="38"/>
        <v>3.2854054578500581E-5</v>
      </c>
      <c r="AT206">
        <v>0.46512999999999999</v>
      </c>
      <c r="AU206">
        <v>4921.4036935694503</v>
      </c>
      <c r="AV206" s="16">
        <v>0</v>
      </c>
      <c r="AW206">
        <f t="shared" si="39"/>
        <v>0</v>
      </c>
    </row>
    <row r="207" spans="1:49" x14ac:dyDescent="0.3">
      <c r="A207">
        <v>0.52495999999999998</v>
      </c>
      <c r="B207" s="16">
        <v>8268.9960617935994</v>
      </c>
      <c r="C207" s="17">
        <v>2.4250399624821698E-5</v>
      </c>
      <c r="D207">
        <f t="shared" si="30"/>
        <v>0.20052645899457161</v>
      </c>
      <c r="F207">
        <v>0.52495999999999998</v>
      </c>
      <c r="G207">
        <v>8268.9960617935994</v>
      </c>
      <c r="H207" s="16">
        <v>0</v>
      </c>
      <c r="I207">
        <f t="shared" si="31"/>
        <v>0</v>
      </c>
      <c r="K207">
        <v>0.52495999999999998</v>
      </c>
      <c r="L207">
        <v>8268.9960617935994</v>
      </c>
      <c r="M207" s="16">
        <v>0</v>
      </c>
      <c r="N207">
        <f t="shared" si="32"/>
        <v>0</v>
      </c>
      <c r="P207">
        <v>0.52495999999999998</v>
      </c>
      <c r="Q207">
        <v>8268.9960617935994</v>
      </c>
      <c r="R207" s="16">
        <v>0</v>
      </c>
      <c r="S207">
        <f t="shared" si="33"/>
        <v>0</v>
      </c>
      <c r="U207">
        <v>0.52495999999999998</v>
      </c>
      <c r="V207">
        <v>8268.9960617935994</v>
      </c>
      <c r="W207" s="16">
        <v>0</v>
      </c>
      <c r="X207">
        <f t="shared" si="34"/>
        <v>0</v>
      </c>
      <c r="Z207">
        <v>0.52495999999999998</v>
      </c>
      <c r="AA207">
        <v>8268.9960617935994</v>
      </c>
      <c r="AB207" s="16">
        <v>0</v>
      </c>
      <c r="AC207">
        <f t="shared" si="35"/>
        <v>0</v>
      </c>
      <c r="AE207">
        <v>0.52495999999999998</v>
      </c>
      <c r="AF207">
        <v>8268.9960617935994</v>
      </c>
      <c r="AG207" s="16">
        <v>0</v>
      </c>
      <c r="AH207">
        <f t="shared" si="36"/>
        <v>0</v>
      </c>
      <c r="AJ207">
        <v>0.52495999999999998</v>
      </c>
      <c r="AK207">
        <v>8268.9960617935994</v>
      </c>
      <c r="AL207" s="17">
        <v>8.5434989212738799E-7</v>
      </c>
      <c r="AM207">
        <f t="shared" si="37"/>
        <v>7.064615893395158E-3</v>
      </c>
      <c r="AO207">
        <v>0.52495999999999998</v>
      </c>
      <c r="AP207">
        <v>8268.9960617935994</v>
      </c>
      <c r="AQ207" s="17">
        <v>6.4076160204916703E-9</v>
      </c>
      <c r="AR207">
        <f t="shared" si="38"/>
        <v>5.2984551638931196E-5</v>
      </c>
      <c r="AT207">
        <v>0.52495999999999998</v>
      </c>
      <c r="AU207">
        <v>8268.9960617935994</v>
      </c>
      <c r="AV207" s="16">
        <v>0</v>
      </c>
      <c r="AW207">
        <f t="shared" si="39"/>
        <v>0</v>
      </c>
    </row>
    <row r="208" spans="1:49" x14ac:dyDescent="0.3">
      <c r="A208">
        <v>0.59248000000000001</v>
      </c>
      <c r="B208" s="16">
        <v>9336.6906421778494</v>
      </c>
      <c r="C208" s="17">
        <v>2.13949707621006E-5</v>
      </c>
      <c r="D208">
        <f t="shared" si="30"/>
        <v>0.19975822330417337</v>
      </c>
      <c r="F208">
        <v>0.59248000000000001</v>
      </c>
      <c r="G208">
        <v>9336.6906421778494</v>
      </c>
      <c r="H208" s="16">
        <v>0</v>
      </c>
      <c r="I208">
        <f t="shared" si="31"/>
        <v>0</v>
      </c>
      <c r="K208">
        <v>0.59248000000000001</v>
      </c>
      <c r="L208">
        <v>9336.6906421778494</v>
      </c>
      <c r="M208" s="16">
        <v>0</v>
      </c>
      <c r="N208">
        <f t="shared" si="32"/>
        <v>0</v>
      </c>
      <c r="P208">
        <v>0.59248000000000001</v>
      </c>
      <c r="Q208">
        <v>9336.6906421778494</v>
      </c>
      <c r="R208" s="17">
        <v>2.3583473528786101E-8</v>
      </c>
      <c r="S208">
        <f t="shared" si="33"/>
        <v>2.2019159660626621E-4</v>
      </c>
      <c r="U208">
        <v>0.59248000000000001</v>
      </c>
      <c r="V208">
        <v>9336.6906421778494</v>
      </c>
      <c r="W208" s="16">
        <v>0</v>
      </c>
      <c r="X208">
        <f t="shared" si="34"/>
        <v>0</v>
      </c>
      <c r="Z208">
        <v>0.59248000000000001</v>
      </c>
      <c r="AA208">
        <v>9336.6906421778494</v>
      </c>
      <c r="AB208" s="16">
        <v>0</v>
      </c>
      <c r="AC208">
        <f t="shared" si="35"/>
        <v>0</v>
      </c>
      <c r="AE208">
        <v>0.59248000000000001</v>
      </c>
      <c r="AF208">
        <v>9336.6906421778494</v>
      </c>
      <c r="AG208" s="16">
        <v>0</v>
      </c>
      <c r="AH208">
        <f t="shared" si="36"/>
        <v>0</v>
      </c>
      <c r="AJ208">
        <v>0.59248000000000001</v>
      </c>
      <c r="AK208">
        <v>9336.6906421778494</v>
      </c>
      <c r="AL208" s="17">
        <v>1.56918863548892E-6</v>
      </c>
      <c r="AM208">
        <f t="shared" si="37"/>
        <v>1.4651028848781228E-2</v>
      </c>
      <c r="AO208">
        <v>0.59248000000000001</v>
      </c>
      <c r="AP208">
        <v>9336.6906421778494</v>
      </c>
      <c r="AQ208" s="17">
        <v>6.2056980831701303E-9</v>
      </c>
      <c r="AR208">
        <f t="shared" si="38"/>
        <v>5.7940683221315573E-5</v>
      </c>
      <c r="AT208">
        <v>0.59248000000000001</v>
      </c>
      <c r="AU208">
        <v>9336.6906421778494</v>
      </c>
      <c r="AV208" s="16">
        <v>0</v>
      </c>
      <c r="AW208">
        <f t="shared" si="39"/>
        <v>0</v>
      </c>
    </row>
    <row r="209" spans="1:49" x14ac:dyDescent="0.3">
      <c r="A209">
        <v>0.66869000000000001</v>
      </c>
      <c r="B209" s="16">
        <v>10393.359987084201</v>
      </c>
      <c r="C209" s="17">
        <v>1.87279591151532E-5</v>
      </c>
      <c r="D209">
        <f t="shared" si="30"/>
        <v>0.19464642090718209</v>
      </c>
      <c r="F209">
        <v>0.66869000000000001</v>
      </c>
      <c r="G209">
        <v>10393.359987084201</v>
      </c>
      <c r="H209" s="16">
        <v>0</v>
      </c>
      <c r="I209">
        <f t="shared" si="31"/>
        <v>0</v>
      </c>
      <c r="K209">
        <v>0.66869000000000001</v>
      </c>
      <c r="L209">
        <v>10393.359987084201</v>
      </c>
      <c r="M209" s="16">
        <v>0</v>
      </c>
      <c r="N209">
        <f t="shared" si="32"/>
        <v>0</v>
      </c>
      <c r="P209">
        <v>0.66869000000000001</v>
      </c>
      <c r="Q209">
        <v>10393.359987084201</v>
      </c>
      <c r="R209" s="17">
        <v>5.2446319665472399E-8</v>
      </c>
      <c r="S209">
        <f t="shared" si="33"/>
        <v>5.4509348028094812E-4</v>
      </c>
      <c r="U209">
        <v>0.66869000000000001</v>
      </c>
      <c r="V209">
        <v>10393.359987084201</v>
      </c>
      <c r="W209" s="16">
        <v>0</v>
      </c>
      <c r="X209">
        <f t="shared" si="34"/>
        <v>0</v>
      </c>
      <c r="Z209">
        <v>0.66869000000000001</v>
      </c>
      <c r="AA209">
        <v>10393.359987084201</v>
      </c>
      <c r="AB209" s="16">
        <v>0</v>
      </c>
      <c r="AC209">
        <f t="shared" si="35"/>
        <v>0</v>
      </c>
      <c r="AE209">
        <v>0.66869000000000001</v>
      </c>
      <c r="AF209">
        <v>10393.359987084201</v>
      </c>
      <c r="AG209" s="16">
        <v>0</v>
      </c>
      <c r="AH209">
        <f t="shared" si="36"/>
        <v>0</v>
      </c>
      <c r="AJ209">
        <v>0.66869000000000001</v>
      </c>
      <c r="AK209">
        <v>10393.359987084201</v>
      </c>
      <c r="AL209" s="17">
        <v>1.7153148076030899E-6</v>
      </c>
      <c r="AM209">
        <f t="shared" si="37"/>
        <v>1.7827884286594989E-2</v>
      </c>
      <c r="AO209">
        <v>0.66869000000000001</v>
      </c>
      <c r="AP209">
        <v>10393.359987084201</v>
      </c>
      <c r="AQ209" s="17">
        <v>6.0551111222144103E-9</v>
      </c>
      <c r="AR209">
        <f t="shared" si="38"/>
        <v>6.2932949654971766E-5</v>
      </c>
      <c r="AT209">
        <v>0.66869000000000001</v>
      </c>
      <c r="AU209">
        <v>10393.359987084201</v>
      </c>
      <c r="AV209" s="16">
        <v>0</v>
      </c>
      <c r="AW209">
        <f t="shared" si="39"/>
        <v>0</v>
      </c>
    </row>
    <row r="210" spans="1:49" x14ac:dyDescent="0.3">
      <c r="A210">
        <v>0.75470000000000004</v>
      </c>
      <c r="B210" s="16">
        <v>11644.206893255299</v>
      </c>
      <c r="C210" s="17">
        <v>1.7056663996456899E-5</v>
      </c>
      <c r="D210">
        <f t="shared" si="30"/>
        <v>0.1986113244834829</v>
      </c>
      <c r="F210">
        <v>0.75470000000000004</v>
      </c>
      <c r="G210">
        <v>11644.206893255299</v>
      </c>
      <c r="H210" s="16">
        <v>0</v>
      </c>
      <c r="I210">
        <f t="shared" si="31"/>
        <v>0</v>
      </c>
      <c r="K210">
        <v>0.75470000000000004</v>
      </c>
      <c r="L210">
        <v>11644.206893255299</v>
      </c>
      <c r="M210" s="16">
        <v>0</v>
      </c>
      <c r="N210">
        <f t="shared" si="32"/>
        <v>0</v>
      </c>
      <c r="P210">
        <v>0.75470000000000004</v>
      </c>
      <c r="Q210">
        <v>11644.206893255299</v>
      </c>
      <c r="R210" s="17">
        <v>8.5022197354843005E-8</v>
      </c>
      <c r="S210">
        <f t="shared" si="33"/>
        <v>9.9001605651897529E-4</v>
      </c>
      <c r="U210">
        <v>0.75470000000000004</v>
      </c>
      <c r="V210">
        <v>11644.206893255299</v>
      </c>
      <c r="W210" s="17">
        <v>2.6100160540765501E-11</v>
      </c>
      <c r="X210">
        <f t="shared" si="34"/>
        <v>3.0391566928385159E-7</v>
      </c>
      <c r="Z210">
        <v>0.75470000000000004</v>
      </c>
      <c r="AA210">
        <v>11644.206893255299</v>
      </c>
      <c r="AB210" s="16">
        <v>0</v>
      </c>
      <c r="AC210">
        <f t="shared" si="35"/>
        <v>0</v>
      </c>
      <c r="AE210">
        <v>0.75470000000000004</v>
      </c>
      <c r="AF210">
        <v>11644.206893255299</v>
      </c>
      <c r="AG210" s="16">
        <v>0</v>
      </c>
      <c r="AH210">
        <f t="shared" si="36"/>
        <v>0</v>
      </c>
      <c r="AJ210">
        <v>0.75470000000000004</v>
      </c>
      <c r="AK210">
        <v>11644.206893255299</v>
      </c>
      <c r="AL210" s="17">
        <v>1.5965339817156399E-6</v>
      </c>
      <c r="AM210">
        <f t="shared" si="37"/>
        <v>1.8590371995209583E-2</v>
      </c>
      <c r="AO210">
        <v>0.75470000000000004</v>
      </c>
      <c r="AP210">
        <v>11644.206893255299</v>
      </c>
      <c r="AQ210" s="17">
        <v>5.8415570050506702E-9</v>
      </c>
      <c r="AR210">
        <f t="shared" si="38"/>
        <v>6.8020298345554793E-5</v>
      </c>
      <c r="AT210">
        <v>0.75470000000000004</v>
      </c>
      <c r="AU210">
        <v>11644.206893255299</v>
      </c>
      <c r="AV210" s="16">
        <v>0</v>
      </c>
      <c r="AW210">
        <f t="shared" si="39"/>
        <v>0</v>
      </c>
    </row>
    <row r="211" spans="1:49" x14ac:dyDescent="0.3">
      <c r="A211">
        <v>0.85177000000000003</v>
      </c>
      <c r="B211" s="16">
        <v>13153.8185649484</v>
      </c>
      <c r="C211" s="17">
        <v>1.59107679076867E-5</v>
      </c>
      <c r="D211">
        <f t="shared" si="30"/>
        <v>0.20928735428671452</v>
      </c>
      <c r="F211">
        <v>0.85177000000000003</v>
      </c>
      <c r="G211">
        <v>13153.8185649484</v>
      </c>
      <c r="H211" s="16">
        <v>0</v>
      </c>
      <c r="I211">
        <f t="shared" si="31"/>
        <v>0</v>
      </c>
      <c r="K211">
        <v>0.85177000000000003</v>
      </c>
      <c r="L211">
        <v>13153.8185649484</v>
      </c>
      <c r="M211" s="16">
        <v>0</v>
      </c>
      <c r="N211">
        <f t="shared" si="32"/>
        <v>0</v>
      </c>
      <c r="P211">
        <v>0.85177000000000003</v>
      </c>
      <c r="Q211">
        <v>13153.8185649484</v>
      </c>
      <c r="R211" s="17">
        <v>1.2178703330213601E-7</v>
      </c>
      <c r="S211">
        <f t="shared" si="33"/>
        <v>1.6019645396196257E-3</v>
      </c>
      <c r="U211">
        <v>0.85177000000000003</v>
      </c>
      <c r="V211">
        <v>13153.8185649484</v>
      </c>
      <c r="W211" s="17">
        <v>1.7532446152093501E-10</v>
      </c>
      <c r="X211">
        <f t="shared" si="34"/>
        <v>2.3061861568436565E-6</v>
      </c>
      <c r="Z211">
        <v>0.85177000000000003</v>
      </c>
      <c r="AA211">
        <v>13153.8185649484</v>
      </c>
      <c r="AB211" s="16">
        <v>0</v>
      </c>
      <c r="AC211">
        <f t="shared" si="35"/>
        <v>0</v>
      </c>
      <c r="AE211">
        <v>0.85177000000000003</v>
      </c>
      <c r="AF211">
        <v>13153.8185649484</v>
      </c>
      <c r="AG211" s="16">
        <v>0</v>
      </c>
      <c r="AH211">
        <f t="shared" si="36"/>
        <v>0</v>
      </c>
      <c r="AJ211">
        <v>0.85177000000000003</v>
      </c>
      <c r="AK211">
        <v>13153.8185649484</v>
      </c>
      <c r="AL211" s="17">
        <v>1.3618189790823E-6</v>
      </c>
      <c r="AM211">
        <f t="shared" si="37"/>
        <v>1.7913119769151834E-2</v>
      </c>
      <c r="AO211">
        <v>0.85177000000000003</v>
      </c>
      <c r="AP211">
        <v>13153.8185649484</v>
      </c>
      <c r="AQ211" s="17">
        <v>5.7392186519765898E-9</v>
      </c>
      <c r="AR211">
        <f t="shared" si="38"/>
        <v>7.5492640852667796E-5</v>
      </c>
      <c r="AT211">
        <v>0.85177000000000003</v>
      </c>
      <c r="AU211">
        <v>13153.8185649484</v>
      </c>
      <c r="AV211" s="16">
        <v>0</v>
      </c>
      <c r="AW211">
        <f t="shared" si="39"/>
        <v>0</v>
      </c>
    </row>
    <row r="212" spans="1:49" x14ac:dyDescent="0.3">
      <c r="A212">
        <v>0.96133000000000002</v>
      </c>
      <c r="B212" s="16">
        <v>12059.0996522921</v>
      </c>
      <c r="C212" s="17">
        <v>1.52253326848421E-5</v>
      </c>
      <c r="D212">
        <f t="shared" si="30"/>
        <v>0.1836038040858109</v>
      </c>
      <c r="F212">
        <v>0.96133000000000002</v>
      </c>
      <c r="G212">
        <v>12059.0996522921</v>
      </c>
      <c r="H212" s="16">
        <v>0</v>
      </c>
      <c r="I212">
        <f t="shared" si="31"/>
        <v>0</v>
      </c>
      <c r="K212">
        <v>0.96133000000000002</v>
      </c>
      <c r="L212">
        <v>12059.0996522921</v>
      </c>
      <c r="M212" s="16">
        <v>0</v>
      </c>
      <c r="N212">
        <f t="shared" si="32"/>
        <v>0</v>
      </c>
      <c r="P212">
        <v>0.96133000000000002</v>
      </c>
      <c r="Q212">
        <v>12059.0996522921</v>
      </c>
      <c r="R212" s="17">
        <v>1.6328101435844699E-7</v>
      </c>
      <c r="S212">
        <f t="shared" si="33"/>
        <v>1.9690220234758493E-3</v>
      </c>
      <c r="U212">
        <v>0.96133000000000002</v>
      </c>
      <c r="V212">
        <v>12059.0996522921</v>
      </c>
      <c r="W212" s="17">
        <v>1.80734212945676E-9</v>
      </c>
      <c r="X212">
        <f t="shared" si="34"/>
        <v>2.1794918844904878E-5</v>
      </c>
      <c r="Z212">
        <v>0.96133000000000002</v>
      </c>
      <c r="AA212">
        <v>12059.0996522921</v>
      </c>
      <c r="AB212" s="16">
        <v>0</v>
      </c>
      <c r="AC212">
        <f t="shared" si="35"/>
        <v>0</v>
      </c>
      <c r="AE212">
        <v>0.96133000000000002</v>
      </c>
      <c r="AF212">
        <v>12059.0996522921</v>
      </c>
      <c r="AG212" s="16">
        <v>0</v>
      </c>
      <c r="AH212">
        <f t="shared" si="36"/>
        <v>0</v>
      </c>
      <c r="AJ212">
        <v>0.96133000000000002</v>
      </c>
      <c r="AK212">
        <v>12059.0996522921</v>
      </c>
      <c r="AL212" s="17">
        <v>1.1762582965038899E-6</v>
      </c>
      <c r="AM212">
        <f t="shared" si="37"/>
        <v>1.4184616014375756E-2</v>
      </c>
      <c r="AO212">
        <v>0.96133000000000002</v>
      </c>
      <c r="AP212">
        <v>12059.0996522921</v>
      </c>
      <c r="AQ212" s="17">
        <v>5.7077249795641603E-9</v>
      </c>
      <c r="AR212">
        <f t="shared" si="38"/>
        <v>6.883002431644109E-5</v>
      </c>
      <c r="AT212">
        <v>0.96133000000000002</v>
      </c>
      <c r="AU212">
        <v>12059.0996522921</v>
      </c>
      <c r="AV212" s="16">
        <v>0</v>
      </c>
      <c r="AW212">
        <f t="shared" si="39"/>
        <v>0</v>
      </c>
    </row>
    <row r="213" spans="1:49" x14ac:dyDescent="0.3">
      <c r="A213">
        <v>1.085</v>
      </c>
      <c r="B213" s="16">
        <v>10480.1237929567</v>
      </c>
      <c r="C213" s="17">
        <v>1.49797869282598E-5</v>
      </c>
      <c r="D213">
        <f t="shared" si="30"/>
        <v>0.15699002140027729</v>
      </c>
      <c r="F213">
        <v>1.085</v>
      </c>
      <c r="G213">
        <v>10480.1237929567</v>
      </c>
      <c r="H213" s="16">
        <v>0</v>
      </c>
      <c r="I213">
        <f t="shared" si="31"/>
        <v>0</v>
      </c>
      <c r="K213">
        <v>1.085</v>
      </c>
      <c r="L213">
        <v>10480.1237929567</v>
      </c>
      <c r="M213" s="16">
        <v>0</v>
      </c>
      <c r="N213">
        <f t="shared" si="32"/>
        <v>0</v>
      </c>
      <c r="P213">
        <v>1.085</v>
      </c>
      <c r="Q213">
        <v>10480.1237929567</v>
      </c>
      <c r="R213" s="17">
        <v>2.00812955796884E-7</v>
      </c>
      <c r="S213">
        <f t="shared" si="33"/>
        <v>2.1045446359808859E-3</v>
      </c>
      <c r="U213">
        <v>1.085</v>
      </c>
      <c r="V213">
        <v>10480.1237929567</v>
      </c>
      <c r="W213" s="17">
        <v>7.07705035228066E-9</v>
      </c>
      <c r="X213">
        <f t="shared" si="34"/>
        <v>7.4168363780889132E-5</v>
      </c>
      <c r="Z213">
        <v>1.085</v>
      </c>
      <c r="AA213">
        <v>10480.1237929567</v>
      </c>
      <c r="AB213" s="16">
        <v>0</v>
      </c>
      <c r="AC213">
        <f t="shared" si="35"/>
        <v>0</v>
      </c>
      <c r="AE213">
        <v>1.085</v>
      </c>
      <c r="AF213">
        <v>10480.1237929567</v>
      </c>
      <c r="AG213" s="16">
        <v>0</v>
      </c>
      <c r="AH213">
        <f t="shared" si="36"/>
        <v>0</v>
      </c>
      <c r="AJ213">
        <v>1.085</v>
      </c>
      <c r="AK213">
        <v>10480.1237929567</v>
      </c>
      <c r="AL213" s="17">
        <v>1.12525385871419E-6</v>
      </c>
      <c r="AM213">
        <f t="shared" si="37"/>
        <v>1.1792799737826919E-2</v>
      </c>
      <c r="AO213">
        <v>1.085</v>
      </c>
      <c r="AP213">
        <v>10480.1237929567</v>
      </c>
      <c r="AQ213" s="17">
        <v>5.7374082482808703E-9</v>
      </c>
      <c r="AR213">
        <f t="shared" si="38"/>
        <v>6.012874869271437E-5</v>
      </c>
      <c r="AT213">
        <v>1.085</v>
      </c>
      <c r="AU213">
        <v>10480.1237929567</v>
      </c>
      <c r="AV213" s="17">
        <v>1.76784575026259E-11</v>
      </c>
      <c r="AW213">
        <f t="shared" si="39"/>
        <v>1.8527242309604358E-7</v>
      </c>
    </row>
    <row r="214" spans="1:49" x14ac:dyDescent="0.3">
      <c r="A214">
        <v>1.2244999999999999</v>
      </c>
      <c r="B214" s="16">
        <v>14714.954860731001</v>
      </c>
      <c r="C214" s="17">
        <v>1.3781860454072699E-5</v>
      </c>
      <c r="D214">
        <f t="shared" si="30"/>
        <v>0.20279945447857342</v>
      </c>
      <c r="F214">
        <v>1.2244999999999999</v>
      </c>
      <c r="G214">
        <v>14714.954860731001</v>
      </c>
      <c r="H214" s="16">
        <v>0</v>
      </c>
      <c r="I214">
        <f t="shared" si="31"/>
        <v>0</v>
      </c>
      <c r="K214">
        <v>1.2244999999999999</v>
      </c>
      <c r="L214">
        <v>14714.954860731001</v>
      </c>
      <c r="M214" s="16">
        <v>0</v>
      </c>
      <c r="N214">
        <f t="shared" si="32"/>
        <v>0</v>
      </c>
      <c r="P214">
        <v>1.2244999999999999</v>
      </c>
      <c r="Q214">
        <v>14714.954860731001</v>
      </c>
      <c r="R214" s="17">
        <v>6.7707114723264204E-7</v>
      </c>
      <c r="S214">
        <f t="shared" si="33"/>
        <v>9.9630713690316806E-3</v>
      </c>
      <c r="U214">
        <v>1.2244999999999999</v>
      </c>
      <c r="V214">
        <v>14714.954860731001</v>
      </c>
      <c r="W214" s="17">
        <v>1.7116334508879101E-8</v>
      </c>
      <c r="X214">
        <f t="shared" si="34"/>
        <v>2.5186608967932831E-4</v>
      </c>
      <c r="Z214">
        <v>1.2244999999999999</v>
      </c>
      <c r="AA214">
        <v>14714.954860731001</v>
      </c>
      <c r="AB214" s="16">
        <v>0</v>
      </c>
      <c r="AC214">
        <f t="shared" si="35"/>
        <v>0</v>
      </c>
      <c r="AE214">
        <v>1.2244999999999999</v>
      </c>
      <c r="AF214">
        <v>14714.954860731001</v>
      </c>
      <c r="AG214" s="16">
        <v>0</v>
      </c>
      <c r="AH214">
        <f t="shared" si="36"/>
        <v>0</v>
      </c>
      <c r="AJ214">
        <v>1.2244999999999999</v>
      </c>
      <c r="AK214">
        <v>14714.954860731001</v>
      </c>
      <c r="AL214" s="17">
        <v>1.09260356904811E-6</v>
      </c>
      <c r="AM214">
        <f t="shared" si="37"/>
        <v>1.6077612199216527E-2</v>
      </c>
      <c r="AO214">
        <v>1.2244999999999999</v>
      </c>
      <c r="AP214">
        <v>14714.954860731001</v>
      </c>
      <c r="AQ214" s="17">
        <v>5.6431937371713603E-9</v>
      </c>
      <c r="AR214">
        <f t="shared" si="38"/>
        <v>8.3039341112836452E-5</v>
      </c>
      <c r="AT214">
        <v>1.2244999999999999</v>
      </c>
      <c r="AU214">
        <v>14714.954860731001</v>
      </c>
      <c r="AV214" s="17">
        <v>6.5316060094312601E-11</v>
      </c>
      <c r="AW214">
        <f t="shared" si="39"/>
        <v>9.6112287596860342E-7</v>
      </c>
    </row>
    <row r="215" spans="1:49" x14ac:dyDescent="0.3">
      <c r="A215">
        <v>1.3819999999999999</v>
      </c>
      <c r="B215" s="16">
        <v>16270.4002430703</v>
      </c>
      <c r="C215" s="17">
        <v>1.3203852989550201E-5</v>
      </c>
      <c r="D215">
        <f t="shared" si="30"/>
        <v>0.2148319728906421</v>
      </c>
      <c r="F215">
        <v>1.3819999999999999</v>
      </c>
      <c r="G215">
        <v>16270.4002430703</v>
      </c>
      <c r="H215" s="16">
        <v>0</v>
      </c>
      <c r="I215">
        <f t="shared" si="31"/>
        <v>0</v>
      </c>
      <c r="K215">
        <v>1.3819999999999999</v>
      </c>
      <c r="L215">
        <v>16270.4002430703</v>
      </c>
      <c r="M215" s="16">
        <v>0</v>
      </c>
      <c r="N215">
        <f t="shared" si="32"/>
        <v>0</v>
      </c>
      <c r="P215">
        <v>1.3819999999999999</v>
      </c>
      <c r="Q215">
        <v>16270.4002430703</v>
      </c>
      <c r="R215" s="17">
        <v>1.13409435516937E-6</v>
      </c>
      <c r="S215">
        <f t="shared" si="33"/>
        <v>1.8452169072012373E-2</v>
      </c>
      <c r="U215">
        <v>1.3819999999999999</v>
      </c>
      <c r="V215">
        <v>16270.4002430703</v>
      </c>
      <c r="W215" s="17">
        <v>3.9730635600369197E-8</v>
      </c>
      <c r="X215">
        <f t="shared" si="34"/>
        <v>6.464333431295845E-4</v>
      </c>
      <c r="Z215">
        <v>1.3819999999999999</v>
      </c>
      <c r="AA215">
        <v>16270.4002430703</v>
      </c>
      <c r="AB215" s="16">
        <v>0</v>
      </c>
      <c r="AC215">
        <f t="shared" si="35"/>
        <v>0</v>
      </c>
      <c r="AE215">
        <v>1.3819999999999999</v>
      </c>
      <c r="AF215">
        <v>16270.4002430703</v>
      </c>
      <c r="AG215" s="16">
        <v>0</v>
      </c>
      <c r="AH215">
        <f t="shared" si="36"/>
        <v>0</v>
      </c>
      <c r="AJ215">
        <v>1.3819999999999999</v>
      </c>
      <c r="AK215">
        <v>16270.4002430703</v>
      </c>
      <c r="AL215" s="17">
        <v>1.05173434576298E-6</v>
      </c>
      <c r="AM215">
        <f t="shared" si="37"/>
        <v>1.7112138754947371E-2</v>
      </c>
      <c r="AO215">
        <v>1.3819999999999999</v>
      </c>
      <c r="AP215">
        <v>16270.4002430703</v>
      </c>
      <c r="AQ215" s="17">
        <v>4.7499938549262097E-9</v>
      </c>
      <c r="AR215">
        <f t="shared" si="38"/>
        <v>7.7284301171773841E-5</v>
      </c>
      <c r="AT215">
        <v>1.3819999999999999</v>
      </c>
      <c r="AU215">
        <v>16270.4002430703</v>
      </c>
      <c r="AV215" s="17">
        <v>1.6884541103478499E-9</v>
      </c>
      <c r="AW215">
        <f t="shared" si="39"/>
        <v>2.7471824167416705E-5</v>
      </c>
    </row>
    <row r="216" spans="1:49" x14ac:dyDescent="0.3">
      <c r="A216">
        <v>1.5598000000000001</v>
      </c>
      <c r="B216" s="16">
        <v>18947.930906884001</v>
      </c>
      <c r="C216" s="17">
        <v>1.2651410792859499E-5</v>
      </c>
      <c r="D216">
        <f t="shared" si="30"/>
        <v>0.23971805757770834</v>
      </c>
      <c r="F216">
        <v>1.5598000000000001</v>
      </c>
      <c r="G216">
        <v>18947.930906884001</v>
      </c>
      <c r="H216" s="16">
        <v>0</v>
      </c>
      <c r="I216">
        <f t="shared" si="31"/>
        <v>0</v>
      </c>
      <c r="K216">
        <v>1.5598000000000001</v>
      </c>
      <c r="L216">
        <v>18947.930906884001</v>
      </c>
      <c r="M216" s="16">
        <v>0</v>
      </c>
      <c r="N216">
        <f t="shared" si="32"/>
        <v>0</v>
      </c>
      <c r="P216">
        <v>1.5598000000000001</v>
      </c>
      <c r="Q216">
        <v>18947.930906884001</v>
      </c>
      <c r="R216" s="17">
        <v>1.7396116357185499E-6</v>
      </c>
      <c r="S216">
        <f t="shared" si="33"/>
        <v>3.2962041078406543E-2</v>
      </c>
      <c r="U216">
        <v>1.5598000000000001</v>
      </c>
      <c r="V216">
        <v>18947.930906884001</v>
      </c>
      <c r="W216" s="17">
        <v>7.1535834703683797E-8</v>
      </c>
      <c r="X216">
        <f t="shared" si="34"/>
        <v>1.3554560533316753E-3</v>
      </c>
      <c r="Z216">
        <v>1.5598000000000001</v>
      </c>
      <c r="AA216">
        <v>18947.930906884001</v>
      </c>
      <c r="AB216" s="16">
        <v>0</v>
      </c>
      <c r="AC216">
        <f t="shared" si="35"/>
        <v>0</v>
      </c>
      <c r="AE216">
        <v>1.5598000000000001</v>
      </c>
      <c r="AF216">
        <v>18947.930906884001</v>
      </c>
      <c r="AG216" s="16">
        <v>0</v>
      </c>
      <c r="AH216">
        <f t="shared" si="36"/>
        <v>0</v>
      </c>
      <c r="AJ216">
        <v>1.5598000000000001</v>
      </c>
      <c r="AK216">
        <v>18947.930906884001</v>
      </c>
      <c r="AL216" s="17">
        <v>1.01705505280633E-6</v>
      </c>
      <c r="AM216">
        <f t="shared" si="37"/>
        <v>1.9271088869071602E-2</v>
      </c>
      <c r="AO216">
        <v>1.5598000000000001</v>
      </c>
      <c r="AP216">
        <v>18947.930906884001</v>
      </c>
      <c r="AQ216" s="17">
        <v>3.9571381247299E-9</v>
      </c>
      <c r="AR216">
        <f t="shared" si="38"/>
        <v>7.4979579776378668E-5</v>
      </c>
      <c r="AT216">
        <v>1.5598000000000001</v>
      </c>
      <c r="AU216">
        <v>18947.930906884001</v>
      </c>
      <c r="AV216" s="17">
        <v>3.3929452959496302E-8</v>
      </c>
      <c r="AW216">
        <f t="shared" si="39"/>
        <v>6.4289293038490686E-4</v>
      </c>
    </row>
    <row r="217" spans="1:49" x14ac:dyDescent="0.3">
      <c r="A217">
        <v>1.7604</v>
      </c>
      <c r="B217" s="16">
        <v>19776.253808278601</v>
      </c>
      <c r="C217" s="17">
        <v>1.17759702088153E-5</v>
      </c>
      <c r="D217">
        <f t="shared" si="30"/>
        <v>0.23288457568825893</v>
      </c>
      <c r="F217">
        <v>1.7604</v>
      </c>
      <c r="G217">
        <v>19776.253808278601</v>
      </c>
      <c r="H217" s="16">
        <v>0</v>
      </c>
      <c r="I217">
        <f t="shared" si="31"/>
        <v>0</v>
      </c>
      <c r="K217">
        <v>1.7604</v>
      </c>
      <c r="L217">
        <v>19776.253808278601</v>
      </c>
      <c r="M217" s="16">
        <v>0</v>
      </c>
      <c r="N217">
        <f t="shared" si="32"/>
        <v>0</v>
      </c>
      <c r="P217">
        <v>1.7604</v>
      </c>
      <c r="Q217">
        <v>19776.253808278601</v>
      </c>
      <c r="R217" s="17">
        <v>2.7767512710386901E-6</v>
      </c>
      <c r="S217">
        <f t="shared" si="33"/>
        <v>5.4913737898521345E-2</v>
      </c>
      <c r="U217">
        <v>1.7604</v>
      </c>
      <c r="V217">
        <v>19776.253808278601</v>
      </c>
      <c r="W217" s="17">
        <v>1.4916889534330801E-7</v>
      </c>
      <c r="X217">
        <f t="shared" si="34"/>
        <v>2.9500019346098069E-3</v>
      </c>
      <c r="Z217">
        <v>1.7604</v>
      </c>
      <c r="AA217">
        <v>19776.253808278601</v>
      </c>
      <c r="AB217" s="16">
        <v>0</v>
      </c>
      <c r="AC217">
        <f t="shared" si="35"/>
        <v>0</v>
      </c>
      <c r="AE217">
        <v>1.7604</v>
      </c>
      <c r="AF217">
        <v>19776.253808278601</v>
      </c>
      <c r="AG217" s="16">
        <v>0</v>
      </c>
      <c r="AH217">
        <f t="shared" si="36"/>
        <v>0</v>
      </c>
      <c r="AJ217">
        <v>1.7604</v>
      </c>
      <c r="AK217">
        <v>19776.253808278601</v>
      </c>
      <c r="AL217" s="17">
        <v>9.8402738813209993E-7</v>
      </c>
      <c r="AM217">
        <f t="shared" si="37"/>
        <v>1.9460375381997887E-2</v>
      </c>
      <c r="AO217">
        <v>1.7604</v>
      </c>
      <c r="AP217">
        <v>19776.253808278601</v>
      </c>
      <c r="AQ217" s="17">
        <v>3.4175826842049901E-9</v>
      </c>
      <c r="AR217">
        <f t="shared" si="38"/>
        <v>6.7586982573615936E-5</v>
      </c>
      <c r="AT217">
        <v>1.7604</v>
      </c>
      <c r="AU217">
        <v>19776.253808278601</v>
      </c>
      <c r="AV217" s="17">
        <v>5.0818275099136203E-7</v>
      </c>
      <c r="AW217">
        <f t="shared" si="39"/>
        <v>1.004995106459442E-2</v>
      </c>
    </row>
    <row r="218" spans="1:49" x14ac:dyDescent="0.3">
      <c r="A218">
        <v>1.9869000000000001</v>
      </c>
      <c r="B218" s="16">
        <v>21493.4192029267</v>
      </c>
      <c r="C218" s="17">
        <v>1.00238912274787E-5</v>
      </c>
      <c r="D218">
        <f t="shared" si="30"/>
        <v>0.21544769619673917</v>
      </c>
      <c r="F218">
        <v>1.9869000000000001</v>
      </c>
      <c r="G218">
        <v>21493.4192029267</v>
      </c>
      <c r="H218" s="16">
        <v>0</v>
      </c>
      <c r="I218">
        <f t="shared" si="31"/>
        <v>0</v>
      </c>
      <c r="K218">
        <v>1.9869000000000001</v>
      </c>
      <c r="L218">
        <v>21493.4192029267</v>
      </c>
      <c r="M218" s="16">
        <v>0</v>
      </c>
      <c r="N218">
        <f t="shared" si="32"/>
        <v>0</v>
      </c>
      <c r="P218">
        <v>1.9869000000000001</v>
      </c>
      <c r="Q218">
        <v>21493.4192029267</v>
      </c>
      <c r="R218" s="17">
        <v>4.1601439576259102E-6</v>
      </c>
      <c r="S218">
        <f t="shared" si="33"/>
        <v>8.941571802577622E-2</v>
      </c>
      <c r="U218">
        <v>1.9869000000000001</v>
      </c>
      <c r="V218">
        <v>21493.4192029267</v>
      </c>
      <c r="W218" s="17">
        <v>3.0300490130188799E-7</v>
      </c>
      <c r="X218">
        <f t="shared" si="34"/>
        <v>6.5126113642229085E-3</v>
      </c>
      <c r="Z218">
        <v>1.9869000000000001</v>
      </c>
      <c r="AA218">
        <v>21493.4192029267</v>
      </c>
      <c r="AB218" s="17">
        <v>1.54677327642773E-12</v>
      </c>
      <c r="AC218">
        <f t="shared" si="35"/>
        <v>3.3245446442145621E-8</v>
      </c>
      <c r="AE218">
        <v>1.9869000000000001</v>
      </c>
      <c r="AF218">
        <v>21493.4192029267</v>
      </c>
      <c r="AG218" s="16">
        <v>0</v>
      </c>
      <c r="AH218">
        <f t="shared" si="36"/>
        <v>0</v>
      </c>
      <c r="AJ218">
        <v>1.9869000000000001</v>
      </c>
      <c r="AK218">
        <v>21493.4192029267</v>
      </c>
      <c r="AL218" s="17">
        <v>9.6039489086853598E-7</v>
      </c>
      <c r="AM218">
        <f t="shared" si="37"/>
        <v>2.0642169989786484E-2</v>
      </c>
      <c r="AO218">
        <v>1.9869000000000001</v>
      </c>
      <c r="AP218">
        <v>21493.4192029267</v>
      </c>
      <c r="AQ218" s="17">
        <v>2.8385016279678398E-9</v>
      </c>
      <c r="AR218">
        <f t="shared" si="38"/>
        <v>6.1009105398102665E-5</v>
      </c>
      <c r="AT218">
        <v>1.9869000000000001</v>
      </c>
      <c r="AU218">
        <v>21493.4192029267</v>
      </c>
      <c r="AV218" s="17">
        <v>1.8204367639813999E-6</v>
      </c>
      <c r="AW218">
        <f t="shared" si="39"/>
        <v>3.9127410500671561E-2</v>
      </c>
    </row>
    <row r="219" spans="1:49" x14ac:dyDescent="0.3">
      <c r="A219">
        <v>2.2423999999999999</v>
      </c>
      <c r="B219" s="16">
        <v>25161.162945964999</v>
      </c>
      <c r="C219" s="17">
        <v>8.9550306205874795E-6</v>
      </c>
      <c r="D219">
        <f t="shared" si="30"/>
        <v>0.22531898463070765</v>
      </c>
      <c r="F219">
        <v>2.2423999999999999</v>
      </c>
      <c r="G219">
        <v>25161.162945964999</v>
      </c>
      <c r="H219" s="16">
        <v>0</v>
      </c>
      <c r="I219">
        <f t="shared" si="31"/>
        <v>0</v>
      </c>
      <c r="K219">
        <v>2.2423999999999999</v>
      </c>
      <c r="L219">
        <v>25161.162945964999</v>
      </c>
      <c r="M219" s="16">
        <v>0</v>
      </c>
      <c r="N219">
        <f t="shared" si="32"/>
        <v>0</v>
      </c>
      <c r="P219">
        <v>2.2423999999999999</v>
      </c>
      <c r="Q219">
        <v>25161.162945964999</v>
      </c>
      <c r="R219" s="17">
        <v>4.9786485979925499E-6</v>
      </c>
      <c r="S219">
        <f t="shared" si="33"/>
        <v>0.12526858862479073</v>
      </c>
      <c r="U219">
        <v>2.2423999999999999</v>
      </c>
      <c r="V219">
        <v>25161.162945964999</v>
      </c>
      <c r="W219" s="17">
        <v>8.1813254955787503E-7</v>
      </c>
      <c r="X219">
        <f t="shared" si="34"/>
        <v>2.058516639082348E-2</v>
      </c>
      <c r="Z219">
        <v>2.2423999999999999</v>
      </c>
      <c r="AA219">
        <v>25161.162945964999</v>
      </c>
      <c r="AB219" s="17">
        <v>3.0335348091523098E-12</v>
      </c>
      <c r="AC219">
        <f t="shared" si="35"/>
        <v>7.6327263635338099E-8</v>
      </c>
      <c r="AE219">
        <v>2.2423999999999999</v>
      </c>
      <c r="AF219">
        <v>25161.162945964999</v>
      </c>
      <c r="AG219" s="16">
        <v>0</v>
      </c>
      <c r="AH219">
        <f t="shared" si="36"/>
        <v>0</v>
      </c>
      <c r="AJ219">
        <v>2.2423999999999999</v>
      </c>
      <c r="AK219">
        <v>25161.162945964999</v>
      </c>
      <c r="AL219" s="17">
        <v>9.3017058339769395E-7</v>
      </c>
      <c r="AM219">
        <f t="shared" si="37"/>
        <v>2.3404173616412702E-2</v>
      </c>
      <c r="AO219">
        <v>2.2423999999999999</v>
      </c>
      <c r="AP219">
        <v>25161.162945964999</v>
      </c>
      <c r="AQ219" s="17">
        <v>2.5021800845543999E-9</v>
      </c>
      <c r="AR219">
        <f t="shared" si="38"/>
        <v>6.295776082762173E-5</v>
      </c>
      <c r="AT219">
        <v>2.2423999999999999</v>
      </c>
      <c r="AU219">
        <v>25161.162945964999</v>
      </c>
      <c r="AV219" s="17">
        <v>8.6581528202984494E-6</v>
      </c>
      <c r="AW219">
        <f t="shared" si="39"/>
        <v>0.21784919392259569</v>
      </c>
    </row>
    <row r="220" spans="1:49" x14ac:dyDescent="0.3">
      <c r="A220">
        <v>2.5308999999999999</v>
      </c>
      <c r="B220" s="16">
        <v>29057.811929927899</v>
      </c>
      <c r="C220" s="17">
        <v>6.7604222164269103E-6</v>
      </c>
      <c r="D220">
        <f t="shared" si="30"/>
        <v>0.19644307733183949</v>
      </c>
      <c r="F220">
        <v>2.5308999999999999</v>
      </c>
      <c r="G220">
        <v>29057.811929927899</v>
      </c>
      <c r="H220" s="16">
        <v>0</v>
      </c>
      <c r="I220">
        <f t="shared" si="31"/>
        <v>0</v>
      </c>
      <c r="K220">
        <v>2.5308999999999999</v>
      </c>
      <c r="L220">
        <v>29057.811929927899</v>
      </c>
      <c r="M220" s="16">
        <v>0</v>
      </c>
      <c r="N220">
        <f t="shared" si="32"/>
        <v>0</v>
      </c>
      <c r="P220">
        <v>2.5308999999999999</v>
      </c>
      <c r="Q220">
        <v>29057.811929927899</v>
      </c>
      <c r="R220" s="17">
        <v>1.37281843057214E-5</v>
      </c>
      <c r="S220">
        <f t="shared" si="33"/>
        <v>0.39891099769504024</v>
      </c>
      <c r="U220">
        <v>2.5308999999999999</v>
      </c>
      <c r="V220">
        <v>29057.811929927899</v>
      </c>
      <c r="W220" s="17">
        <v>1.4399944748688401E-6</v>
      </c>
      <c r="X220">
        <f t="shared" si="34"/>
        <v>4.1843088630874041E-2</v>
      </c>
      <c r="Z220">
        <v>2.5308999999999999</v>
      </c>
      <c r="AA220">
        <v>29057.811929927899</v>
      </c>
      <c r="AB220" s="17">
        <v>4.8260292055667999E-11</v>
      </c>
      <c r="AC220">
        <f t="shared" si="35"/>
        <v>1.4023384902369941E-6</v>
      </c>
      <c r="AE220">
        <v>2.5308999999999999</v>
      </c>
      <c r="AF220">
        <v>29057.811929927899</v>
      </c>
      <c r="AG220" s="16">
        <v>0</v>
      </c>
      <c r="AH220">
        <f t="shared" si="36"/>
        <v>0</v>
      </c>
      <c r="AJ220">
        <v>2.5308999999999999</v>
      </c>
      <c r="AK220">
        <v>29057.811929927899</v>
      </c>
      <c r="AL220" s="17">
        <v>9.0649397736694302E-7</v>
      </c>
      <c r="AM220">
        <f t="shared" si="37"/>
        <v>2.6340731509940946E-2</v>
      </c>
      <c r="AO220">
        <v>2.5308999999999999</v>
      </c>
      <c r="AP220">
        <v>29057.811929927899</v>
      </c>
      <c r="AQ220" s="17">
        <v>2.0528875125544299E-9</v>
      </c>
      <c r="AR220">
        <f t="shared" si="38"/>
        <v>5.9652419253104121E-5</v>
      </c>
      <c r="AT220">
        <v>2.5308999999999999</v>
      </c>
      <c r="AU220">
        <v>29057.811929927899</v>
      </c>
      <c r="AV220" s="17">
        <v>1.9116823926056699E-5</v>
      </c>
      <c r="AW220">
        <f t="shared" si="39"/>
        <v>0.55549307434090145</v>
      </c>
    </row>
    <row r="221" spans="1:49" x14ac:dyDescent="0.3">
      <c r="A221">
        <v>2.8563999999999998</v>
      </c>
      <c r="B221" s="16">
        <v>29920.041173238598</v>
      </c>
      <c r="C221" s="17">
        <v>5.1418413093675397E-6</v>
      </c>
      <c r="D221">
        <f t="shared" si="30"/>
        <v>0.15384410368253584</v>
      </c>
      <c r="F221">
        <v>2.8563999999999998</v>
      </c>
      <c r="G221">
        <v>29920.041173238598</v>
      </c>
      <c r="H221" s="16">
        <v>0</v>
      </c>
      <c r="I221">
        <f t="shared" si="31"/>
        <v>0</v>
      </c>
      <c r="K221">
        <v>2.8563999999999998</v>
      </c>
      <c r="L221">
        <v>29920.041173238598</v>
      </c>
      <c r="M221" s="16">
        <v>0</v>
      </c>
      <c r="N221">
        <f t="shared" si="32"/>
        <v>0</v>
      </c>
      <c r="P221">
        <v>2.8563999999999998</v>
      </c>
      <c r="Q221">
        <v>29920.041173238598</v>
      </c>
      <c r="R221" s="17">
        <v>1.79424382673167E-5</v>
      </c>
      <c r="S221">
        <f t="shared" si="33"/>
        <v>0.53683849170640752</v>
      </c>
      <c r="U221">
        <v>2.8563999999999998</v>
      </c>
      <c r="V221">
        <v>29920.041173238598</v>
      </c>
      <c r="W221" s="17">
        <v>3.0413682018476699E-6</v>
      </c>
      <c r="X221">
        <f t="shared" si="34"/>
        <v>9.0997861822260925E-2</v>
      </c>
      <c r="Z221">
        <v>2.8563999999999998</v>
      </c>
      <c r="AA221">
        <v>29920.041173238598</v>
      </c>
      <c r="AB221" s="17">
        <v>2.0893137608279299E-10</v>
      </c>
      <c r="AC221">
        <f t="shared" si="35"/>
        <v>6.2512353747785641E-6</v>
      </c>
      <c r="AE221">
        <v>2.8563999999999998</v>
      </c>
      <c r="AF221">
        <v>29920.041173238598</v>
      </c>
      <c r="AG221" s="16">
        <v>0</v>
      </c>
      <c r="AH221">
        <f t="shared" si="36"/>
        <v>0</v>
      </c>
      <c r="AJ221">
        <v>2.8563999999999998</v>
      </c>
      <c r="AK221">
        <v>29920.041173238598</v>
      </c>
      <c r="AL221" s="17">
        <v>8.7720575595527503E-7</v>
      </c>
      <c r="AM221">
        <f t="shared" si="37"/>
        <v>2.624603233558372E-2</v>
      </c>
      <c r="AO221">
        <v>2.8563999999999998</v>
      </c>
      <c r="AP221">
        <v>29920.041173238598</v>
      </c>
      <c r="AQ221" s="17">
        <v>1.6372803961213599E-9</v>
      </c>
      <c r="AR221">
        <f t="shared" si="38"/>
        <v>4.8987496864087489E-5</v>
      </c>
      <c r="AT221">
        <v>2.8563999999999998</v>
      </c>
      <c r="AU221">
        <v>29920.041173238598</v>
      </c>
      <c r="AV221" s="17">
        <v>2.1337491125418999E-5</v>
      </c>
      <c r="AW221">
        <f t="shared" si="39"/>
        <v>0.63841861300614966</v>
      </c>
    </row>
    <row r="222" spans="1:49" x14ac:dyDescent="0.3">
      <c r="A222">
        <v>3.2238000000000002</v>
      </c>
      <c r="B222" s="16">
        <v>30635.7629529121</v>
      </c>
      <c r="C222" s="17">
        <v>4.1888244397017904E-6</v>
      </c>
      <c r="D222">
        <f t="shared" si="30"/>
        <v>0.12832783258606889</v>
      </c>
      <c r="F222">
        <v>3.2238000000000002</v>
      </c>
      <c r="G222">
        <v>30635.7629529121</v>
      </c>
      <c r="H222" s="17">
        <v>1.9228333694907701E-13</v>
      </c>
      <c r="I222">
        <f t="shared" si="31"/>
        <v>5.8907467305668481E-9</v>
      </c>
      <c r="K222">
        <v>3.2238000000000002</v>
      </c>
      <c r="L222">
        <v>30635.7629529121</v>
      </c>
      <c r="M222" s="17">
        <v>2.98403342993714E-11</v>
      </c>
      <c r="N222">
        <f t="shared" si="32"/>
        <v>9.1418140803119461E-7</v>
      </c>
      <c r="P222">
        <v>3.2238000000000002</v>
      </c>
      <c r="Q222">
        <v>30635.7629529121</v>
      </c>
      <c r="R222" s="17">
        <v>2.46092944570132E-5</v>
      </c>
      <c r="S222">
        <f t="shared" si="33"/>
        <v>0.75392451142347006</v>
      </c>
      <c r="U222">
        <v>3.2238000000000002</v>
      </c>
      <c r="V222">
        <v>30635.7629529121</v>
      </c>
      <c r="W222" s="17">
        <v>3.97752108490011E-6</v>
      </c>
      <c r="X222">
        <f t="shared" si="34"/>
        <v>0.12185439309720954</v>
      </c>
      <c r="Z222">
        <v>3.2238000000000002</v>
      </c>
      <c r="AA222">
        <v>30635.7629529121</v>
      </c>
      <c r="AB222" s="17">
        <v>4.6310946331083299E-10</v>
      </c>
      <c r="AC222">
        <f t="shared" si="35"/>
        <v>1.4187711739241023E-5</v>
      </c>
      <c r="AE222">
        <v>3.2238000000000002</v>
      </c>
      <c r="AF222">
        <v>30635.7629529121</v>
      </c>
      <c r="AG222" s="16">
        <v>0</v>
      </c>
      <c r="AH222">
        <f t="shared" si="36"/>
        <v>0</v>
      </c>
      <c r="AJ222">
        <v>3.2238000000000002</v>
      </c>
      <c r="AK222">
        <v>30635.7629529121</v>
      </c>
      <c r="AL222" s="17">
        <v>8.4828510760349305E-7</v>
      </c>
      <c r="AM222">
        <f t="shared" si="37"/>
        <v>2.5987861473026147E-2</v>
      </c>
      <c r="AO222">
        <v>3.2238000000000002</v>
      </c>
      <c r="AP222">
        <v>30635.7629529121</v>
      </c>
      <c r="AQ222" s="17">
        <v>1.2415647456750699E-9</v>
      </c>
      <c r="AR222">
        <f t="shared" si="38"/>
        <v>3.8036283239194041E-5</v>
      </c>
      <c r="AT222">
        <v>3.2238000000000002</v>
      </c>
      <c r="AU222">
        <v>30635.7629529121</v>
      </c>
      <c r="AV222" s="17">
        <v>3.2822851540357099E-5</v>
      </c>
      <c r="AW222">
        <f t="shared" si="39"/>
        <v>1.0055530992290058</v>
      </c>
    </row>
    <row r="223" spans="1:49" x14ac:dyDescent="0.3">
      <c r="A223">
        <v>3.6385000000000001</v>
      </c>
      <c r="B223" s="16">
        <v>30564.815051014401</v>
      </c>
      <c r="C223" s="17">
        <v>3.1978261633867602E-6</v>
      </c>
      <c r="D223">
        <f t="shared" si="30"/>
        <v>9.7740965249211276E-2</v>
      </c>
      <c r="F223">
        <v>3.6385000000000001</v>
      </c>
      <c r="G223">
        <v>30564.815051014401</v>
      </c>
      <c r="H223" s="17">
        <v>2.10253748510955E-12</v>
      </c>
      <c r="I223">
        <f t="shared" si="31"/>
        <v>6.4263669370198346E-8</v>
      </c>
      <c r="K223">
        <v>3.6385000000000001</v>
      </c>
      <c r="L223">
        <v>30564.815051014401</v>
      </c>
      <c r="M223" s="17">
        <v>9.601783699155381E-10</v>
      </c>
      <c r="N223">
        <f t="shared" si="32"/>
        <v>2.9347674292452913E-5</v>
      </c>
      <c r="P223">
        <v>3.6385000000000001</v>
      </c>
      <c r="Q223">
        <v>30564.815051014401</v>
      </c>
      <c r="R223" s="17">
        <v>3.4861796942933402E-5</v>
      </c>
      <c r="S223">
        <f t="shared" si="33"/>
        <v>1.0655443759067786</v>
      </c>
      <c r="U223">
        <v>3.6385000000000001</v>
      </c>
      <c r="V223">
        <v>30564.815051014401</v>
      </c>
      <c r="W223" s="17">
        <v>5.5192514557505402E-6</v>
      </c>
      <c r="X223">
        <f t="shared" si="34"/>
        <v>0.16869489996505727</v>
      </c>
      <c r="Z223">
        <v>3.6385000000000001</v>
      </c>
      <c r="AA223">
        <v>30564.815051014401</v>
      </c>
      <c r="AB223" s="17">
        <v>2.4558743895755902E-9</v>
      </c>
      <c r="AC223">
        <f t="shared" si="35"/>
        <v>7.5063346505900805E-5</v>
      </c>
      <c r="AE223">
        <v>3.6385000000000001</v>
      </c>
      <c r="AF223">
        <v>30564.815051014401</v>
      </c>
      <c r="AG223" s="16">
        <v>0</v>
      </c>
      <c r="AH223">
        <f t="shared" si="36"/>
        <v>0</v>
      </c>
      <c r="AJ223">
        <v>3.6385000000000001</v>
      </c>
      <c r="AK223">
        <v>30564.815051014401</v>
      </c>
      <c r="AL223" s="17">
        <v>8.2073183103448503E-7</v>
      </c>
      <c r="AM223">
        <f t="shared" si="37"/>
        <v>2.5085516622049435E-2</v>
      </c>
      <c r="AO223">
        <v>3.6385000000000001</v>
      </c>
      <c r="AP223">
        <v>30564.815051014401</v>
      </c>
      <c r="AQ223" s="17">
        <v>8.50609216316574E-10</v>
      </c>
      <c r="AR223">
        <f t="shared" si="38"/>
        <v>2.5998713377404384E-5</v>
      </c>
      <c r="AT223">
        <v>3.6385000000000001</v>
      </c>
      <c r="AU223">
        <v>30564.815051014401</v>
      </c>
      <c r="AV223" s="17">
        <v>4.3996756168143302E-5</v>
      </c>
      <c r="AW223">
        <f t="shared" si="39"/>
        <v>1.3447527151238772</v>
      </c>
    </row>
    <row r="224" spans="1:49" x14ac:dyDescent="0.3">
      <c r="A224">
        <v>4.1064999999999996</v>
      </c>
      <c r="B224" s="16">
        <v>30280.011424923799</v>
      </c>
      <c r="C224" s="17">
        <v>2.4121053671840902E-6</v>
      </c>
      <c r="D224">
        <f t="shared" si="30"/>
        <v>7.3038578076454266E-2</v>
      </c>
      <c r="F224">
        <v>4.1064999999999996</v>
      </c>
      <c r="G224">
        <v>30280.011424923799</v>
      </c>
      <c r="H224" s="17">
        <v>7.1330009234252201E-9</v>
      </c>
      <c r="I224">
        <f t="shared" si="31"/>
        <v>2.1598734945530769E-4</v>
      </c>
      <c r="K224">
        <v>4.1064999999999996</v>
      </c>
      <c r="L224">
        <v>30280.011424923799</v>
      </c>
      <c r="M224" s="17">
        <v>3.09577139263138E-9</v>
      </c>
      <c r="N224">
        <f t="shared" si="32"/>
        <v>9.3739993137830442E-5</v>
      </c>
      <c r="P224">
        <v>4.1064999999999996</v>
      </c>
      <c r="Q224">
        <v>30280.011424923799</v>
      </c>
      <c r="R224" s="17">
        <v>4.5035881571201501E-5</v>
      </c>
      <c r="S224">
        <f t="shared" si="33"/>
        <v>1.3636870085074966</v>
      </c>
      <c r="U224">
        <v>4.1064999999999996</v>
      </c>
      <c r="V224">
        <v>30280.011424923799</v>
      </c>
      <c r="W224" s="17">
        <v>8.1632360843638397E-6</v>
      </c>
      <c r="X224">
        <f t="shared" si="34"/>
        <v>0.24718288189888729</v>
      </c>
      <c r="Z224">
        <v>4.1064999999999996</v>
      </c>
      <c r="AA224">
        <v>30280.011424923799</v>
      </c>
      <c r="AB224" s="17">
        <v>1.0430075424389399E-8</v>
      </c>
      <c r="AC224">
        <f t="shared" si="35"/>
        <v>3.1582280301332798E-4</v>
      </c>
      <c r="AE224">
        <v>4.1064999999999996</v>
      </c>
      <c r="AF224">
        <v>30280.011424923799</v>
      </c>
      <c r="AG224" s="17">
        <v>6.9103087128657699E-9</v>
      </c>
      <c r="AH224">
        <f t="shared" si="36"/>
        <v>2.0924422677532598E-4</v>
      </c>
      <c r="AJ224">
        <v>4.1064999999999996</v>
      </c>
      <c r="AK224">
        <v>30280.011424923799</v>
      </c>
      <c r="AL224" s="17">
        <v>7.9258798708259395E-7</v>
      </c>
      <c r="AM224">
        <f t="shared" si="37"/>
        <v>2.3999573304118303E-2</v>
      </c>
      <c r="AO224">
        <v>4.1064999999999996</v>
      </c>
      <c r="AP224">
        <v>30280.011424923799</v>
      </c>
      <c r="AQ224" s="17">
        <v>6.5649235598905099E-10</v>
      </c>
      <c r="AR224">
        <f t="shared" si="38"/>
        <v>1.9878596039723604E-5</v>
      </c>
      <c r="AT224">
        <v>4.1064999999999996</v>
      </c>
      <c r="AU224">
        <v>30280.011424923799</v>
      </c>
      <c r="AV224" s="17">
        <v>4.80697115026364E-5</v>
      </c>
      <c r="AW224">
        <f t="shared" si="39"/>
        <v>1.4555514134926211</v>
      </c>
    </row>
    <row r="225" spans="1:49" x14ac:dyDescent="0.3">
      <c r="A225">
        <v>4.6346999999999996</v>
      </c>
      <c r="B225" s="16">
        <v>30531.1659349314</v>
      </c>
      <c r="C225" s="17">
        <v>1.8519935901438599E-6</v>
      </c>
      <c r="D225">
        <f t="shared" si="30"/>
        <v>5.6543523611111521E-2</v>
      </c>
      <c r="F225">
        <v>4.6346999999999996</v>
      </c>
      <c r="G225">
        <v>30531.1659349314</v>
      </c>
      <c r="H225" s="17">
        <v>1.8514039950214201E-7</v>
      </c>
      <c r="I225">
        <f t="shared" si="31"/>
        <v>5.6525522584593884E-3</v>
      </c>
      <c r="K225">
        <v>4.6346999999999996</v>
      </c>
      <c r="L225">
        <v>30531.1659349314</v>
      </c>
      <c r="M225" s="17">
        <v>6.03027710274001E-9</v>
      </c>
      <c r="N225">
        <f t="shared" si="32"/>
        <v>1.841113908573726E-4</v>
      </c>
      <c r="P225">
        <v>4.6346999999999996</v>
      </c>
      <c r="Q225">
        <v>30531.1659349314</v>
      </c>
      <c r="R225" s="17">
        <v>5.1292867729337199E-5</v>
      </c>
      <c r="S225">
        <f t="shared" si="33"/>
        <v>1.5660310559228821</v>
      </c>
      <c r="U225">
        <v>4.6346999999999996</v>
      </c>
      <c r="V225">
        <v>30531.1659349314</v>
      </c>
      <c r="W225" s="17">
        <v>1.0350441277927299E-5</v>
      </c>
      <c r="X225">
        <f t="shared" si="34"/>
        <v>0.31601104015616177</v>
      </c>
      <c r="Z225">
        <v>4.6346999999999996</v>
      </c>
      <c r="AA225">
        <v>30531.1659349314</v>
      </c>
      <c r="AB225" s="17">
        <v>2.8405366728440899E-8</v>
      </c>
      <c r="AC225">
        <f t="shared" si="35"/>
        <v>8.6724896502860861E-4</v>
      </c>
      <c r="AE225">
        <v>4.6346999999999996</v>
      </c>
      <c r="AF225">
        <v>30531.1659349314</v>
      </c>
      <c r="AG225" s="17">
        <v>1.8684280781548599E-8</v>
      </c>
      <c r="AH225">
        <f t="shared" si="36"/>
        <v>5.7045287691631001E-4</v>
      </c>
      <c r="AJ225">
        <v>4.6346999999999996</v>
      </c>
      <c r="AK225">
        <v>30531.1659349314</v>
      </c>
      <c r="AL225" s="17">
        <v>7.8415586108882297E-7</v>
      </c>
      <c r="AM225">
        <f t="shared" si="37"/>
        <v>2.394119271375187E-2</v>
      </c>
      <c r="AO225">
        <v>4.6346999999999996</v>
      </c>
      <c r="AP225">
        <v>30531.1659349314</v>
      </c>
      <c r="AQ225" s="17">
        <v>5.66274977303178E-10</v>
      </c>
      <c r="AR225">
        <f t="shared" si="38"/>
        <v>1.7289035296842841E-5</v>
      </c>
      <c r="AT225">
        <v>4.6346999999999996</v>
      </c>
      <c r="AU225">
        <v>30531.1659349314</v>
      </c>
      <c r="AV225" s="17">
        <v>7.4071691606364601E-5</v>
      </c>
      <c r="AW225">
        <f t="shared" si="39"/>
        <v>2.2614951075149832</v>
      </c>
    </row>
    <row r="226" spans="1:49" x14ac:dyDescent="0.3">
      <c r="A226">
        <v>5.2308000000000003</v>
      </c>
      <c r="B226" s="16">
        <v>31574.259556399698</v>
      </c>
      <c r="C226" s="17">
        <v>1.31622155708229E-6</v>
      </c>
      <c r="D226">
        <f t="shared" si="30"/>
        <v>4.1558721077044787E-2</v>
      </c>
      <c r="F226">
        <v>5.2308000000000003</v>
      </c>
      <c r="G226">
        <v>31574.259556399698</v>
      </c>
      <c r="H226" s="17">
        <v>1.5246846936896401E-6</v>
      </c>
      <c r="I226">
        <f t="shared" si="31"/>
        <v>4.8140790260226468E-2</v>
      </c>
      <c r="K226">
        <v>5.2308000000000003</v>
      </c>
      <c r="L226">
        <v>31574.259556399698</v>
      </c>
      <c r="M226" s="17">
        <v>7.0069116739235499E-8</v>
      </c>
      <c r="N226">
        <f t="shared" si="32"/>
        <v>2.2123804788122927E-3</v>
      </c>
      <c r="P226">
        <v>5.2308000000000003</v>
      </c>
      <c r="Q226">
        <v>31574.259556399698</v>
      </c>
      <c r="R226" s="17">
        <v>5.6249635215436501E-5</v>
      </c>
      <c r="S226">
        <f t="shared" si="33"/>
        <v>1.7760405822449929</v>
      </c>
      <c r="U226">
        <v>5.2308000000000003</v>
      </c>
      <c r="V226">
        <v>31574.259556399698</v>
      </c>
      <c r="W226" s="17">
        <v>1.26199949258222E-5</v>
      </c>
      <c r="X226">
        <f t="shared" si="34"/>
        <v>0.39846699538835728</v>
      </c>
      <c r="Z226">
        <v>5.2308000000000003</v>
      </c>
      <c r="AA226">
        <v>31574.259556399698</v>
      </c>
      <c r="AB226" s="17">
        <v>6.3545228068305806E-8</v>
      </c>
      <c r="AC226">
        <f t="shared" si="35"/>
        <v>2.0063935245993028E-3</v>
      </c>
      <c r="AE226">
        <v>5.2308000000000003</v>
      </c>
      <c r="AF226">
        <v>31574.259556399698</v>
      </c>
      <c r="AG226" s="17">
        <v>1.1722541065555299E-7</v>
      </c>
      <c r="AH226">
        <f t="shared" si="36"/>
        <v>3.7013055426439729E-3</v>
      </c>
      <c r="AJ226">
        <v>5.2308000000000003</v>
      </c>
      <c r="AK226">
        <v>31574.259556399698</v>
      </c>
      <c r="AL226" s="17">
        <v>7.9103601625489002E-7</v>
      </c>
      <c r="AM226">
        <f t="shared" si="37"/>
        <v>2.4976376495692308E-2</v>
      </c>
      <c r="AO226">
        <v>5.2308000000000003</v>
      </c>
      <c r="AP226">
        <v>31574.259556399698</v>
      </c>
      <c r="AQ226" s="17">
        <v>5.42078977859146E-10</v>
      </c>
      <c r="AR226">
        <f t="shared" si="38"/>
        <v>1.711574234699252E-5</v>
      </c>
      <c r="AT226">
        <v>5.2308000000000003</v>
      </c>
      <c r="AU226">
        <v>31574.259556399698</v>
      </c>
      <c r="AV226" s="17">
        <v>5.69585137137262E-5</v>
      </c>
      <c r="AW226">
        <f t="shared" si="39"/>
        <v>1.7984228959439428</v>
      </c>
    </row>
    <row r="227" spans="1:49" x14ac:dyDescent="0.3">
      <c r="A227">
        <v>5.9036</v>
      </c>
      <c r="B227" s="16">
        <v>30705.973460065601</v>
      </c>
      <c r="C227" s="17">
        <v>1.0410155607701399E-6</v>
      </c>
      <c r="D227">
        <f t="shared" si="30"/>
        <v>3.1965396180523221E-2</v>
      </c>
      <c r="F227">
        <v>5.9036</v>
      </c>
      <c r="G227">
        <v>30705.973460065601</v>
      </c>
      <c r="H227" s="17">
        <v>8.9623976255131208E-6</v>
      </c>
      <c r="I227">
        <f t="shared" si="31"/>
        <v>0.27519914362756087</v>
      </c>
      <c r="K227">
        <v>5.9036</v>
      </c>
      <c r="L227">
        <v>30705.973460065601</v>
      </c>
      <c r="M227" s="17">
        <v>2.0307828731711999E-6</v>
      </c>
      <c r="N227">
        <f t="shared" si="32"/>
        <v>6.2357165006750634E-2</v>
      </c>
      <c r="P227">
        <v>5.9036</v>
      </c>
      <c r="Q227">
        <v>30705.973460065601</v>
      </c>
      <c r="R227" s="17">
        <v>6.4711175016917596E-5</v>
      </c>
      <c r="S227">
        <f t="shared" si="33"/>
        <v>1.9870196226391319</v>
      </c>
      <c r="U227">
        <v>5.9036</v>
      </c>
      <c r="V227">
        <v>30705.973460065601</v>
      </c>
      <c r="W227" s="17">
        <v>1.4448103050894899E-5</v>
      </c>
      <c r="X227">
        <f t="shared" si="34"/>
        <v>0.44364306882907162</v>
      </c>
      <c r="Z227">
        <v>5.9036</v>
      </c>
      <c r="AA227">
        <v>30705.973460065601</v>
      </c>
      <c r="AB227" s="17">
        <v>1.3525791349922E-7</v>
      </c>
      <c r="AC227">
        <f t="shared" si="35"/>
        <v>4.1532259021708979E-3</v>
      </c>
      <c r="AE227">
        <v>5.9036</v>
      </c>
      <c r="AF227">
        <v>30705.973460065601</v>
      </c>
      <c r="AG227" s="17">
        <v>9.2506813172359098E-7</v>
      </c>
      <c r="AH227">
        <f t="shared" si="36"/>
        <v>2.8405117501457054E-2</v>
      </c>
      <c r="AJ227">
        <v>5.9036</v>
      </c>
      <c r="AK227">
        <v>30705.973460065601</v>
      </c>
      <c r="AL227" s="17">
        <v>8.0083315337779703E-7</v>
      </c>
      <c r="AM227">
        <f t="shared" si="37"/>
        <v>2.459036155355928E-2</v>
      </c>
      <c r="AO227">
        <v>5.9036</v>
      </c>
      <c r="AP227">
        <v>30705.973460065601</v>
      </c>
      <c r="AQ227" s="17">
        <v>5.3351402230373696E-10</v>
      </c>
      <c r="AR227">
        <f t="shared" si="38"/>
        <v>1.6382067409431393E-5</v>
      </c>
      <c r="AT227">
        <v>5.9036</v>
      </c>
      <c r="AU227">
        <v>30705.973460065601</v>
      </c>
      <c r="AV227" s="17">
        <v>6.3765025003366399E-5</v>
      </c>
      <c r="AW227">
        <f t="shared" si="39"/>
        <v>1.957967165433788</v>
      </c>
    </row>
    <row r="228" spans="1:49" x14ac:dyDescent="0.3">
      <c r="A228">
        <v>6.6630000000000003</v>
      </c>
      <c r="B228" s="16">
        <v>31213.681300623899</v>
      </c>
      <c r="C228" s="17">
        <v>6.7036810281612597E-7</v>
      </c>
      <c r="D228">
        <f t="shared" si="30"/>
        <v>2.092465631540643E-2</v>
      </c>
      <c r="F228">
        <v>6.6630000000000003</v>
      </c>
      <c r="G228">
        <v>31213.681300623899</v>
      </c>
      <c r="H228" s="17">
        <v>3.1581293240137299E-5</v>
      </c>
      <c r="I228">
        <f t="shared" si="31"/>
        <v>0.98576842225919359</v>
      </c>
      <c r="K228">
        <v>6.6630000000000003</v>
      </c>
      <c r="L228">
        <v>31213.681300623899</v>
      </c>
      <c r="M228" s="17">
        <v>1.7113575173369199E-5</v>
      </c>
      <c r="N228">
        <f t="shared" si="32"/>
        <v>0.53417768137581556</v>
      </c>
      <c r="P228">
        <v>6.6630000000000003</v>
      </c>
      <c r="Q228">
        <v>31213.681300623899</v>
      </c>
      <c r="R228" s="17">
        <v>7.50028864316638E-5</v>
      </c>
      <c r="S228">
        <f t="shared" si="33"/>
        <v>2.3411161937048424</v>
      </c>
      <c r="U228">
        <v>6.6630000000000003</v>
      </c>
      <c r="V228">
        <v>31213.681300623899</v>
      </c>
      <c r="W228" s="17">
        <v>1.5278705332387401E-5</v>
      </c>
      <c r="X228">
        <f t="shared" si="34"/>
        <v>0.47690463893128326</v>
      </c>
      <c r="Z228">
        <v>6.6630000000000003</v>
      </c>
      <c r="AA228">
        <v>31213.681300623899</v>
      </c>
      <c r="AB228" s="17">
        <v>3.1915479990126798E-7</v>
      </c>
      <c r="AC228">
        <f t="shared" si="35"/>
        <v>9.9619962096825707E-3</v>
      </c>
      <c r="AE228">
        <v>6.6630000000000003</v>
      </c>
      <c r="AF228">
        <v>31213.681300623899</v>
      </c>
      <c r="AG228" s="17">
        <v>3.79822099335378E-6</v>
      </c>
      <c r="AH228">
        <f t="shared" si="36"/>
        <v>0.11855645959588401</v>
      </c>
      <c r="AJ228">
        <v>6.6630000000000003</v>
      </c>
      <c r="AK228">
        <v>31213.681300623899</v>
      </c>
      <c r="AL228" s="17">
        <v>8.1149349479603203E-7</v>
      </c>
      <c r="AM228">
        <f t="shared" si="37"/>
        <v>2.5329699324092843E-2</v>
      </c>
      <c r="AO228">
        <v>6.6630000000000003</v>
      </c>
      <c r="AP228">
        <v>31213.681300623899</v>
      </c>
      <c r="AQ228" s="17">
        <v>5.4236570169319005E-10</v>
      </c>
      <c r="AR228">
        <f t="shared" si="38"/>
        <v>1.6929230161040485E-5</v>
      </c>
      <c r="AT228">
        <v>6.6630000000000003</v>
      </c>
      <c r="AU228">
        <v>31213.681300623899</v>
      </c>
      <c r="AV228" s="17">
        <v>7.4008132468141396E-5</v>
      </c>
      <c r="AW228">
        <f t="shared" si="39"/>
        <v>2.3100662605149216</v>
      </c>
    </row>
    <row r="229" spans="1:49" x14ac:dyDescent="0.3">
      <c r="A229">
        <v>7.52</v>
      </c>
      <c r="B229" s="16">
        <v>27758.662479249899</v>
      </c>
      <c r="C229" s="17">
        <v>3.25797179490473E-7</v>
      </c>
      <c r="D229">
        <f t="shared" si="30"/>
        <v>9.0436939421676375E-3</v>
      </c>
      <c r="F229">
        <v>7.52</v>
      </c>
      <c r="G229">
        <v>27758.662479249899</v>
      </c>
      <c r="H229" s="17">
        <v>5.5161238724395397E-5</v>
      </c>
      <c r="I229">
        <f t="shared" si="31"/>
        <v>1.5312022076878211</v>
      </c>
      <c r="K229">
        <v>7.52</v>
      </c>
      <c r="L229">
        <v>27758.662479249899</v>
      </c>
      <c r="M229" s="17">
        <v>7.8827102553287703E-5</v>
      </c>
      <c r="N229">
        <f t="shared" si="32"/>
        <v>2.1881349339939313</v>
      </c>
      <c r="P229">
        <v>7.52</v>
      </c>
      <c r="Q229">
        <v>27758.662479249899</v>
      </c>
      <c r="R229" s="17">
        <v>7.82281370286409E-5</v>
      </c>
      <c r="S229">
        <f t="shared" si="33"/>
        <v>2.1715084521585539</v>
      </c>
      <c r="U229">
        <v>7.52</v>
      </c>
      <c r="V229">
        <v>27758.662479249899</v>
      </c>
      <c r="W229" s="17">
        <v>1.55970744954271E-5</v>
      </c>
      <c r="X229">
        <f t="shared" si="34"/>
        <v>0.43295392658227777</v>
      </c>
      <c r="Z229">
        <v>7.52</v>
      </c>
      <c r="AA229">
        <v>27758.662479249899</v>
      </c>
      <c r="AB229" s="17">
        <v>5.8164087166334104E-7</v>
      </c>
      <c r="AC229">
        <f t="shared" si="35"/>
        <v>1.6145572640639389E-2</v>
      </c>
      <c r="AE229">
        <v>7.52</v>
      </c>
      <c r="AF229">
        <v>27758.662479249899</v>
      </c>
      <c r="AG229" s="17">
        <v>8.7461142124251693E-6</v>
      </c>
      <c r="AH229">
        <f t="shared" si="36"/>
        <v>0.24278043242768083</v>
      </c>
      <c r="AJ229">
        <v>7.52</v>
      </c>
      <c r="AK229">
        <v>27758.662479249899</v>
      </c>
      <c r="AL229" s="17">
        <v>8.2224120583184301E-7</v>
      </c>
      <c r="AM229">
        <f t="shared" si="37"/>
        <v>2.2824316109217573E-2</v>
      </c>
      <c r="AO229">
        <v>7.52</v>
      </c>
      <c r="AP229">
        <v>27758.662479249899</v>
      </c>
      <c r="AQ229" s="17">
        <v>5.7680794276437197E-10</v>
      </c>
      <c r="AR229">
        <f t="shared" si="38"/>
        <v>1.6011416998546695E-5</v>
      </c>
      <c r="AT229">
        <v>7.52</v>
      </c>
      <c r="AU229">
        <v>27758.662479249899</v>
      </c>
      <c r="AV229" s="17">
        <v>7.4587529247056996E-5</v>
      </c>
      <c r="AW229">
        <f t="shared" si="39"/>
        <v>2.0704500495302356</v>
      </c>
    </row>
    <row r="230" spans="1:49" x14ac:dyDescent="0.3">
      <c r="A230">
        <v>8.4871999999999996</v>
      </c>
      <c r="B230" s="16">
        <v>27101.8533501608</v>
      </c>
      <c r="C230" s="17">
        <v>1.5886168041577299E-7</v>
      </c>
      <c r="D230">
        <f t="shared" si="30"/>
        <v>4.305445965588392E-3</v>
      </c>
      <c r="F230">
        <v>8.4871999999999996</v>
      </c>
      <c r="G230">
        <v>27101.8533501608</v>
      </c>
      <c r="H230" s="17">
        <v>7.9340048505383801E-5</v>
      </c>
      <c r="I230">
        <f t="shared" si="31"/>
        <v>2.1502623593875563</v>
      </c>
      <c r="K230">
        <v>8.4871999999999996</v>
      </c>
      <c r="L230">
        <v>27101.8533501608</v>
      </c>
      <c r="M230" s="16">
        <v>1.7132553093623701E-4</v>
      </c>
      <c r="N230">
        <f t="shared" si="32"/>
        <v>4.6432394145723324</v>
      </c>
      <c r="P230">
        <v>8.4871999999999996</v>
      </c>
      <c r="Q230">
        <v>27101.8533501608</v>
      </c>
      <c r="R230" s="17">
        <v>7.9303220560966595E-5</v>
      </c>
      <c r="S230">
        <f t="shared" si="33"/>
        <v>2.1492642538387732</v>
      </c>
      <c r="U230">
        <v>8.4871999999999996</v>
      </c>
      <c r="V230">
        <v>27101.8533501608</v>
      </c>
      <c r="W230" s="17">
        <v>1.5701553749033899E-5</v>
      </c>
      <c r="X230">
        <f t="shared" si="34"/>
        <v>0.42554120707598425</v>
      </c>
      <c r="Z230">
        <v>8.4871999999999996</v>
      </c>
      <c r="AA230">
        <v>27101.8533501608</v>
      </c>
      <c r="AB230" s="17">
        <v>7.5736169431989004E-7</v>
      </c>
      <c r="AC230">
        <f t="shared" si="35"/>
        <v>2.0525905572486972E-2</v>
      </c>
      <c r="AE230">
        <v>8.4871999999999996</v>
      </c>
      <c r="AF230">
        <v>27101.8533501608</v>
      </c>
      <c r="AG230" s="17">
        <v>1.8478417071852601E-5</v>
      </c>
      <c r="AH230">
        <f t="shared" si="36"/>
        <v>0.50079934962445694</v>
      </c>
      <c r="AJ230">
        <v>8.4871999999999996</v>
      </c>
      <c r="AK230">
        <v>27101.8533501608</v>
      </c>
      <c r="AL230" s="17">
        <v>8.3837533790898302E-7</v>
      </c>
      <c r="AM230">
        <f t="shared" si="37"/>
        <v>2.2721525460400765E-2</v>
      </c>
      <c r="AO230">
        <v>8.4871999999999996</v>
      </c>
      <c r="AP230">
        <v>27101.8533501608</v>
      </c>
      <c r="AQ230" s="17">
        <v>6.2671764810090804E-10</v>
      </c>
      <c r="AR230">
        <f t="shared" si="38"/>
        <v>1.6985209790788492E-5</v>
      </c>
      <c r="AT230">
        <v>8.4871999999999996</v>
      </c>
      <c r="AU230">
        <v>27101.8533501608</v>
      </c>
      <c r="AV230" s="17">
        <v>7.6076926382799499E-5</v>
      </c>
      <c r="AW230">
        <f t="shared" si="39"/>
        <v>2.061825702157611</v>
      </c>
    </row>
    <row r="231" spans="1:49" x14ac:dyDescent="0.3">
      <c r="A231">
        <v>9.5789000000000009</v>
      </c>
      <c r="B231" s="16">
        <v>24182.638817743598</v>
      </c>
      <c r="C231" s="17">
        <v>1.9133193937182899E-7</v>
      </c>
      <c r="D231">
        <f t="shared" si="30"/>
        <v>4.6269111841273566E-3</v>
      </c>
      <c r="F231">
        <v>9.5789000000000009</v>
      </c>
      <c r="G231">
        <v>24182.638817743598</v>
      </c>
      <c r="H231" s="16">
        <v>1.03856803160174E-4</v>
      </c>
      <c r="I231">
        <f t="shared" si="31"/>
        <v>2.5115315595879797</v>
      </c>
      <c r="K231">
        <v>9.5789000000000009</v>
      </c>
      <c r="L231">
        <v>24182.638817743598</v>
      </c>
      <c r="M231" s="16">
        <v>2.9463211435615402E-4</v>
      </c>
      <c r="N231">
        <f t="shared" si="32"/>
        <v>7.1249820055830009</v>
      </c>
      <c r="P231">
        <v>9.5789000000000009</v>
      </c>
      <c r="Q231">
        <v>24182.638817743598</v>
      </c>
      <c r="R231" s="17">
        <v>7.9366460768750505E-5</v>
      </c>
      <c r="S231">
        <f t="shared" si="33"/>
        <v>1.9192904550133103</v>
      </c>
      <c r="U231">
        <v>9.5789000000000009</v>
      </c>
      <c r="V231">
        <v>24182.638817743598</v>
      </c>
      <c r="W231" s="17">
        <v>1.57891853333024E-5</v>
      </c>
      <c r="X231">
        <f t="shared" si="34"/>
        <v>0.38182416614166653</v>
      </c>
      <c r="Z231">
        <v>9.5789000000000009</v>
      </c>
      <c r="AA231">
        <v>24182.638817743598</v>
      </c>
      <c r="AB231" s="17">
        <v>1.1094488183497299E-6</v>
      </c>
      <c r="AC231">
        <f t="shared" si="35"/>
        <v>2.6829400060923946E-2</v>
      </c>
      <c r="AE231">
        <v>9.5789000000000009</v>
      </c>
      <c r="AF231">
        <v>24182.638817743598</v>
      </c>
      <c r="AG231" s="17">
        <v>2.6992728962611399E-5</v>
      </c>
      <c r="AH231">
        <f t="shared" si="36"/>
        <v>0.65275541520807834</v>
      </c>
      <c r="AJ231">
        <v>9.5789000000000009</v>
      </c>
      <c r="AK231">
        <v>24182.638817743598</v>
      </c>
      <c r="AL231" s="17">
        <v>8.4847448596777695E-7</v>
      </c>
      <c r="AM231">
        <f t="shared" si="37"/>
        <v>2.051835204022941E-2</v>
      </c>
      <c r="AO231">
        <v>9.5789000000000009</v>
      </c>
      <c r="AP231">
        <v>24182.638817743598</v>
      </c>
      <c r="AQ231" s="17">
        <v>7.0203559675362704E-10</v>
      </c>
      <c r="AR231">
        <f t="shared" si="38"/>
        <v>1.6977073273492055E-5</v>
      </c>
      <c r="AT231">
        <v>9.5789000000000009</v>
      </c>
      <c r="AU231">
        <v>24182.638817743598</v>
      </c>
      <c r="AV231" s="17">
        <v>7.83952606251917E-5</v>
      </c>
      <c r="AW231">
        <f t="shared" si="39"/>
        <v>1.8958042727218871</v>
      </c>
    </row>
    <row r="232" spans="1:49" x14ac:dyDescent="0.3">
      <c r="A232">
        <v>10.811</v>
      </c>
      <c r="B232" s="16">
        <v>20538.488674740602</v>
      </c>
      <c r="C232" s="17">
        <v>2.7149318387881898E-7</v>
      </c>
      <c r="D232">
        <f t="shared" si="30"/>
        <v>5.5760596823643911E-3</v>
      </c>
      <c r="F232">
        <v>10.811</v>
      </c>
      <c r="G232">
        <v>20538.488674740602</v>
      </c>
      <c r="H232" s="16">
        <v>1.3131669113679799E-4</v>
      </c>
      <c r="I232">
        <f t="shared" si="31"/>
        <v>2.697046373717535</v>
      </c>
      <c r="K232">
        <v>10.811</v>
      </c>
      <c r="L232">
        <v>20538.488674740602</v>
      </c>
      <c r="M232" s="16">
        <v>3.87542197669984E-4</v>
      </c>
      <c r="N232">
        <f t="shared" si="32"/>
        <v>7.9595310378290502</v>
      </c>
      <c r="P232">
        <v>10.811</v>
      </c>
      <c r="Q232">
        <v>20538.488674740602</v>
      </c>
      <c r="R232" s="17">
        <v>7.7026573080747507E-5</v>
      </c>
      <c r="S232">
        <f t="shared" si="33"/>
        <v>1.582009398873012</v>
      </c>
      <c r="U232">
        <v>10.811</v>
      </c>
      <c r="V232">
        <v>20538.488674740602</v>
      </c>
      <c r="W232" s="17">
        <v>1.5826196099552501E-5</v>
      </c>
      <c r="X232">
        <f t="shared" si="34"/>
        <v>0.32504614935488291</v>
      </c>
      <c r="Z232">
        <v>10.811</v>
      </c>
      <c r="AA232">
        <v>20538.488674740602</v>
      </c>
      <c r="AB232" s="17">
        <v>1.3410465819196E-6</v>
      </c>
      <c r="AC232">
        <f t="shared" si="35"/>
        <v>2.7543070035055298E-2</v>
      </c>
      <c r="AE232">
        <v>10.811</v>
      </c>
      <c r="AF232">
        <v>20538.488674740602</v>
      </c>
      <c r="AG232" s="17">
        <v>3.9780334100535298E-5</v>
      </c>
      <c r="AH232">
        <f t="shared" si="36"/>
        <v>0.81702794140124158</v>
      </c>
      <c r="AJ232">
        <v>10.811</v>
      </c>
      <c r="AK232">
        <v>20538.488674740602</v>
      </c>
      <c r="AL232" s="17">
        <v>8.6736623355665402E-7</v>
      </c>
      <c r="AM232">
        <f t="shared" si="37"/>
        <v>1.7814391564755751E-2</v>
      </c>
      <c r="AO232">
        <v>10.811</v>
      </c>
      <c r="AP232">
        <v>20538.488674740602</v>
      </c>
      <c r="AQ232" s="17">
        <v>8.0460623809221398E-10</v>
      </c>
      <c r="AR232">
        <f t="shared" si="38"/>
        <v>1.6525396108682576E-5</v>
      </c>
      <c r="AT232">
        <v>10.811</v>
      </c>
      <c r="AU232">
        <v>20538.488674740602</v>
      </c>
      <c r="AV232" s="17">
        <v>8.6511111508706307E-5</v>
      </c>
      <c r="AW232">
        <f t="shared" si="39"/>
        <v>1.7768074839607859</v>
      </c>
    </row>
    <row r="233" spans="1:49" x14ac:dyDescent="0.3">
      <c r="A233">
        <v>12.202</v>
      </c>
      <c r="B233" s="16">
        <v>13331.7865949358</v>
      </c>
      <c r="C233" s="17">
        <v>3.1712617697826702E-7</v>
      </c>
      <c r="D233">
        <f t="shared" si="30"/>
        <v>4.2278585151420984E-3</v>
      </c>
      <c r="F233">
        <v>12.202</v>
      </c>
      <c r="G233">
        <v>13331.7865949358</v>
      </c>
      <c r="H233" s="16">
        <v>1.6479256439902199E-4</v>
      </c>
      <c r="I233">
        <f t="shared" si="31"/>
        <v>2.1969793009999758</v>
      </c>
      <c r="K233">
        <v>12.202</v>
      </c>
      <c r="L233">
        <v>13331.7865949358</v>
      </c>
      <c r="M233" s="16">
        <v>4.7422435079727998E-4</v>
      </c>
      <c r="N233">
        <f t="shared" si="32"/>
        <v>6.3222578429513101</v>
      </c>
      <c r="P233">
        <v>12.202</v>
      </c>
      <c r="Q233">
        <v>13331.7865949358</v>
      </c>
      <c r="R233" s="17">
        <v>7.1271714172415802E-5</v>
      </c>
      <c r="S233">
        <f t="shared" si="33"/>
        <v>0.95017928360190884</v>
      </c>
      <c r="U233">
        <v>12.202</v>
      </c>
      <c r="V233">
        <v>13331.7865949358</v>
      </c>
      <c r="W233" s="17">
        <v>1.5320917517028698E-5</v>
      </c>
      <c r="X233">
        <f t="shared" si="34"/>
        <v>0.20425520277564027</v>
      </c>
      <c r="Z233">
        <v>12.202</v>
      </c>
      <c r="AA233">
        <v>13331.7865949358</v>
      </c>
      <c r="AB233" s="17">
        <v>1.7215778014009001E-6</v>
      </c>
      <c r="AC233">
        <f t="shared" si="35"/>
        <v>2.2951707854855567E-2</v>
      </c>
      <c r="AE233">
        <v>12.202</v>
      </c>
      <c r="AF233">
        <v>13331.7865949358</v>
      </c>
      <c r="AG233" s="17">
        <v>6.2282918090383595E-5</v>
      </c>
      <c r="AH233">
        <f t="shared" si="36"/>
        <v>0.83034257249086041</v>
      </c>
      <c r="AJ233">
        <v>12.202</v>
      </c>
      <c r="AK233">
        <v>13331.7865949358</v>
      </c>
      <c r="AL233" s="17">
        <v>8.8989219977179399E-7</v>
      </c>
      <c r="AM233">
        <f t="shared" si="37"/>
        <v>1.1863852899855535E-2</v>
      </c>
      <c r="AO233">
        <v>12.202</v>
      </c>
      <c r="AP233">
        <v>13331.7865949358</v>
      </c>
      <c r="AQ233" s="17">
        <v>9.1479402627064097E-10</v>
      </c>
      <c r="AR233">
        <f t="shared" si="38"/>
        <v>1.219583873656228E-5</v>
      </c>
      <c r="AT233">
        <v>12.202</v>
      </c>
      <c r="AU233">
        <v>13331.7865949358</v>
      </c>
      <c r="AV233" s="17">
        <v>8.6713396070784197E-5</v>
      </c>
      <c r="AW233">
        <f t="shared" si="39"/>
        <v>1.1560444913378394</v>
      </c>
    </row>
    <row r="234" spans="1:49" x14ac:dyDescent="0.3">
      <c r="A234">
        <v>13.771000000000001</v>
      </c>
      <c r="B234" s="16">
        <v>8239.3332524670095</v>
      </c>
      <c r="C234" s="17">
        <v>2.9430612808454302E-7</v>
      </c>
      <c r="D234">
        <f t="shared" si="30"/>
        <v>2.4248862675317904E-3</v>
      </c>
      <c r="F234">
        <v>13.771000000000001</v>
      </c>
      <c r="G234">
        <v>8239.3332524670095</v>
      </c>
      <c r="H234" s="16">
        <v>1.96578237503524E-4</v>
      </c>
      <c r="I234">
        <f t="shared" si="31"/>
        <v>1.6196736089741426</v>
      </c>
      <c r="K234">
        <v>13.771000000000001</v>
      </c>
      <c r="L234">
        <v>8239.3332524670095</v>
      </c>
      <c r="M234" s="16">
        <v>5.1979390388911704E-4</v>
      </c>
      <c r="N234">
        <f t="shared" si="32"/>
        <v>4.2827551967432429</v>
      </c>
      <c r="P234">
        <v>13.771000000000001</v>
      </c>
      <c r="Q234">
        <v>8239.3332524670095</v>
      </c>
      <c r="R234" s="17">
        <v>6.2928433559490506E-5</v>
      </c>
      <c r="S234">
        <f t="shared" si="33"/>
        <v>0.51848833515237103</v>
      </c>
      <c r="U234">
        <v>13.771000000000001</v>
      </c>
      <c r="V234">
        <v>8239.3332524670095</v>
      </c>
      <c r="W234" s="17">
        <v>1.2988656441188399E-5</v>
      </c>
      <c r="X234">
        <f t="shared" si="34"/>
        <v>0.10701786892075339</v>
      </c>
      <c r="Z234">
        <v>13.771000000000001</v>
      </c>
      <c r="AA234">
        <v>8239.3332524670095</v>
      </c>
      <c r="AB234" s="17">
        <v>1.89317473225599E-6</v>
      </c>
      <c r="AC234">
        <f t="shared" si="35"/>
        <v>1.5598497524207106E-2</v>
      </c>
      <c r="AE234">
        <v>13.771000000000001</v>
      </c>
      <c r="AF234">
        <v>8239.3332524670095</v>
      </c>
      <c r="AG234" s="17">
        <v>7.3140189530365097E-5</v>
      </c>
      <c r="AH234">
        <f t="shared" si="36"/>
        <v>0.60262639568927656</v>
      </c>
      <c r="AJ234">
        <v>13.771000000000001</v>
      </c>
      <c r="AK234">
        <v>8239.3332524670095</v>
      </c>
      <c r="AL234" s="17">
        <v>9.6667031596797209E-7</v>
      </c>
      <c r="AM234">
        <f t="shared" si="37"/>
        <v>7.9647188785277028E-3</v>
      </c>
      <c r="AO234">
        <v>13.771000000000001</v>
      </c>
      <c r="AP234">
        <v>8239.3332524670095</v>
      </c>
      <c r="AQ234" s="17">
        <v>1.02423818832303E-9</v>
      </c>
      <c r="AR234">
        <f t="shared" si="38"/>
        <v>8.4390397634965082E-6</v>
      </c>
      <c r="AT234">
        <v>13.771000000000001</v>
      </c>
      <c r="AU234">
        <v>8239.3332524670095</v>
      </c>
      <c r="AV234" s="17">
        <v>7.0944165749465806E-5</v>
      </c>
      <c r="AW234">
        <f t="shared" si="39"/>
        <v>0.58453262392810468</v>
      </c>
    </row>
    <row r="235" spans="1:49" x14ac:dyDescent="0.3">
      <c r="A235">
        <v>15.542</v>
      </c>
      <c r="B235" s="16">
        <v>6247.0591392328597</v>
      </c>
      <c r="C235" s="17">
        <v>1.87420394946891E-7</v>
      </c>
      <c r="D235">
        <f t="shared" si="30"/>
        <v>1.1708262911316076E-3</v>
      </c>
      <c r="F235">
        <v>15.542</v>
      </c>
      <c r="G235">
        <v>6247.0591392328597</v>
      </c>
      <c r="H235" s="16">
        <v>1.9018442202547699E-4</v>
      </c>
      <c r="I235">
        <f t="shared" si="31"/>
        <v>1.1880933317539752</v>
      </c>
      <c r="K235">
        <v>15.542</v>
      </c>
      <c r="L235">
        <v>6247.0591392328597</v>
      </c>
      <c r="M235" s="16">
        <v>4.7531153221782397E-4</v>
      </c>
      <c r="N235">
        <f t="shared" si="32"/>
        <v>2.9692992513241312</v>
      </c>
      <c r="P235">
        <v>15.542</v>
      </c>
      <c r="Q235">
        <v>6247.0591392328597</v>
      </c>
      <c r="R235" s="17">
        <v>4.06761016465819E-5</v>
      </c>
      <c r="S235">
        <f t="shared" si="33"/>
        <v>0.25410601253964421</v>
      </c>
      <c r="U235">
        <v>15.542</v>
      </c>
      <c r="V235">
        <v>6247.0591392328597</v>
      </c>
      <c r="W235" s="17">
        <v>9.1297414507759697E-6</v>
      </c>
      <c r="X235">
        <f t="shared" si="34"/>
        <v>5.7034034768903091E-2</v>
      </c>
      <c r="Z235">
        <v>15.542</v>
      </c>
      <c r="AA235">
        <v>6247.0591392328597</v>
      </c>
      <c r="AB235" s="17">
        <v>1.7027556420204701E-6</v>
      </c>
      <c r="AC235">
        <f t="shared" si="35"/>
        <v>1.0637215195364293E-2</v>
      </c>
      <c r="AE235">
        <v>15.542</v>
      </c>
      <c r="AF235">
        <v>6247.0591392328597</v>
      </c>
      <c r="AG235" s="17">
        <v>7.9668803204625203E-5</v>
      </c>
      <c r="AH235">
        <f t="shared" si="36"/>
        <v>0.49769572517119803</v>
      </c>
      <c r="AJ235">
        <v>15.542</v>
      </c>
      <c r="AK235">
        <v>6247.0591392328597</v>
      </c>
      <c r="AL235" s="17">
        <v>1.0919370365661801E-6</v>
      </c>
      <c r="AM235">
        <f t="shared" si="37"/>
        <v>6.8213952437476003E-3</v>
      </c>
      <c r="AO235">
        <v>15.542</v>
      </c>
      <c r="AP235">
        <v>6247.0591392328597</v>
      </c>
      <c r="AQ235" s="17">
        <v>1.03904473410029E-9</v>
      </c>
      <c r="AR235">
        <f t="shared" si="38"/>
        <v>6.4909739022329931E-6</v>
      </c>
      <c r="AT235">
        <v>15.542</v>
      </c>
      <c r="AU235">
        <v>6247.0591392328597</v>
      </c>
      <c r="AV235" s="17">
        <v>4.7076156390407597E-5</v>
      </c>
      <c r="AW235">
        <f t="shared" si="39"/>
        <v>0.29408753301865115</v>
      </c>
    </row>
    <row r="236" spans="1:49" x14ac:dyDescent="0.3">
      <c r="A236">
        <v>17.541</v>
      </c>
      <c r="B236" s="16">
        <v>3745.5577111326402</v>
      </c>
      <c r="C236" s="17">
        <v>7.8388206347784998E-8</v>
      </c>
      <c r="D236">
        <f t="shared" si="30"/>
        <v>2.9360755074780265E-4</v>
      </c>
      <c r="F236">
        <v>17.541</v>
      </c>
      <c r="G236">
        <v>3745.5577111326402</v>
      </c>
      <c r="H236" s="16">
        <v>1.43915330968576E-4</v>
      </c>
      <c r="I236">
        <f t="shared" si="31"/>
        <v>0.53904317765955589</v>
      </c>
      <c r="K236">
        <v>17.541</v>
      </c>
      <c r="L236">
        <v>3745.5577111326402</v>
      </c>
      <c r="M236" s="16">
        <v>3.5349129375834398E-4</v>
      </c>
      <c r="N236">
        <f t="shared" si="32"/>
        <v>1.3240220411548187</v>
      </c>
      <c r="P236">
        <v>17.541</v>
      </c>
      <c r="Q236">
        <v>3745.5577111326402</v>
      </c>
      <c r="R236" s="17">
        <v>1.9667704620781999E-5</v>
      </c>
      <c r="S236">
        <f t="shared" si="33"/>
        <v>7.3666522702649076E-2</v>
      </c>
      <c r="U236">
        <v>17.541</v>
      </c>
      <c r="V236">
        <v>3745.5577111326402</v>
      </c>
      <c r="W236" s="17">
        <v>5.6558576693310603E-6</v>
      </c>
      <c r="X236">
        <f t="shared" si="34"/>
        <v>2.1184341306431636E-2</v>
      </c>
      <c r="Z236">
        <v>17.541</v>
      </c>
      <c r="AA236">
        <v>3745.5577111326402</v>
      </c>
      <c r="AB236" s="17">
        <v>1.0400985850221199E-6</v>
      </c>
      <c r="AC236">
        <f t="shared" si="35"/>
        <v>3.8957492754677493E-3</v>
      </c>
      <c r="AE236">
        <v>17.541</v>
      </c>
      <c r="AF236">
        <v>3745.5577111326402</v>
      </c>
      <c r="AG236" s="17">
        <v>7.2075050050044299E-5</v>
      </c>
      <c r="AH236">
        <f t="shared" si="36"/>
        <v>0.26996125949521443</v>
      </c>
      <c r="AJ236">
        <v>17.541</v>
      </c>
      <c r="AK236">
        <v>3745.5577111326402</v>
      </c>
      <c r="AL236" s="17">
        <v>1.1507323895674E-6</v>
      </c>
      <c r="AM236">
        <f t="shared" si="37"/>
        <v>4.3101345751942639E-3</v>
      </c>
      <c r="AO236">
        <v>17.541</v>
      </c>
      <c r="AP236">
        <v>3745.5577111326402</v>
      </c>
      <c r="AQ236" s="17">
        <v>7.5780527312887696E-10</v>
      </c>
      <c r="AR236">
        <f t="shared" si="38"/>
        <v>2.8384033843048414E-6</v>
      </c>
      <c r="AT236">
        <v>17.541</v>
      </c>
      <c r="AU236">
        <v>3745.5577111326402</v>
      </c>
      <c r="AV236" s="17">
        <v>3.2120845928471203E-5</v>
      </c>
      <c r="AW236">
        <f t="shared" si="39"/>
        <v>0.12031048215548878</v>
      </c>
    </row>
    <row r="237" spans="1:49" x14ac:dyDescent="0.3">
      <c r="A237">
        <v>19.797999999999998</v>
      </c>
      <c r="B237" s="16">
        <v>2174.72135067622</v>
      </c>
      <c r="C237" s="17">
        <v>3.0485790157745101E-8</v>
      </c>
      <c r="D237">
        <f t="shared" si="30"/>
        <v>6.629809874828324E-5</v>
      </c>
      <c r="F237">
        <v>19.797999999999998</v>
      </c>
      <c r="G237">
        <v>2174.72135067622</v>
      </c>
      <c r="H237" s="17">
        <v>9.7464778021093894E-5</v>
      </c>
      <c r="I237">
        <f t="shared" si="31"/>
        <v>0.21195873370139129</v>
      </c>
      <c r="K237">
        <v>19.797999999999998</v>
      </c>
      <c r="L237">
        <v>2174.72135067622</v>
      </c>
      <c r="M237" s="16">
        <v>2.26338353356523E-4</v>
      </c>
      <c r="N237">
        <f t="shared" si="32"/>
        <v>0.49222284952132928</v>
      </c>
      <c r="P237">
        <v>19.797999999999998</v>
      </c>
      <c r="Q237">
        <v>2174.72135067622</v>
      </c>
      <c r="R237" s="17">
        <v>1.2454252817335E-5</v>
      </c>
      <c r="S237">
        <f t="shared" si="33"/>
        <v>2.7084529508577891E-2</v>
      </c>
      <c r="U237">
        <v>19.797999999999998</v>
      </c>
      <c r="V237">
        <v>2174.72135067622</v>
      </c>
      <c r="W237" s="17">
        <v>3.6161214987543102E-6</v>
      </c>
      <c r="X237">
        <f t="shared" si="34"/>
        <v>7.8640566299802914E-3</v>
      </c>
      <c r="Z237">
        <v>19.797999999999998</v>
      </c>
      <c r="AA237">
        <v>2174.72135067622</v>
      </c>
      <c r="AB237" s="17">
        <v>7.2150176561156196E-7</v>
      </c>
      <c r="AC237">
        <f t="shared" si="35"/>
        <v>1.5690652942260536E-3</v>
      </c>
      <c r="AE237">
        <v>19.797999999999998</v>
      </c>
      <c r="AF237">
        <v>2174.72135067622</v>
      </c>
      <c r="AG237" s="17">
        <v>5.0475584014270402E-5</v>
      </c>
      <c r="AH237">
        <f t="shared" si="36"/>
        <v>0.10977033024368515</v>
      </c>
      <c r="AJ237">
        <v>19.797999999999998</v>
      </c>
      <c r="AK237">
        <v>2174.72135067622</v>
      </c>
      <c r="AL237" s="17">
        <v>1.1823195762614E-6</v>
      </c>
      <c r="AM237">
        <f t="shared" si="37"/>
        <v>2.5712156258181282E-3</v>
      </c>
      <c r="AO237">
        <v>19.797999999999998</v>
      </c>
      <c r="AP237">
        <v>2174.72135067622</v>
      </c>
      <c r="AQ237" s="17">
        <v>4.88427924715886E-10</v>
      </c>
      <c r="AR237">
        <f t="shared" si="38"/>
        <v>1.0621946361461147E-6</v>
      </c>
      <c r="AT237">
        <v>19.797999999999998</v>
      </c>
      <c r="AU237">
        <v>2174.72135067622</v>
      </c>
      <c r="AV237" s="17">
        <v>2.1314040685189199E-5</v>
      </c>
      <c r="AW237">
        <f t="shared" si="39"/>
        <v>4.635209934726256E-2</v>
      </c>
    </row>
    <row r="238" spans="1:49" x14ac:dyDescent="0.3">
      <c r="A238">
        <v>22.344000000000001</v>
      </c>
      <c r="B238" s="16">
        <v>685.15150932075198</v>
      </c>
      <c r="C238" s="17">
        <v>1.31127751757816E-8</v>
      </c>
      <c r="D238">
        <f t="shared" si="30"/>
        <v>8.9842377030704524E-6</v>
      </c>
      <c r="F238">
        <v>22.344000000000001</v>
      </c>
      <c r="G238">
        <v>685.15150932075198</v>
      </c>
      <c r="H238" s="17">
        <v>6.88741438360375E-5</v>
      </c>
      <c r="I238">
        <f t="shared" si="31"/>
        <v>4.7189223602435659E-2</v>
      </c>
      <c r="K238">
        <v>22.344000000000001</v>
      </c>
      <c r="L238">
        <v>685.15150932075198</v>
      </c>
      <c r="M238" s="16">
        <v>1.6580188259545899E-4</v>
      </c>
      <c r="N238">
        <f t="shared" si="32"/>
        <v>0.11359941010850085</v>
      </c>
      <c r="P238">
        <v>22.344000000000001</v>
      </c>
      <c r="Q238">
        <v>685.15150932075198</v>
      </c>
      <c r="R238" s="17">
        <v>4.5988279100426597E-6</v>
      </c>
      <c r="S238">
        <f t="shared" si="33"/>
        <v>3.1508938836721278E-3</v>
      </c>
      <c r="U238">
        <v>22.344000000000001</v>
      </c>
      <c r="V238">
        <v>685.15150932075198</v>
      </c>
      <c r="W238" s="17">
        <v>2.6718190365358199E-6</v>
      </c>
      <c r="X238">
        <f t="shared" si="34"/>
        <v>1.8306008455144344E-3</v>
      </c>
      <c r="Z238">
        <v>22.344000000000001</v>
      </c>
      <c r="AA238">
        <v>685.15150932075198</v>
      </c>
      <c r="AB238" s="17">
        <v>2.39730795400915E-7</v>
      </c>
      <c r="AC238">
        <f t="shared" si="35"/>
        <v>1.642519162996013E-4</v>
      </c>
      <c r="AE238">
        <v>22.344000000000001</v>
      </c>
      <c r="AF238">
        <v>685.15150932075198</v>
      </c>
      <c r="AG238" s="17">
        <v>3.9534277952279599E-5</v>
      </c>
      <c r="AH238">
        <f t="shared" si="36"/>
        <v>2.7086970208910495E-2</v>
      </c>
      <c r="AJ238">
        <v>22.344000000000001</v>
      </c>
      <c r="AK238">
        <v>685.15150932075198</v>
      </c>
      <c r="AL238" s="17">
        <v>1.20162083763598E-6</v>
      </c>
      <c r="AM238">
        <f t="shared" si="37"/>
        <v>8.2329233053755793E-4</v>
      </c>
      <c r="AO238">
        <v>22.344000000000001</v>
      </c>
      <c r="AP238">
        <v>685.15150932075198</v>
      </c>
      <c r="AQ238" s="17">
        <v>3.6344773178326801E-10</v>
      </c>
      <c r="AR238">
        <f t="shared" si="38"/>
        <v>2.4901676199050994E-7</v>
      </c>
      <c r="AT238">
        <v>22.344000000000001</v>
      </c>
      <c r="AU238">
        <v>685.15150932075198</v>
      </c>
      <c r="AV238" s="17">
        <v>1.71723343197754E-5</v>
      </c>
      <c r="AW238">
        <f t="shared" si="39"/>
        <v>1.1765650777754664E-2</v>
      </c>
    </row>
    <row r="239" spans="1:49" x14ac:dyDescent="0.3">
      <c r="A239">
        <v>25.218</v>
      </c>
      <c r="B239" s="16">
        <v>314.902266110158</v>
      </c>
      <c r="C239" s="17">
        <v>5.9407008058620402E-9</v>
      </c>
      <c r="D239">
        <f t="shared" si="30"/>
        <v>1.8707401460483983E-6</v>
      </c>
      <c r="F239">
        <v>25.218</v>
      </c>
      <c r="G239">
        <v>314.902266110158</v>
      </c>
      <c r="H239" s="17">
        <v>5.5022953433134197E-5</v>
      </c>
      <c r="I239">
        <f t="shared" si="31"/>
        <v>1.7326852724167657E-2</v>
      </c>
      <c r="K239">
        <v>25.218</v>
      </c>
      <c r="L239">
        <v>314.902266110158</v>
      </c>
      <c r="M239" s="16">
        <v>0</v>
      </c>
      <c r="N239">
        <f t="shared" si="32"/>
        <v>0</v>
      </c>
      <c r="P239">
        <v>25.218</v>
      </c>
      <c r="Q239">
        <v>314.902266110158</v>
      </c>
      <c r="R239" s="16">
        <v>0</v>
      </c>
      <c r="S239">
        <f t="shared" si="33"/>
        <v>0</v>
      </c>
      <c r="U239">
        <v>25.218</v>
      </c>
      <c r="V239">
        <v>314.902266110158</v>
      </c>
      <c r="W239" s="17">
        <v>1.9795297784635799E-6</v>
      </c>
      <c r="X239">
        <f t="shared" si="34"/>
        <v>6.2335841307072039E-4</v>
      </c>
      <c r="Z239">
        <v>25.218</v>
      </c>
      <c r="AA239">
        <v>314.902266110158</v>
      </c>
      <c r="AB239" s="16">
        <v>0</v>
      </c>
      <c r="AC239">
        <f t="shared" si="35"/>
        <v>0</v>
      </c>
      <c r="AE239">
        <v>25.218</v>
      </c>
      <c r="AF239">
        <v>314.902266110158</v>
      </c>
      <c r="AG239" s="17">
        <v>3.3629662928537402E-5</v>
      </c>
      <c r="AH239">
        <f t="shared" si="36"/>
        <v>1.05900570647172E-2</v>
      </c>
      <c r="AJ239">
        <v>25.218</v>
      </c>
      <c r="AK239">
        <v>314.902266110158</v>
      </c>
      <c r="AL239" s="16">
        <v>0</v>
      </c>
      <c r="AM239">
        <f t="shared" si="37"/>
        <v>0</v>
      </c>
      <c r="AO239">
        <v>25.218</v>
      </c>
      <c r="AP239">
        <v>314.902266110158</v>
      </c>
      <c r="AQ239" s="16">
        <v>0</v>
      </c>
      <c r="AR239">
        <f t="shared" si="38"/>
        <v>0</v>
      </c>
      <c r="AT239">
        <v>25.218</v>
      </c>
      <c r="AU239">
        <v>314.902266110158</v>
      </c>
      <c r="AV239" s="16">
        <v>0</v>
      </c>
      <c r="AW239">
        <f t="shared" si="39"/>
        <v>0</v>
      </c>
    </row>
    <row r="240" spans="1:49" x14ac:dyDescent="0.3">
      <c r="A240">
        <v>28.462</v>
      </c>
      <c r="B240" s="16">
        <v>0</v>
      </c>
      <c r="C240" s="17">
        <v>3.12977462467233E-9</v>
      </c>
      <c r="D240">
        <f t="shared" si="30"/>
        <v>0</v>
      </c>
      <c r="F240">
        <v>28.462</v>
      </c>
      <c r="G240">
        <v>0</v>
      </c>
      <c r="H240" s="17">
        <v>4.7281552267593897E-5</v>
      </c>
      <c r="I240">
        <f t="shared" si="31"/>
        <v>0</v>
      </c>
      <c r="K240">
        <v>28.462</v>
      </c>
      <c r="L240">
        <v>0</v>
      </c>
      <c r="M240" s="16">
        <v>0</v>
      </c>
      <c r="N240">
        <f t="shared" si="32"/>
        <v>0</v>
      </c>
      <c r="P240">
        <v>28.462</v>
      </c>
      <c r="Q240">
        <v>0</v>
      </c>
      <c r="R240" s="16">
        <v>0</v>
      </c>
      <c r="S240">
        <f t="shared" si="33"/>
        <v>0</v>
      </c>
      <c r="U240">
        <v>28.462</v>
      </c>
      <c r="V240">
        <v>0</v>
      </c>
      <c r="W240" s="17">
        <v>1.5841441707292E-6</v>
      </c>
      <c r="X240">
        <f t="shared" si="34"/>
        <v>0</v>
      </c>
      <c r="Z240">
        <v>28.462</v>
      </c>
      <c r="AA240">
        <v>0</v>
      </c>
      <c r="AB240" s="16">
        <v>0</v>
      </c>
      <c r="AC240">
        <f t="shared" si="35"/>
        <v>0</v>
      </c>
      <c r="AE240">
        <v>28.462</v>
      </c>
      <c r="AF240">
        <v>0</v>
      </c>
      <c r="AG240" s="17">
        <v>2.9832075361982701E-5</v>
      </c>
      <c r="AH240">
        <f t="shared" si="36"/>
        <v>0</v>
      </c>
      <c r="AJ240">
        <v>28.462</v>
      </c>
      <c r="AK240">
        <v>0</v>
      </c>
      <c r="AL240" s="16">
        <v>0</v>
      </c>
      <c r="AM240">
        <f t="shared" si="37"/>
        <v>0</v>
      </c>
      <c r="AO240">
        <v>28.462</v>
      </c>
      <c r="AP240">
        <v>0</v>
      </c>
      <c r="AQ240" s="16">
        <v>0</v>
      </c>
      <c r="AR240">
        <f t="shared" si="38"/>
        <v>0</v>
      </c>
      <c r="AT240">
        <v>28.462</v>
      </c>
      <c r="AU240">
        <v>0</v>
      </c>
      <c r="AV240" s="16">
        <v>0</v>
      </c>
      <c r="AW240">
        <f t="shared" si="39"/>
        <v>0</v>
      </c>
    </row>
    <row r="241" spans="1:49" x14ac:dyDescent="0.3">
      <c r="A241">
        <v>30</v>
      </c>
      <c r="B241" s="16">
        <v>0</v>
      </c>
      <c r="C241" s="17">
        <v>1.84277489758623E-9</v>
      </c>
      <c r="D241">
        <f t="shared" si="30"/>
        <v>0</v>
      </c>
      <c r="F241">
        <v>30</v>
      </c>
      <c r="G241">
        <v>0</v>
      </c>
      <c r="H241" s="17">
        <v>4.1673875978580497E-5</v>
      </c>
      <c r="I241">
        <f t="shared" si="31"/>
        <v>0</v>
      </c>
      <c r="K241">
        <v>30</v>
      </c>
      <c r="L241">
        <v>0</v>
      </c>
      <c r="M241" s="16">
        <v>0</v>
      </c>
      <c r="N241">
        <f t="shared" si="32"/>
        <v>0</v>
      </c>
      <c r="P241">
        <v>30</v>
      </c>
      <c r="Q241">
        <v>0</v>
      </c>
      <c r="R241" s="16">
        <v>0</v>
      </c>
      <c r="S241">
        <f t="shared" si="33"/>
        <v>0</v>
      </c>
      <c r="U241">
        <v>30</v>
      </c>
      <c r="V241">
        <v>0</v>
      </c>
      <c r="W241" s="17">
        <v>1.3241063894710199E-6</v>
      </c>
      <c r="X241">
        <f t="shared" si="34"/>
        <v>0</v>
      </c>
      <c r="Z241">
        <v>30</v>
      </c>
      <c r="AA241">
        <v>0</v>
      </c>
      <c r="AB241" s="16">
        <v>0</v>
      </c>
      <c r="AC241">
        <f t="shared" si="35"/>
        <v>0</v>
      </c>
      <c r="AE241">
        <v>30</v>
      </c>
      <c r="AF241">
        <v>0</v>
      </c>
      <c r="AG241" s="17">
        <v>2.79963010816735E-5</v>
      </c>
      <c r="AH241">
        <f t="shared" si="36"/>
        <v>0</v>
      </c>
      <c r="AJ241">
        <v>30</v>
      </c>
      <c r="AK241">
        <v>0</v>
      </c>
      <c r="AL241" s="16">
        <v>0</v>
      </c>
      <c r="AM241">
        <f t="shared" si="37"/>
        <v>0</v>
      </c>
      <c r="AO241">
        <v>30</v>
      </c>
      <c r="AP241">
        <v>0</v>
      </c>
      <c r="AQ241" s="16">
        <v>0</v>
      </c>
      <c r="AR241">
        <f t="shared" si="38"/>
        <v>0</v>
      </c>
      <c r="AT241">
        <v>30</v>
      </c>
      <c r="AU241">
        <v>0</v>
      </c>
      <c r="AV241" s="16">
        <v>0</v>
      </c>
      <c r="AW241">
        <f t="shared" si="39"/>
        <v>0</v>
      </c>
    </row>
    <row r="242" spans="1:49" x14ac:dyDescent="0.3">
      <c r="D242">
        <f>SUM(D3:D241)</f>
        <v>33834.68304554512</v>
      </c>
      <c r="I242">
        <f>SUM(I3:I241)</f>
        <v>16.025283695705852</v>
      </c>
      <c r="N242">
        <f>SUM(N3:N241)</f>
        <v>38.01909932388272</v>
      </c>
      <c r="S242">
        <f>SUM(S3:S241)</f>
        <v>21.776267135424533</v>
      </c>
      <c r="X242">
        <f>SUM(X3:X241)</f>
        <v>4.3031738900945182</v>
      </c>
      <c r="AC242">
        <f>SUM(AC3:AC241)</f>
        <v>0.1632621369788409</v>
      </c>
      <c r="AH242">
        <f>SUM(AH3:AH241)</f>
        <v>4.7128790287689952</v>
      </c>
      <c r="AM242">
        <f>SUM(AM3:AM241)</f>
        <v>700.24796349596261</v>
      </c>
      <c r="AR242">
        <f>SUM(AR3:AR241)</f>
        <v>10.484348471747724</v>
      </c>
      <c r="AW242">
        <f>SUM(AW3:AW241)</f>
        <v>23.61339880017352</v>
      </c>
    </row>
    <row r="252" spans="1:49" x14ac:dyDescent="0.3">
      <c r="A252" t="s">
        <v>60</v>
      </c>
      <c r="B252">
        <f>ABS((D242-activity_Ami!D242)/activity_Ami!D242)</f>
        <v>1.3444566054374097E-6</v>
      </c>
      <c r="F252" t="s">
        <v>60</v>
      </c>
      <c r="G252">
        <f>ABS((I242-activity_Ami!I242)/activity_Ami!I242)</f>
        <v>8.4771355899450673E-2</v>
      </c>
      <c r="K252" t="s">
        <v>60</v>
      </c>
      <c r="L252">
        <f>ABS((N242-activity_Ami!N242)/activity_Ami!N242)</f>
        <v>8.87856706176713E-2</v>
      </c>
      <c r="P252" t="s">
        <v>60</v>
      </c>
      <c r="Q252">
        <f>ABS((S242-activity_Ami!S242)/activity_Ami!S242)</f>
        <v>4.8167322350065267E-2</v>
      </c>
      <c r="U252" t="s">
        <v>60</v>
      </c>
      <c r="V252">
        <f>ABS((X242-activity_Ami!X242)/activity_Ami!X242)</f>
        <v>5.0892761711163415E-2</v>
      </c>
      <c r="Z252" t="s">
        <v>60</v>
      </c>
      <c r="AA252">
        <f>ABS((AC242-activity_Ami!AC242)/activity_Ami!AC242)</f>
        <v>8.2907387263621388E-2</v>
      </c>
      <c r="AE252" t="s">
        <v>60</v>
      </c>
      <c r="AF252">
        <f>ABS((AH242-activity_Ami!AH242)/activity_Ami!AH242)</f>
        <v>8.0341913320156819E-2</v>
      </c>
      <c r="AJ252" t="s">
        <v>60</v>
      </c>
      <c r="AK252">
        <f>ABS((AM242-activity_Ami!AM242)/activity_Ami!AM242)</f>
        <v>1.8096965537689719E-2</v>
      </c>
      <c r="AO252" t="s">
        <v>60</v>
      </c>
      <c r="AP252">
        <f>ABS((AR242-activity_Ami!AR242)/activity_Ami!AR242)</f>
        <v>3.7217012713479315E-4</v>
      </c>
      <c r="AT252" t="s">
        <v>60</v>
      </c>
      <c r="AU252">
        <f>ABS((AW242-activity_Ami!AW242)/activity_Ami!AW242)</f>
        <v>4.5449991534009589E-2</v>
      </c>
    </row>
    <row r="258" spans="1:47" x14ac:dyDescent="0.3">
      <c r="A258" t="s">
        <v>65</v>
      </c>
      <c r="B258">
        <f>activity_Ami!D242/'240groups_unfolding'!D242</f>
        <v>0.99999865554520218</v>
      </c>
      <c r="F258" t="s">
        <v>66</v>
      </c>
      <c r="G258">
        <f>activity_Ami!I242/'240groups_unfolding'!I242</f>
        <v>0.9218532500527159</v>
      </c>
      <c r="K258" t="s">
        <v>64</v>
      </c>
      <c r="L258">
        <f>activity_Ami!N242/'240groups_unfolding'!N242</f>
        <v>0.91845440933539935</v>
      </c>
      <c r="P258" t="s">
        <v>64</v>
      </c>
      <c r="Q258">
        <f>activity_Ami!S242/'240groups_unfolding'!S242</f>
        <v>0.95404615148460192</v>
      </c>
      <c r="U258" t="s">
        <v>64</v>
      </c>
      <c r="V258">
        <f>activity_Ami!X242/'240groups_unfolding'!X242</f>
        <v>0.95157187910563301</v>
      </c>
      <c r="Z258" t="s">
        <v>64</v>
      </c>
      <c r="AA258">
        <f>activity_Ami!AC242/'240groups_unfolding'!AC242</f>
        <v>0.92344000212878907</v>
      </c>
      <c r="AE258" t="s">
        <v>64</v>
      </c>
      <c r="AF258">
        <f>activity_Ami!AH242/'240groups_unfolding'!AH242</f>
        <v>0.92563288313674108</v>
      </c>
      <c r="AJ258" t="s">
        <v>64</v>
      </c>
      <c r="AK258">
        <f>activity_Ami!AM242/'240groups_unfolding'!AM242</f>
        <v>1.0184305016916457</v>
      </c>
      <c r="AO258" t="s">
        <v>64</v>
      </c>
      <c r="AP258">
        <f>activity_Ami!AR242/'240groups_unfolding'!AR242</f>
        <v>1.000372308689307</v>
      </c>
      <c r="AT258" t="s">
        <v>64</v>
      </c>
      <c r="AU258">
        <f>activity_Ami!AW242/'240groups_unfolding'!AW242</f>
        <v>0.95652590568457518</v>
      </c>
    </row>
    <row r="265" spans="1:47" x14ac:dyDescent="0.3">
      <c r="A265" t="s">
        <v>63</v>
      </c>
      <c r="B265">
        <f>0.1*(B252+G252+L252+Q252+V252+AA252+AF252+AK252+AP252+AU252)</f>
        <v>4.9978688281756847E-2</v>
      </c>
    </row>
    <row r="272" spans="1:47" x14ac:dyDescent="0.3">
      <c r="A272" t="s">
        <v>74</v>
      </c>
      <c r="B272">
        <f>(((B258-1)^2+(G258-1)^2+(L258-1)^2+(Q258-1)^2+(V258-1)^2+(AA258-1)^2+(AF258-1)^2+(AK258-1)^2+(AP258-1)^2+(AU258-1)^2)/9)^0.5</f>
        <v>5.8533330675978358E-2</v>
      </c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experimental material design </vt:lpstr>
      <vt:lpstr>activity_Ami</vt:lpstr>
      <vt:lpstr>60groups_prior</vt:lpstr>
      <vt:lpstr>60groups_result</vt:lpstr>
      <vt:lpstr>113groups_prior</vt:lpstr>
      <vt:lpstr>113groups_result</vt:lpstr>
      <vt:lpstr>240groups_prior</vt:lpstr>
      <vt:lpstr>240groups_unfolding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2026-06-26T05:31:15Z</dcterms:modified>
</cp:coreProperties>
</file>